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</sheets>
  <definedNames>
    <definedName name="HELIX_daty">#REF!</definedName>
    <definedName localSheetId="1" name="HELIX_datz">#REF!</definedName>
    <definedName localSheetId="0" name="HELIX_CP3">#REF!</definedName>
    <definedName name="asdf">#REF!</definedName>
    <definedName localSheetId="1" name="as">#REF!</definedName>
    <definedName localSheetId="1" name="HELIX_datx">#REF!</definedName>
    <definedName localSheetId="1" name="HELIX_daty">#REF!</definedName>
    <definedName name="HELIX_az">#REF!</definedName>
    <definedName localSheetId="0" name="__RMX2">#REF!</definedName>
    <definedName name="HELIX_CP1">#REF!</definedName>
    <definedName localSheetId="1" name="HELIX_az">#REF!</definedName>
    <definedName localSheetId="0" name="__RMY1">#REF!</definedName>
    <definedName name="HELIX_datx">#REF!</definedName>
    <definedName name="wet">#REF!</definedName>
    <definedName localSheetId="0" name="__RMZ2">#REF!</definedName>
    <definedName name="er">#REF!</definedName>
    <definedName localSheetId="1" name="wet">#REF!</definedName>
    <definedName localSheetId="1" name="HELIX_CP3">#REF!</definedName>
    <definedName localSheetId="0" name="bss">#REF!</definedName>
    <definedName name="QWE">#REF!</definedName>
    <definedName localSheetId="1" name="__RMX1">#REF!</definedName>
    <definedName localSheetId="0" name="HELIX_az">#REF!</definedName>
    <definedName localSheetId="0" name="HELIX_ax">#REF!</definedName>
    <definedName localSheetId="1" name="asdf">#REF!</definedName>
    <definedName localSheetId="1" name="__RMZ1">#REF!</definedName>
    <definedName name="HELIX_datz">#REF!</definedName>
    <definedName localSheetId="1" name="__RMZ2">#REF!</definedName>
    <definedName name="HELIX_CP2">#REF!</definedName>
    <definedName localSheetId="0" name="as">#REF!</definedName>
    <definedName name="HH">#REF!</definedName>
    <definedName localSheetId="0" name="asdf">#REF!</definedName>
    <definedName name="__RMX1">#REF!</definedName>
    <definedName name="HELIX_CP3">#REF!</definedName>
    <definedName localSheetId="1" name="er">#REF!</definedName>
    <definedName localSheetId="1" name="rz">#REF!</definedName>
    <definedName localSheetId="0" name="er">#REF!</definedName>
    <definedName localSheetId="1" name="__RMX2">#REF!</definedName>
    <definedName localSheetId="1" name="yx">#REF!</definedName>
    <definedName localSheetId="0" name="__RMZ1">#REF!</definedName>
    <definedName localSheetId="1" name="HELIX_CP2">#REF!</definedName>
    <definedName localSheetId="0" name="HELIX_ay">#REF!</definedName>
    <definedName localSheetId="0" name="__RMX1">#REF!</definedName>
    <definedName localSheetId="1" name="sfdh">#REF!</definedName>
    <definedName localSheetId="0" name="HELIX_CP2">#REF!</definedName>
    <definedName name="bss">#REF!</definedName>
    <definedName localSheetId="1" name="bss">#REF!</definedName>
    <definedName name="HELIX_ay">#REF!</definedName>
    <definedName localSheetId="1" name="HELIX_CP1">#REF!</definedName>
    <definedName name="__RMZ1">#REF!</definedName>
    <definedName localSheetId="0" name="yx">#REF!</definedName>
    <definedName localSheetId="0" name="HELIX_datx">#REF!</definedName>
    <definedName name="yx">#REF!</definedName>
    <definedName name="__RMX2">#REF!</definedName>
    <definedName localSheetId="0" name="rz">#REF!</definedName>
    <definedName localSheetId="0" name="HELIX_CP1">#REF!</definedName>
    <definedName localSheetId="0" name="HELIX_daty">#REF!</definedName>
    <definedName name="__RMZ2">#REF!</definedName>
    <definedName name="__RMY1">#REF!</definedName>
    <definedName name="rz">#REF!</definedName>
    <definedName localSheetId="1" name="__RMY1">#REF!</definedName>
    <definedName name="sfdh">#REF!</definedName>
    <definedName localSheetId="1" name="HELIX_ay">#REF!</definedName>
    <definedName name="HEL">#REF!</definedName>
    <definedName localSheetId="0" name="wet">#REF!</definedName>
    <definedName localSheetId="0" name="HELIX_datz">#REF!</definedName>
    <definedName localSheetId="0" name="sfdh">#REF!</definedName>
    <definedName localSheetId="1" name="HELIX_ax">#REF!</definedName>
    <definedName name="HELIX_ax">#REF!</definedName>
    <definedName name="as">#REF!</definedName>
  </definedNames>
  <calcPr/>
</workbook>
</file>

<file path=xl/sharedStrings.xml><?xml version="1.0" encoding="utf-8"?>
<sst xmlns="http://schemas.openxmlformats.org/spreadsheetml/2006/main" count="10220" uniqueCount="1423">
  <si>
    <t>_</t>
  </si>
  <si>
    <t/>
  </si>
  <si>
    <t>l00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</si>
  <si>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</si>
  <si>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</si>
  <si>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</si>
  <si>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</si>
  <si>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</si>
  <si>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</si>
  <si>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</si>
  <si>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</si>
  <si>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</si>
  <si>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</si>
  <si>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</si>
  <si>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</si>
  <si>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</si>
  <si>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</si>
  <si>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</si>
  <si>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</si>
  <si>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</si>
  <si>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</si>
  <si>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</si>
  <si>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</si>
  <si>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</si>
  <si>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</si>
  <si>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</si>
  <si>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</si>
  <si>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</si>
  <si>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</si>
  <si>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</si>
  <si>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</si>
  <si>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</si>
  <si>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</si>
  <si>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</si>
  <si>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</si>
  <si>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</si>
  <si>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</si>
  <si>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</si>
  <si>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</si>
  <si>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</si>
  <si>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</si>
  <si>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</si>
  <si>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</si>
  <si>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</si>
  <si>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</si>
  <si>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</si>
  <si>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</si>
  <si>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</si>
  <si>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</si>
  <si>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</si>
  <si>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</si>
  <si>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</si>
  <si>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</si>
  <si>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</si>
  <si>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</si>
  <si>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</si>
  <si>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</si>
  <si>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</si>
  <si>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</si>
  <si>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</si>
  <si>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</si>
  <si>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</si>
  <si>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</si>
  <si>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</si>
  <si>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</si>
  <si>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</si>
  <si>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</si>
  <si>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</si>
  <si>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</si>
  <si>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</si>
  <si>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</si>
  <si>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</si>
  <si>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</si>
  <si>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</si>
  <si>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</si>
  <si>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</si>
  <si>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</si>
  <si>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</si>
  <si>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</si>
  <si>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</si>
  <si>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</si>
  <si>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</si>
  <si>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</si>
  <si>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</si>
  <si>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</si>
  <si>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</si>
  <si>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</si>
  <si>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</si>
  <si>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</si>
  <si>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</si>
  <si>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</si>
  <si>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</si>
  <si>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</si>
  <si>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</si>
  <si>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</si>
  <si>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</si>
  <si>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</si>
  <si>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</si>
  <si>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</si>
  <si>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</si>
  <si>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</si>
  <si>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</si>
  <si>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width self</t>
  </si>
  <si>
    <t>number</t>
  </si>
  <si>
    <t>width flex</t>
  </si>
  <si>
    <t>% all</t>
  </si>
  <si>
    <t>width max</t>
  </si>
  <si>
    <t>px all</t>
  </si>
  <si>
    <t>height flex</t>
  </si>
  <si>
    <t>height max</t>
  </si>
  <si>
    <t>height min</t>
  </si>
  <si>
    <t>aligned min</t>
  </si>
  <si>
    <t>select 4</t>
  </si>
  <si>
    <t>auto</t>
  </si>
  <si>
    <t>aligned max</t>
  </si>
  <si>
    <t>select 3</t>
  </si>
  <si>
    <t>none</t>
  </si>
  <si>
    <t>order diagonal</t>
  </si>
  <si>
    <t>0 - 99</t>
  </si>
  <si>
    <t>order horizontal</t>
  </si>
  <si>
    <t>order vertical</t>
  </si>
  <si>
    <t>offset axis x</t>
  </si>
  <si>
    <t>px,px all</t>
  </si>
  <si>
    <t>offset axis y</t>
  </si>
  <si>
    <t>margin axis x</t>
  </si>
  <si>
    <t>margin axis y</t>
  </si>
  <si>
    <t>padding axis x</t>
  </si>
  <si>
    <t>padding axis y</t>
  </si>
  <si>
    <t>relation frame</t>
  </si>
  <si>
    <t>l00 - t99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</si>
  <si>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</si>
  <si>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</si>
  <si>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</si>
  <si>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</si>
  <si>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</si>
  <si>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</si>
  <si>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</si>
  <si>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</si>
  <si>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</si>
  <si>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</si>
  <si>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</si>
  <si>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</si>
  <si>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</si>
  <si>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</si>
  <si>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</si>
  <si>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</si>
  <si>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</si>
  <si>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</si>
  <si>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</si>
  <si>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</si>
  <si>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</si>
  <si>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</si>
  <si>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</si>
  <si>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</si>
  <si>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</si>
  <si>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</si>
  <si>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</si>
  <si>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</si>
  <si>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</si>
  <si>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</si>
  <si>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</si>
  <si>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</si>
  <si>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</si>
  <si>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</si>
  <si>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</si>
  <si>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</si>
  <si>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</si>
  <si>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</si>
  <si>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</si>
  <si>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</si>
  <si>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</si>
  <si>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</si>
  <si>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</si>
  <si>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</si>
  <si>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</si>
  <si>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</si>
  <si>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</si>
  <si>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</si>
  <si>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</si>
  <si>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</si>
  <si>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</si>
  <si>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</si>
  <si>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</si>
  <si>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</si>
  <si>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</si>
  <si>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</si>
  <si>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</si>
  <si>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</si>
  <si>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</si>
  <si>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</si>
  <si>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</si>
  <si>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</si>
  <si>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</si>
  <si>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</si>
  <si>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</si>
  <si>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</si>
  <si>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</si>
  <si>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</si>
  <si>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</si>
  <si>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</si>
  <si>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</si>
  <si>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</si>
  <si>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</si>
  <si>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</si>
  <si>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</si>
  <si>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</si>
  <si>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</si>
  <si>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</si>
  <si>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</si>
  <si>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</si>
  <si>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</si>
  <si>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</si>
  <si>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</si>
  <si>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</si>
  <si>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</si>
  <si>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</si>
  <si>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</si>
  <si>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</si>
  <si>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</si>
  <si>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</si>
  <si>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</si>
  <si>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</si>
  <si>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</si>
  <si>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</si>
  <si>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</si>
  <si>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</si>
  <si>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</si>
  <si>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</si>
  <si>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</si>
  <si>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</si>
  <si>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</si>
  <si>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</si>
  <si>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</si>
  <si>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</si>
  <si>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</si>
  <si>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</si>
  <si>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</si>
  <si>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</si>
  <si>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</si>
  <si>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</si>
  <si>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</si>
  <si>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</si>
  <si>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</si>
  <si>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</si>
  <si>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</si>
  <si>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</si>
  <si>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</si>
  <si>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</si>
  <si>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</si>
  <si>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</si>
  <si>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</si>
  <si>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</si>
  <si>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</si>
  <si>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</si>
  <si>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</si>
  <si>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</si>
  <si>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</si>
  <si>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</si>
  <si>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</si>
  <si>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</si>
  <si>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</si>
  <si>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</si>
  <si>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</si>
  <si>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</si>
  <si>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</si>
  <si>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</si>
  <si>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</si>
  <si>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</si>
  <si>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</si>
  <si>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</si>
  <si>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</si>
  <si>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</si>
  <si>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</si>
  <si>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</si>
  <si>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</si>
  <si>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</si>
  <si>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</si>
  <si>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</si>
  <si>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</si>
  <si>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</si>
  <si>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</si>
  <si>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</si>
  <si>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</si>
  <si>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</si>
  <si>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</si>
  <si>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</si>
  <si>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</si>
  <si>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</si>
  <si>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</si>
  <si>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</si>
  <si>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</si>
  <si>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</si>
  <si>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</si>
  <si>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</si>
  <si>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</si>
  <si>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</si>
  <si>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</si>
  <si>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</si>
  <si>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</si>
  <si>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</si>
  <si>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</si>
  <si>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</si>
  <si>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</si>
  <si>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</si>
  <si>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</si>
  <si>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</si>
  <si>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</si>
  <si>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</si>
  <si>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</si>
  <si>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</si>
  <si>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</si>
  <si>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</si>
  <si>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</si>
  <si>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</si>
  <si>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</si>
  <si>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</si>
  <si>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</si>
  <si>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</si>
  <si>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</si>
  <si>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</si>
  <si>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</si>
  <si>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</si>
  <si>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</si>
  <si>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</si>
  <si>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</si>
  <si>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</si>
  <si>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</si>
  <si>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</si>
  <si>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</si>
  <si>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</si>
  <si>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t000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</si>
  <si>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</si>
  <si>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</si>
  <si>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</si>
  <si>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</si>
  <si>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</si>
  <si>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</si>
  <si>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</si>
  <si>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</si>
  <si>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</si>
  <si>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</si>
  <si>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</si>
  <si>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</si>
  <si>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</si>
  <si>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</si>
  <si>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</si>
  <si>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</si>
  <si>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</si>
  <si>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</si>
  <si>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</si>
  <si>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</si>
  <si>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</si>
  <si>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</si>
  <si>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</si>
  <si>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</si>
  <si>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</si>
  <si>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</si>
  <si>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</si>
  <si>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</si>
  <si>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</si>
  <si>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</si>
  <si>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</si>
  <si>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</si>
  <si>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</si>
  <si>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</si>
  <si>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</si>
  <si>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</si>
  <si>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</si>
  <si>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</si>
  <si>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</si>
  <si>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</si>
  <si>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</si>
  <si>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</si>
  <si>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</si>
  <si>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</si>
  <si>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</si>
  <si>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</si>
  <si>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</si>
  <si>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</si>
  <si>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</si>
  <si>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</si>
  <si>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</si>
  <si>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</si>
  <si>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</si>
  <si>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</si>
  <si>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</si>
  <si>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</si>
  <si>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</si>
  <si>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</si>
  <si>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</si>
  <si>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</si>
  <si>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</si>
  <si>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</si>
  <si>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</si>
  <si>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</si>
  <si>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</si>
  <si>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</si>
  <si>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</si>
  <si>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</si>
  <si>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</si>
  <si>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</si>
  <si>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</si>
  <si>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</si>
  <si>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</si>
  <si>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</si>
  <si>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</si>
  <si>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</si>
  <si>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</si>
  <si>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</si>
  <si>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</si>
  <si>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</si>
  <si>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</si>
  <si>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</si>
  <si>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</si>
  <si>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</si>
  <si>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</si>
  <si>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</si>
  <si>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</si>
  <si>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</si>
  <si>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</si>
  <si>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</si>
  <si>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</si>
  <si>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</si>
  <si>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</si>
  <si>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</si>
  <si>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</si>
  <si>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</si>
  <si>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</si>
  <si>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</si>
  <si>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</si>
  <si>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</si>
  <si>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</si>
  <si>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</si>
  <si>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</si>
  <si>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</si>
  <si>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</si>
  <si>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</si>
  <si>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</si>
  <si>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</si>
  <si>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</si>
  <si>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</si>
  <si>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</si>
  <si>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</si>
  <si>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</si>
  <si>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</si>
  <si>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</si>
  <si>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</si>
  <si>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</si>
  <si>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</si>
  <si>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</si>
  <si>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</si>
  <si>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</si>
  <si>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</si>
  <si>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</si>
  <si>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</si>
  <si>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</si>
  <si>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</si>
  <si>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</si>
  <si>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</si>
  <si>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</si>
  <si>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</si>
  <si>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</si>
  <si>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</si>
  <si>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</si>
  <si>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</si>
  <si>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</si>
  <si>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</si>
  <si>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</si>
  <si>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</si>
  <si>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</si>
  <si>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</si>
  <si>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</si>
  <si>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</si>
  <si>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</si>
  <si>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</si>
  <si>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</si>
  <si>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</si>
  <si>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</si>
  <si>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</si>
  <si>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</si>
  <si>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</si>
  <si>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</si>
  <si>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</si>
  <si>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</si>
  <si>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</si>
  <si>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</si>
  <si>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</si>
  <si>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</si>
  <si>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</si>
  <si>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</si>
  <si>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</si>
  <si>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</si>
  <si>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</si>
  <si>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</si>
  <si>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</si>
  <si>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</si>
  <si>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</si>
  <si>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</si>
  <si>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</si>
  <si>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</si>
  <si>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</si>
  <si>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</si>
  <si>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</si>
  <si>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</si>
  <si>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</si>
  <si>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</si>
  <si>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</si>
  <si>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</si>
  <si>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</si>
  <si>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</si>
  <si>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</si>
  <si>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</si>
  <si>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</si>
  <si>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</si>
  <si>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</si>
  <si>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</si>
  <si>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</si>
  <si>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</si>
  <si>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</si>
  <si>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</si>
  <si>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</si>
  <si>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</si>
  <si>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</si>
  <si>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</si>
  <si>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</si>
  <si>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</si>
  <si>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</si>
  <si>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</si>
  <si>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</si>
  <si>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</si>
  <si>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</si>
  <si>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</si>
  <si>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</si>
  <si>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</si>
  <si>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</si>
  <si>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</si>
  <si>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</si>
  <si>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</si>
  <si>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</si>
  <si>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</si>
  <si>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</si>
  <si>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</si>
  <si>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</si>
  <si>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</si>
  <si>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</si>
  <si>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</si>
  <si>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</si>
  <si>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</si>
  <si>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</si>
  <si>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</si>
  <si>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</si>
  <si>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</si>
  <si>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</si>
  <si>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</si>
  <si>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</si>
  <si>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</si>
  <si>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</si>
  <si>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</si>
  <si>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</si>
  <si>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</si>
  <si>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</si>
  <si>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</si>
  <si>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</si>
  <si>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</si>
  <si>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</si>
  <si>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</si>
  <si>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</si>
  <si>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</si>
  <si>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</si>
  <si>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</si>
  <si>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</si>
  <si>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</si>
  <si>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</si>
  <si>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</si>
  <si>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</si>
  <si>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</si>
  <si>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</si>
  <si>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</si>
  <si>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</si>
  <si>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</si>
  <si>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</si>
  <si>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</si>
  <si>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</si>
  <si>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</si>
  <si>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</si>
  <si>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</si>
  <si>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</si>
  <si>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</si>
  <si>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</si>
  <si>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</si>
  <si>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</si>
  <si>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</si>
  <si>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</si>
  <si>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</si>
  <si>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</si>
  <si>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</si>
  <si>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</si>
  <si>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</si>
  <si>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</si>
  <si>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</si>
  <si>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</si>
  <si>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</si>
  <si>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</si>
  <si>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</si>
  <si>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</si>
  <si>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</si>
  <si>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</si>
  <si>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</si>
  <si>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</si>
  <si>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</si>
  <si>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</si>
  <si>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</si>
  <si>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</si>
  <si>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</si>
  <si>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</si>
  <si>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</si>
  <si>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</si>
  <si>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</si>
  <si>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</si>
  <si>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</si>
  <si>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</si>
  <si>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</si>
  <si>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</si>
  <si>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</si>
  <si>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</si>
  <si>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</si>
  <si>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</si>
  <si>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</si>
  <si>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</si>
  <si>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</si>
  <si>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</si>
  <si>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</si>
  <si>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</si>
  <si>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</si>
  <si>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</si>
  <si>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</si>
  <si>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</si>
  <si>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</si>
  <si>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</si>
  <si>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</si>
  <si>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</si>
  <si>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</si>
  <si>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</si>
  <si>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</si>
  <si>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</si>
  <si>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</si>
  <si>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</si>
  <si>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</si>
  <si>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</si>
  <si>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</si>
  <si>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</si>
  <si>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</si>
  <si>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</si>
  <si>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</si>
  <si>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</si>
  <si>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</si>
  <si>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</si>
  <si>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</si>
  <si>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</si>
  <si>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</si>
  <si>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</si>
  <si>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</si>
  <si>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</si>
  <si>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</si>
  <si>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</si>
  <si>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</si>
  <si>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</si>
  <si>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</si>
  <si>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</si>
  <si>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</si>
  <si>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</si>
  <si>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</si>
  <si>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</si>
  <si>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</si>
  <si>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</si>
  <si>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</si>
  <si>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</si>
  <si>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</si>
  <si>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</si>
  <si>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</si>
  <si>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</si>
  <si>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</si>
  <si>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</si>
  <si>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</si>
  <si>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</si>
  <si>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</si>
  <si>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</si>
  <si>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</si>
  <si>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</si>
  <si>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</si>
  <si>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</si>
  <si>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</si>
  <si>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</si>
  <si>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</si>
  <si>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</si>
  <si>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</si>
  <si>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</si>
  <si>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</si>
  <si>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</si>
  <si>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</si>
  <si>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</si>
  <si>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</si>
  <si>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</si>
  <si>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</si>
  <si>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</si>
  <si>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</si>
  <si>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</si>
  <si>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</si>
  <si>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</si>
  <si>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</si>
  <si>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</si>
  <si>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</si>
  <si>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</si>
  <si>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</si>
  <si>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</si>
  <si>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</si>
  <si>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</si>
  <si>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</si>
  <si>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</si>
  <si>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</si>
  <si>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</si>
  <si>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</si>
  <si>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</si>
  <si>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</si>
  <si>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</si>
  <si>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</si>
  <si>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</si>
  <si>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</si>
  <si>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</si>
  <si>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</si>
  <si>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</si>
  <si>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</si>
  <si>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</si>
  <si>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</si>
  <si>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</si>
  <si>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</si>
  <si>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</si>
  <si>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</si>
  <si>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</si>
  <si>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</si>
  <si>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</si>
  <si>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</si>
  <si>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</si>
  <si>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</si>
  <si>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</si>
  <si>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</si>
  <si>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</si>
  <si>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</si>
  <si>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</si>
  <si>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</si>
  <si>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</si>
  <si>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</si>
  <si>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</si>
  <si>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</si>
  <si>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</si>
  <si>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</si>
  <si>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</si>
  <si>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</si>
  <si>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</si>
  <si>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</si>
  <si>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</si>
  <si>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</si>
  <si>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</si>
  <si>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</si>
  <si>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</si>
  <si>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</si>
  <si>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</si>
  <si>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</si>
  <si>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</si>
  <si>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</si>
  <si>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</si>
  <si>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</si>
  <si>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</si>
  <si>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</si>
  <si>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</si>
  <si>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</si>
  <si>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</si>
  <si>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</si>
  <si>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</si>
  <si>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</si>
  <si>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</si>
  <si>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</si>
  <si>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</si>
  <si>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</si>
  <si>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</si>
  <si>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</si>
  <si>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</si>
  <si>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</si>
  <si>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</si>
  <si>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</si>
  <si>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</si>
  <si>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</si>
  <si>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</si>
  <si>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</si>
  <si>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</si>
  <si>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</si>
  <si>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</si>
  <si>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</si>
  <si>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</si>
  <si>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</si>
  <si>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</si>
  <si>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</si>
  <si>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</si>
  <si>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</si>
  <si>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</si>
  <si>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</si>
  <si>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</si>
  <si>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</si>
  <si>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</si>
  <si>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</si>
  <si>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</si>
  <si>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</si>
  <si>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</si>
  <si>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</si>
  <si>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</si>
  <si>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</si>
  <si>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</si>
  <si>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</si>
  <si>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</si>
  <si>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</si>
  <si>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</si>
  <si>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</si>
  <si>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</si>
  <si>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</si>
  <si>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</si>
  <si>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</si>
  <si>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</si>
  <si>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</si>
  <si>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</si>
  <si>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</si>
  <si>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</si>
  <si>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</si>
  <si>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</si>
  <si>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</si>
  <si>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</si>
  <si>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</si>
  <si>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</si>
  <si>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</si>
  <si>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</si>
  <si>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</si>
  <si>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</si>
  <si>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</si>
  <si>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</si>
  <si>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</si>
  <si>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</si>
  <si>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</si>
  <si>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</si>
  <si>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</si>
  <si>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</si>
  <si>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</si>
  <si>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</si>
  <si>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</si>
  <si>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</si>
  <si>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</si>
  <si>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</si>
  <si>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</si>
  <si>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</si>
  <si>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</si>
  <si>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</si>
  <si>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</si>
  <si>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</si>
  <si>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</si>
  <si>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</si>
  <si>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</si>
  <si>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</si>
  <si>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</si>
  <si>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</si>
  <si>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</si>
  <si>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</si>
  <si>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</si>
  <si>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</si>
  <si>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</si>
  <si>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</si>
  <si>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</si>
  <si>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</si>
  <si>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</si>
  <si>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</si>
  <si>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</si>
  <si>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</si>
  <si>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</si>
  <si>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</si>
  <si>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</si>
  <si>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</si>
  <si>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</si>
  <si>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</si>
  <si>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</si>
  <si>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</si>
  <si>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</si>
  <si>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</si>
  <si>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</si>
  <si>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</si>
  <si>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</si>
  <si>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</si>
  <si>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</si>
  <si>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</si>
  <si>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</si>
  <si>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</si>
  <si>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</si>
  <si>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</si>
  <si>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</si>
  <si>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</si>
  <si>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</si>
  <si>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</si>
  <si>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</si>
  <si>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</si>
  <si>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</si>
  <si>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</si>
  <si>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</si>
  <si>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</si>
  <si>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</si>
  <si>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</si>
  <si>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</si>
  <si>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</si>
  <si>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</si>
  <si>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</si>
  <si>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</si>
  <si>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</si>
  <si>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</si>
  <si>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</si>
  <si>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</si>
  <si>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</si>
  <si>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</si>
  <si>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</si>
  <si>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</si>
  <si>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</si>
  <si>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</si>
  <si>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</si>
  <si>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</si>
  <si>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</si>
  <si>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</si>
  <si>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</si>
  <si>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</si>
  <si>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</si>
  <si>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</si>
  <si>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</si>
  <si>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</si>
  <si>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</si>
  <si>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</si>
  <si>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</si>
  <si>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</si>
  <si>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</si>
  <si>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</si>
  <si>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</si>
  <si>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</si>
  <si>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</si>
  <si>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</si>
  <si>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</si>
  <si>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</si>
  <si>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</si>
  <si>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</si>
  <si>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</si>
  <si>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</si>
  <si>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</si>
  <si>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</si>
  <si>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</si>
  <si>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</si>
  <si>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</si>
  <si>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</si>
  <si>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</si>
  <si>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</si>
  <si>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</si>
  <si>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</si>
  <si>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</si>
  <si>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</si>
  <si>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</si>
  <si>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</si>
  <si>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</si>
  <si>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</si>
  <si>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</si>
  <si>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</si>
  <si>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</si>
  <si>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</si>
  <si>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</si>
  <si>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</si>
  <si>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</si>
  <si>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</si>
  <si>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</si>
  <si>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</si>
  <si>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</si>
  <si>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</si>
  <si>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</si>
  <si>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</si>
  <si>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</si>
  <si>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</si>
  <si>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</si>
  <si>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</si>
  <si>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</si>
  <si>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</si>
  <si>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</si>
  <si>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</si>
  <si>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</si>
  <si>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</si>
  <si>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</si>
  <si>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</si>
  <si>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</si>
  <si>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</si>
  <si>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</si>
  <si>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</si>
  <si>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</si>
  <si>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</si>
  <si>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</si>
  <si>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</si>
  <si>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</si>
  <si>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</si>
  <si>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</si>
  <si>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</si>
  <si>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</si>
  <si>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</si>
  <si>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</si>
  <si>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</si>
  <si>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</si>
  <si>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</si>
  <si>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</si>
  <si>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</si>
  <si>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</si>
  <si>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</si>
  <si>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</si>
  <si>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</si>
  <si>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</si>
  <si>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</si>
  <si>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</si>
  <si>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</si>
  <si>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</si>
  <si>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</si>
  <si>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</si>
  <si>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</si>
  <si>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</si>
  <si>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</si>
  <si>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</si>
  <si>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</si>
  <si>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</si>
  <si>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</si>
  <si>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</si>
  <si>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</si>
  <si>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</si>
  <si>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</si>
  <si>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</si>
  <si>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</si>
  <si>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</si>
  <si>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</si>
  <si>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</si>
  <si>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</si>
  <si>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</si>
  <si>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</si>
  <si>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</si>
  <si>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</si>
  <si>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</si>
  <si>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</si>
  <si>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</si>
  <si>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</si>
  <si>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</si>
  <si>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</si>
  <si>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</si>
  <si>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</si>
  <si>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</si>
  <si>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</si>
  <si>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</si>
  <si>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</si>
  <si>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</si>
  <si>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</si>
  <si>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</si>
  <si>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</si>
  <si>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</si>
  <si>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</si>
  <si>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</si>
  <si>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</si>
  <si>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</si>
  <si>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</si>
  <si>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</si>
  <si>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</si>
  <si>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</si>
  <si>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</si>
  <si>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</si>
  <si>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</si>
  <si>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</si>
  <si>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</si>
  <si>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</si>
  <si>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</si>
  <si>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</si>
  <si>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</si>
  <si>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</si>
  <si>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</si>
  <si>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</si>
  <si>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</si>
  <si>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</si>
  <si>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</si>
  <si>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</si>
  <si>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</si>
  <si>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</si>
  <si>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</si>
  <si>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</si>
  <si>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</si>
  <si>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</si>
  <si>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</si>
  <si>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</si>
  <si>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</si>
  <si>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</si>
  <si>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</si>
  <si>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</si>
  <si>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</si>
  <si>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</si>
  <si>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</si>
  <si>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</si>
  <si>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</si>
  <si>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</si>
  <si>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</si>
  <si>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</si>
  <si>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</si>
  <si>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</si>
  <si>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</si>
  <si>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</si>
  <si>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</si>
  <si>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</si>
  <si>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</si>
  <si>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</si>
  <si>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</si>
  <si>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</si>
  <si>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</si>
  <si>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</si>
  <si>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</si>
  <si>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</si>
  <si>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</si>
  <si>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</si>
  <si>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</si>
  <si>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</si>
  <si>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</si>
  <si>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</si>
  <si>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</si>
  <si>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</si>
  <si>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</si>
  <si>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</si>
  <si>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</si>
  <si>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</si>
  <si>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</si>
  <si>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</si>
  <si>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</si>
  <si>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</si>
  <si>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</si>
  <si>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</si>
  <si>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</si>
  <si>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</si>
  <si>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</si>
  <si>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</si>
  <si>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</si>
  <si>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</si>
  <si>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</si>
  <si>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</si>
  <si>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</si>
  <si>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</si>
  <si>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</si>
  <si>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</si>
  <si>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</si>
  <si>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</si>
  <si>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</si>
  <si>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</si>
  <si>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</si>
  <si>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</si>
  <si>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</si>
  <si>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</si>
  <si>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</si>
  <si>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</si>
  <si>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</si>
  <si>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</si>
  <si>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</si>
  <si>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</si>
  <si>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</si>
  <si>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</si>
  <si>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</si>
  <si>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</si>
  <si>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</si>
  <si>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</si>
  <si>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</si>
  <si>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</si>
  <si>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</si>
  <si>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</si>
  <si>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</si>
  <si>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</si>
  <si>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</si>
  <si>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</si>
  <si>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</si>
  <si>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</si>
  <si>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</si>
  <si>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</si>
  <si>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</si>
  <si>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</si>
  <si>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</si>
  <si>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</si>
  <si>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</si>
  <si>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</si>
  <si>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</si>
  <si>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</si>
  <si>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</si>
  <si>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</si>
  <si>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</si>
  <si>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</si>
  <si>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</si>
  <si>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</si>
  <si>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</si>
  <si>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</si>
  <si>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</si>
  <si>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</si>
  <si>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</si>
  <si>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</si>
  <si>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</si>
  <si>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</si>
  <si>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</si>
  <si>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</si>
  <si>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</si>
  <si>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</si>
  <si>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</si>
  <si>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</si>
  <si>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</si>
  <si>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</si>
  <si>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</si>
  <si>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</si>
  <si>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</si>
  <si>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</si>
  <si>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</si>
  <si>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</si>
  <si>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</si>
  <si>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</si>
  <si>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</si>
  <si>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</si>
  <si>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</si>
  <si>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</si>
  <si>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</si>
  <si>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</si>
  <si>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</si>
  <si>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</si>
  <si>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</si>
  <si>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</si>
  <si>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</si>
  <si>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</si>
  <si>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</si>
  <si>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</si>
  <si>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</si>
  <si>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</si>
  <si>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</si>
  <si>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</si>
  <si>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</si>
  <si>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</si>
  <si>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</si>
  <si>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</si>
  <si>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</si>
  <si>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</si>
  <si>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</si>
  <si>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</si>
  <si>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</si>
  <si>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</si>
  <si>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</si>
  <si>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</si>
  <si>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</si>
  <si>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</si>
  <si>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</si>
  <si>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</si>
  <si>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</si>
  <si>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</si>
  <si>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</si>
  <si>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</si>
  <si>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</si>
  <si>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</si>
  <si>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</si>
  <si>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</si>
  <si>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</si>
  <si>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</si>
  <si>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</si>
  <si>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</si>
  <si>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</si>
  <si>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</si>
  <si>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</si>
  <si>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</si>
  <si>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</si>
  <si>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</si>
  <si>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</si>
  <si>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</si>
  <si>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</si>
  <si>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</si>
  <si>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</si>
  <si>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</si>
  <si>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</si>
  <si>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</si>
  <si>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</si>
  <si>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</si>
  <si>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</si>
  <si>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</si>
  <si>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</si>
  <si>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</si>
  <si>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</si>
  <si>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</si>
  <si>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</si>
  <si>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</si>
  <si>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</si>
  <si>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</si>
  <si>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</si>
  <si>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</si>
  <si>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</si>
  <si>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</si>
  <si>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</si>
  <si>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</si>
  <si>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</si>
  <si>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</si>
  <si>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</si>
  <si>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</si>
  <si>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</si>
  <si>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</si>
  <si>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</si>
  <si>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</si>
  <si>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</si>
  <si>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</si>
  <si>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</si>
  <si>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</si>
  <si>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</si>
  <si>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</si>
  <si>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</si>
  <si>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</si>
  <si>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</si>
  <si>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</si>
  <si>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</si>
  <si>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</si>
  <si>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</si>
  <si>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</si>
  <si>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</si>
  <si>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</si>
  <si>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</si>
  <si>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</si>
  <si>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</si>
  <si>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</si>
  <si>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</si>
  <si>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</si>
  <si>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</si>
  <si>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left</t>
  </si>
  <si>
    <t>right</t>
  </si>
  <si>
    <t>top</t>
  </si>
  <si>
    <t>bottom</t>
  </si>
  <si>
    <t>ground</t>
  </si>
  <si>
    <t>blur I</t>
  </si>
  <si>
    <t>blur II</t>
  </si>
  <si>
    <t>axis x</t>
  </si>
  <si>
    <t>axis y</t>
  </si>
  <si>
    <t>axis z</t>
  </si>
  <si>
    <t>outline</t>
  </si>
  <si>
    <t>offset</t>
  </si>
  <si>
    <t>paint</t>
  </si>
  <si>
    <t>angle nw</t>
  </si>
  <si>
    <t>angle ne</t>
  </si>
  <si>
    <t>angle sw</t>
  </si>
  <si>
    <t>angle se</t>
  </si>
  <si>
    <t>slide x</t>
  </si>
  <si>
    <t>slide y</t>
  </si>
  <si>
    <t>scale x</t>
  </si>
  <si>
    <t>scale y</t>
  </si>
  <si>
    <t>rotate z</t>
  </si>
  <si>
    <t>origin z</t>
  </si>
  <si>
    <t>horizontal</t>
  </si>
  <si>
    <t>vertical</t>
  </si>
  <si>
    <t>direct</t>
  </si>
  <si>
    <t>invert</t>
  </si>
  <si>
    <t>index</t>
  </si>
  <si>
    <t>px</t>
  </si>
  <si>
    <t>boolean</t>
  </si>
  <si>
    <t>px,px</t>
  </si>
  <si>
    <t>%,%</t>
  </si>
  <si>
    <t>deg all</t>
  </si>
  <si>
    <t>select 8</t>
  </si>
  <si>
    <t>select 5</t>
  </si>
  <si>
    <t>select 6</t>
  </si>
  <si>
    <t>false</t>
  </si>
  <si>
    <t>solid</t>
  </si>
  <si>
    <t>center</t>
  </si>
  <si>
    <t>start</t>
  </si>
  <si>
    <t>all</t>
  </si>
  <si>
    <t>shape fill</t>
  </si>
  <si>
    <t>shade front</t>
  </si>
  <si>
    <t>shade scope</t>
  </si>
  <si>
    <t>border fill</t>
  </si>
  <si>
    <t>outline fill</t>
  </si>
  <si>
    <t>gradient</t>
  </si>
  <si>
    <t>fills</t>
  </si>
  <si>
    <t>front</t>
  </si>
  <si>
    <t>scope</t>
  </si>
  <si>
    <t>border</t>
  </si>
  <si>
    <t>display</t>
  </si>
  <si>
    <t>visible</t>
  </si>
  <si>
    <t>blend I</t>
  </si>
  <si>
    <t>blend II</t>
  </si>
  <si>
    <t>drop fx</t>
  </si>
  <si>
    <t>shade</t>
  </si>
  <si>
    <t>bright</t>
  </si>
  <si>
    <t>opacity</t>
  </si>
  <si>
    <t>grayscale</t>
  </si>
  <si>
    <t>saturate</t>
  </si>
  <si>
    <t>contrast</t>
  </si>
  <si>
    <t>rotation</t>
  </si>
  <si>
    <t>image</t>
  </si>
  <si>
    <t>shift I</t>
  </si>
  <si>
    <t>shift II</t>
  </si>
  <si>
    <t>select 130</t>
  </si>
  <si>
    <t>r,g,b,a</t>
  </si>
  <si>
    <t>#hex</t>
  </si>
  <si>
    <t>select 15</t>
  </si>
  <si>
    <t>%</t>
  </si>
  <si>
    <t>select 2</t>
  </si>
  <si>
    <t>linear</t>
  </si>
  <si>
    <t>Gray</t>
  </si>
  <si>
    <t>White</t>
  </si>
  <si>
    <t>location</t>
  </si>
  <si>
    <t>position</t>
  </si>
  <si>
    <t>sizes I</t>
  </si>
  <si>
    <t>sizes II</t>
  </si>
  <si>
    <t>file local</t>
  </si>
  <si>
    <t>path png</t>
  </si>
  <si>
    <t>cover</t>
  </si>
  <si>
    <t>color I</t>
  </si>
  <si>
    <t>color II</t>
  </si>
  <si>
    <t>align I</t>
  </si>
  <si>
    <t>align II</t>
  </si>
  <si>
    <t>style</t>
  </si>
  <si>
    <t>size I</t>
  </si>
  <si>
    <t>size II</t>
  </si>
  <si>
    <t>input text</t>
  </si>
  <si>
    <t>1 - 9</t>
  </si>
  <si>
    <t>path otf</t>
  </si>
  <si>
    <t>html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</si>
</sst>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8.0"/>
      <color theme="1"/>
      <name val="Consolas"/>
    </font>
    <font>
      <b/>
      <sz val="8.0"/>
      <color theme="1"/>
      <name val="Consolas"/>
    </font>
    <font>
      <sz val="4.0"/>
      <color rgb="FFCCCCCC"/>
      <name val="Consolas"/>
    </font>
    <font>
      <color theme="1"/>
      <name val="Calibri"/>
      <scheme val="minor"/>
    </font>
    <font>
      <sz val="12.0"/>
      <color rgb="FF6A9955"/>
      <name val="Menlo"/>
    </font>
    <font>
      <sz val="5.0"/>
      <color rgb="FFCE9178"/>
      <name val="Consolas"/>
    </font>
    <font>
      <sz val="8.0"/>
      <color rgb="FFF2F2F2"/>
      <name val="Consolas"/>
    </font>
    <font>
      <b/>
      <sz val="8.0"/>
      <color rgb="FF7F7F7F"/>
      <name val="Consolas"/>
    </font>
    <font>
      <sz val="8.0"/>
      <color rgb="FFFF0000"/>
      <name val="Consolas"/>
    </font>
    <font>
      <b/>
      <sz val="8.0"/>
      <color theme="0"/>
      <name val="Montserrat"/>
    </font>
    <font>
      <b/>
      <sz val="8.0"/>
      <color theme="1"/>
      <name val="Montserrat"/>
    </font>
    <font>
      <sz val="8.0"/>
      <color theme="1"/>
      <name val="Montserrat"/>
    </font>
    <font>
      <b/>
      <sz val="8.0"/>
      <color rgb="FFFF0000"/>
      <name val="Montserrat"/>
    </font>
    <font>
      <sz val="8.0"/>
      <color rgb="FFFF0000"/>
      <name val="Montserrat"/>
    </font>
    <font>
      <sz val="8.0"/>
      <color rgb="FF7F7F7F"/>
      <name val="Montserrat"/>
    </font>
    <font>
      <sz val="8.0"/>
      <color rgb="FF00B050"/>
      <name val="Montserrat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A9A9A9"/>
        <bgColor rgb="FFA9A9A9"/>
      </patternFill>
    </fill>
  </fills>
  <borders count="3">
    <border/>
    <border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quotePrefix="1" borderId="0" fillId="0" fontId="1" numFmtId="0" xfId="0" applyAlignment="1" applyFont="1">
      <alignment horizontal="center" vertical="center"/>
    </xf>
    <xf quotePrefix="1"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2" fillId="2" fontId="10" numFmtId="0" xfId="0" applyAlignment="1" applyBorder="1" applyFill="1" applyFont="1">
      <alignment horizontal="center" shrinkToFit="0" vertical="center" wrapText="1"/>
    </xf>
    <xf quotePrefix="1" borderId="2" fillId="2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1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1" xfId="0" applyAlignment="1" applyFont="1" applyNumberFormat="1">
      <alignment horizontal="center" shrinkToFit="0" vertical="center" wrapText="1"/>
    </xf>
    <xf borderId="2" fillId="3" fontId="10" numFmtId="0" xfId="0" applyAlignment="1" applyBorder="1" applyFill="1" applyFont="1">
      <alignment horizontal="center" shrinkToFit="0" vertical="center" wrapText="1"/>
    </xf>
    <xf quotePrefix="1" borderId="2" fillId="3" fontId="10" numFmtId="0" xfId="0" applyAlignment="1" applyBorder="1" applyFont="1">
      <alignment horizontal="center" shrinkToFit="0" vertical="center" wrapText="1"/>
    </xf>
    <xf quotePrefix="1" borderId="0" fillId="0" fontId="12" numFmtId="1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shrinkToFit="0" vertical="center" wrapText="1"/>
    </xf>
    <xf borderId="0" fillId="0" fontId="12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" xfId="0" applyAlignment="1" applyFont="1" applyNumberFormat="1">
      <alignment horizontal="center" readingOrder="0" shrinkToFit="0" vertical="center" wrapText="1"/>
    </xf>
    <xf quotePrefix="1" borderId="0" fillId="0" fontId="1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6.0"/>
    <col customWidth="1" min="3" max="12" width="7.0"/>
    <col customWidth="1" min="13" max="25" width="8.86"/>
    <col customWidth="1" min="26" max="26" width="11.43"/>
  </cols>
  <sheetData>
    <row r="1" ht="15.0" customHeight="1">
      <c r="A1" s="1"/>
      <c r="B1" s="2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 t="s">
        <v>0</v>
      </c>
      <c r="B2" s="2" t="str">
        <f>"export default l=&gt;{"</f>
        <v>export default l=&gt;{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0</v>
      </c>
      <c r="B3" s="2" t="str">
        <f>"const h=['','','',''];"</f>
        <v>const h=['','','',''];</v>
      </c>
      <c r="C3" s="3"/>
      <c r="D3" s="1"/>
      <c r="E3" s="3"/>
      <c r="F3" s="3"/>
      <c r="G3" s="3"/>
      <c r="H3" s="3"/>
      <c r="I3" s="3"/>
      <c r="J3" s="3"/>
      <c r="K3" s="3"/>
      <c r="L3" s="3"/>
      <c r="M3" s="3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 t="s">
        <v>0</v>
      </c>
      <c r="B4" s="2" t="str">
        <f>"const k=l[1]||Object();"</f>
        <v>const k=l[1]||Object();</v>
      </c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>
        <v>0.0</v>
      </c>
      <c r="B5" s="2" t="str">
        <f>"const k"&amp;$A$5&amp;"=_=&gt;Math.max(_,0);"</f>
        <v>const k0=_=&gt;Math.max(_,0);</v>
      </c>
      <c r="C5" s="1"/>
      <c r="D5" s="1"/>
      <c r="E5" s="2"/>
      <c r="F5" s="1"/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">
        <v>1.0</v>
      </c>
      <c r="B6" s="2" t="str">
        <f>"const k"&amp;$A$6&amp;"=_=&gt;Math.abs(_/1);"</f>
        <v>const k1=_=&gt;Math.abs(_/1);</v>
      </c>
      <c r="C6" s="1"/>
      <c r="D6" s="3"/>
      <c r="E6" s="3"/>
      <c r="F6" s="1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>
        <v>2.0</v>
      </c>
      <c r="B7" s="2" t="str">
        <f>"const k"&amp;$A$7&amp;"=_=&gt;Math.round(_/1);"</f>
        <v>const k2=_=&gt;Math.round(_/1);</v>
      </c>
      <c r="C7" s="1"/>
      <c r="D7" s="3"/>
      <c r="E7" s="3"/>
      <c r="F7" s="1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>
        <v>3.0</v>
      </c>
      <c r="B8" s="2" t="str">
        <f>"const k"&amp;$A$8&amp;"=_=&gt;Math.round(_/100);"</f>
        <v>const k3=_=&gt;Math.round(_/100);</v>
      </c>
      <c r="C8" s="1"/>
      <c r="D8" s="3"/>
      <c r="E8" s="3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">
        <v>4.0</v>
      </c>
      <c r="B9" s="2" t="str">
        <f>"const k"&amp;$A$9&amp;"=_=&gt;Math.round(_*10)/10;"</f>
        <v>const k4=_=&gt;Math.round(_*10)/10;</v>
      </c>
      <c r="C9" s="1"/>
      <c r="D9" s="3"/>
      <c r="E9" s="3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">
        <v>5.0</v>
      </c>
      <c r="B10" s="2" t="str">
        <f>"const k"&amp;$A$10&amp;"=_=&gt;Math.round(_*100)/100;"</f>
        <v>const k5=_=&gt;Math.round(_*100)/100;</v>
      </c>
      <c r="C10" s="1"/>
      <c r="D10" s="3"/>
      <c r="E10" s="3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">
        <v>6.0</v>
      </c>
      <c r="B11" s="2" t="str">
        <f>"const k"&amp;$A$11&amp;"=_=&gt;Math.round(_*1000)/1000;"</f>
        <v>const k6=_=&gt;Math.round(_*1000)/1000;</v>
      </c>
      <c r="C11" s="1"/>
      <c r="D11" s="1"/>
      <c r="E11" s="2"/>
      <c r="F11" s="1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">
        <v>7.0</v>
      </c>
      <c r="B12" s="2" t="str">
        <f>"const k"&amp;$A$12&amp;"=_=&gt;`${_}`?.padStart(2,'0');"</f>
        <v>const k7=_=&gt;`${_}`?.padStart(2,'0');</v>
      </c>
      <c r="C12" s="1"/>
      <c r="D12" s="1"/>
      <c r="E12" s="1"/>
      <c r="F12" s="1"/>
      <c r="G12" s="5"/>
      <c r="H12" s="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">
        <v>8.0</v>
      </c>
      <c r="B13" s="2" t="str">
        <f>"const k"&amp;$A$13&amp;"=_=&gt;`${_}`?.padStart(3,'0');"</f>
        <v>const k8=_=&gt;`${_}`?.padStart(3,'0');</v>
      </c>
      <c r="C13" s="1"/>
      <c r="D13" s="1"/>
      <c r="E13" s="1"/>
      <c r="F13" s="1"/>
      <c r="G13" s="5"/>
      <c r="H13" s="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">
        <v>9.0</v>
      </c>
      <c r="B14" s="2" t="str">
        <f>"const k"&amp;$A$14&amp;"=_=&gt;_.toString().split(',');"</f>
        <v>const k9=_=&gt;_.toString().split(',');</v>
      </c>
      <c r="C14" s="1"/>
      <c r="D14" s="1"/>
      <c r="E14" s="3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">
        <v>10.0</v>
      </c>
      <c r="B15" s="2" t="str">
        <f>"const k"&amp;$A$15&amp;"=_=&gt;k[_[0]]&amp;&amp;k[_[0]][_[1]];"</f>
        <v>const k10=_=&gt;k[_[0]]&amp;&amp;k[_[0]][_[1]];</v>
      </c>
      <c r="C15" s="1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">
        <v>11.0</v>
      </c>
      <c r="B16" s="2" t="str">
        <f>"const k"&amp;$A$16&amp;"=_=&gt;k[_[0]]&amp;&amp;k[_[0]][_[1]]||'';"</f>
        <v>const k11=_=&gt;k[_[0]]&amp;&amp;k[_[0]][_[1]]||'';</v>
      </c>
      <c r="C16" s="1"/>
      <c r="D16" s="1"/>
      <c r="E16" s="2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">
        <v>12.0</v>
      </c>
      <c r="B17" s="2" t="str">
        <f>"const k"&amp;$A$17&amp;"=_=&gt;k"&amp;$A$16&amp;"([_[0],_[1]])[_[2]]||'';"</f>
        <v>const k12=_=&gt;k11([_[0],_[1]])[_[2]]||'';</v>
      </c>
      <c r="C17" s="1"/>
      <c r="D17" s="1"/>
      <c r="E17" s="2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>
        <v>13.0</v>
      </c>
      <c r="B18" s="2" t="str">
        <f>"const k"&amp;$A$18&amp;"=_=&gt;k"&amp;$A$16&amp;"([_[0],_[2]])[_[1]]||'';"</f>
        <v>const k13=_=&gt;k11([_[0],_[2]])[_[1]]||'';</v>
      </c>
      <c r="C18" s="1"/>
      <c r="D18" s="1"/>
      <c r="E18" s="2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>
        <v>14.0</v>
      </c>
      <c r="B19" s="2" t="str">
        <f>"const k"&amp;$A$19&amp;"=_=&gt;k"&amp;$A$16&amp;"([_[0],_[2]])[_[1]]==null?0:1;"</f>
        <v>const k14=_=&gt;k11([_[0],_[2]])[_[1]]==null?0:1;</v>
      </c>
      <c r="C19" s="1"/>
      <c r="D19" s="1"/>
      <c r="E19" s="2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">
        <v>15.0</v>
      </c>
      <c r="B20" s="2" t="str">
        <f>"const k"&amp;$A$20&amp;"=_=&gt;k"&amp;$A$19&amp;"(_)?k"&amp;$A$16&amp;"([_[0],_[2]])[_[1]]:_[3];"</f>
        <v>const k15=_=&gt;k14(_)?k11([_[0],_[2]])[_[1]]:_[3];</v>
      </c>
      <c r="C20" s="1"/>
      <c r="D20" s="1"/>
      <c r="E20" s="2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">
        <v>16.0</v>
      </c>
      <c r="B21" s="2" t="str">
        <f>"const k"&amp;$A$21&amp;"=_=&gt;_.match(/.{2}/g).map(_=&gt;parseInt(_,16));"</f>
        <v>const k16=_=&gt;_.match(/.{2}/g).map(_=&gt;parseInt(_,16));</v>
      </c>
      <c r="C21" s="1"/>
      <c r="D21" s="1"/>
      <c r="E21" s="2"/>
      <c r="F21" s="1"/>
      <c r="G21" s="3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"/>
      <c r="B22" s="2"/>
      <c r="C22" s="1"/>
      <c r="D22" s="1"/>
      <c r="E22" s="2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>
        <v>0.0</v>
      </c>
      <c r="B23" s="2" t="str">
        <f>"const h"&amp;$A$23&amp;"=l=&gt;{let l"&amp;$A$64&amp;"=k"&amp;$A$18&amp;"(l);let l"&amp;$A$65&amp;"=k"&amp;$A$14&amp;"(l"&amp;$A$64&amp;");let l"&amp;$A$66&amp;"=[l"&amp;$A$65&amp;"[0]||'',l"&amp;$A$65&amp;"[1]||''];return l"&amp;$A$66&amp;";};"</f>
        <v>const h0=l=&gt;{let l0=k13(l);let l1=k9(l0);let l2=[l1[0]||'',l1[1]||''];return l2;};</v>
      </c>
      <c r="C23" s="1"/>
      <c r="D23" s="1"/>
      <c r="E23" s="2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6">
        <v>1.0</v>
      </c>
      <c r="B24" s="2" t="str">
        <f>"const h"&amp;$A$24&amp;"=l=&gt;{let l"&amp;$A$64&amp;"=k"&amp;$A$14&amp;"(l[0]);let l"&amp;$A$65&amp;"=l"&amp;$A$64&amp;".map(_=&gt;`${_}${l[1]}`);let l"&amp;$A$66&amp;"=l"&amp;$A$65&amp;".join(' ');return l"&amp;$A$66&amp;";};"</f>
        <v>const h1=l=&gt;{let l0=k9(l[0]);let l1=l0.map(_=&gt;`${_}${l[1]}`);let l2=l1.join(' ');return l2;};</v>
      </c>
      <c r="C24" s="1"/>
      <c r="D24" s="1"/>
      <c r="E24" s="2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6">
        <v>2.0</v>
      </c>
      <c r="B25" s="2" t="str">
        <f>"const h"&amp;$A$25&amp;"=l=&gt;{let l"&amp;$A$64&amp;"=k"&amp;$A$18&amp;"(l);let l"&amp;$A$65&amp;"=k"&amp;$A$14&amp;"(l"&amp;$A$64&amp;");let l"&amp;$A$66&amp;"=Number(l"&amp;$A$65&amp;"[0]||0)+Number(l"&amp;$A$65&amp;"[1]||0);return l"&amp;$A$66&amp;";};"</f>
        <v>const h2=l=&gt;{let l0=k13(l);let l1=k9(l0);let l2=Number(l1[0]||0)+Number(l1[1]||0);return l2;};</v>
      </c>
      <c r="C25" s="1"/>
      <c r="D25" s="1"/>
      <c r="E25" s="3"/>
      <c r="F25" s="1"/>
      <c r="G25" s="1"/>
      <c r="H25" s="1"/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6">
        <v>3.0</v>
      </c>
      <c r="B26" s="2" t="str">
        <f>"const h"&amp;$A$26&amp;"=l=&gt;{let l"&amp;$A$64&amp;"=k"&amp;$A$18&amp;"(l);let l"&amp;$A$65&amp;"=k"&amp;$A$14&amp;"(l"&amp;$A$64&amp;");let l"&amp;$A$66&amp;"=[Number(l"&amp;$A$65&amp;"[0]||0),Number(l"&amp;$A$65&amp;"[1]||0)];return l"&amp;$A$66&amp;";};"</f>
        <v>const h3=l=&gt;{let l0=k13(l);let l1=k9(l0);let l2=[Number(l1[0]||0),Number(l1[1]||0)];return l2;};</v>
      </c>
      <c r="C26" s="1"/>
      <c r="D26" s="1"/>
      <c r="E26" s="3"/>
      <c r="F26" s="1"/>
      <c r="G26" s="1"/>
      <c r="H26" s="1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6">
        <v>4.0</v>
      </c>
      <c r="B27" s="2" t="str">
        <f>"const h"&amp;$A$27&amp;"=l=&gt;{let l"&amp;$A$64&amp;"=Number();for(let i=1;i&lt;l.length;"&amp;"i"&amp;"++){l"&amp;$A$64&amp;"+=!k"&amp;$A$16&amp;"([l[0],l[i]])?0:1;}return l"&amp;$A$64&amp;";};"</f>
        <v>const h4=l=&gt;{let l0=Number();for(let i=1;i&lt;l.length;i++){l0+=!k11([l[0],l[i]])?0:1;}return l0;};</v>
      </c>
      <c r="C27" s="1"/>
      <c r="D27" s="1"/>
      <c r="E27" s="2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6">
        <v>5.0</v>
      </c>
      <c r="B28" s="2" t="str">
        <f>"const h"&amp;$A$28&amp;"=l=&gt;{let l"&amp;$A$64&amp;"=Number();let l"&amp;$A$65&amp;"=k"&amp;$A$16&amp;"(l);for(let i=0;i&lt;l[3]+1;i++){l"&amp;$A$64&amp;"+=l"&amp;$A$65&amp;"[l[2]+i]==null?0:1;}return l"&amp;$A$64&amp;";};"</f>
        <v>const h5=l=&gt;{let l0=Number();let l1=k11(l);for(let i=0;i&lt;l[3]+1;i++){l0+=l1[l[2]+i]==null?0:1;}return l0;};</v>
      </c>
      <c r="C28" s="1"/>
      <c r="D28" s="1"/>
      <c r="E28" s="2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6">
        <v>6.0</v>
      </c>
      <c r="B29" s="2" t="str">
        <f>"const h"&amp;$A$29&amp;"=l=&gt;{let l"&amp;$A$64&amp;"=Number();let l"&amp;$A$65&amp;"=k"&amp;$A$16&amp;"(l);for(let i=2;i&lt;l.length;i++){l"&amp;$A$64&amp;"+=l"&amp;$A$65&amp;"[l[i]]==null?0:1;}return l"&amp;$A$64&amp;";};"</f>
        <v>const h6=l=&gt;{let l0=Number();let l1=k11(l);for(let i=2;i&lt;l.length;i++){l0+=l1[l[i]]==null?0:1;}return l0;};</v>
      </c>
      <c r="C29" s="1"/>
      <c r="D29" s="1"/>
      <c r="E29" s="2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6">
        <v>7.0</v>
      </c>
      <c r="B30" s="2" t="str">
        <f>"const h"&amp;$A$30&amp;"=l=&gt;{let l"&amp;$A$64&amp;"=((l||0)-50)*Math.PI/50;let l"&amp;$A$65&amp;"=Math.cos(l"&amp;$A$64&amp;");let l"&amp;$A$66&amp;"=Math.sin(l"&amp;$A$64&amp;");let l"&amp;$A$67&amp;"=[l"&amp;$A$65&amp;",l"&amp;$A$66&amp;"];return l"&amp;$A$67&amp;";};"</f>
        <v>const h7=l=&gt;{let l0=((l||0)-50)*Math.PI/50;let l1=Math.cos(l0);let l2=Math.sin(l0);let l3=[l1,l2];return l3;};</v>
      </c>
      <c r="C30" s="1"/>
      <c r="D30" s="1"/>
      <c r="E30" s="2"/>
      <c r="F30" s="1"/>
      <c r="G30" s="3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6">
        <v>8.0</v>
      </c>
      <c r="B31" s="2" t="str">
        <f>"const h"&amp;$A$31&amp;"=l=&gt;{let l"&amp;$A$64&amp;"=Number();for(let i=2;i&lt;l.length;i++){let l"&amp;$A$65&amp;"=k"&amp;$A$16&amp;"([l[0],l[i]]);l"&amp;$A$64&amp;"+=l"&amp;$A$65&amp;"[l[1]]==null?0:1;}return l"&amp;$A$64&amp;";};"</f>
        <v>const h8=l=&gt;{let l0=Number();for(let i=2;i&lt;l.length;i++){let l1=k11([l[0],l[i]]);l0+=l1[l[1]]==null?0:1;}return l0;};</v>
      </c>
      <c r="C31" s="1"/>
      <c r="D31" s="1"/>
      <c r="E31" s="2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9.0</v>
      </c>
      <c r="B32" s="2" t="str">
        <f>"const hh"&amp;$A$32&amp;"=l=&gt;{let l"&amp;$A$64&amp;"=Number();let l"&amp;$A$65&amp;"=l.slice(1);for(let i=0;i&lt;100;i++){let l"&amp;$A$66&amp;"=h7([l[0],i,...l"&amp;$A$65&amp;"]);l"&amp;$A$64&amp;"+=!l"&amp;$A$66&amp;"?0:1;}return l"&amp;$A$64&amp;";};"</f>
        <v>const hh9=l=&gt;{let l0=Number();let l1=l.slice(1);for(let i=0;i&lt;100;i++){let l2=h7([l[0],i,...l1]);l0+=!l2?0:1;}return l0;};</v>
      </c>
      <c r="C32" s="1"/>
      <c r="D32" s="1"/>
      <c r="E32" s="2"/>
      <c r="F32" s="1"/>
      <c r="G32" s="3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10.0</v>
      </c>
      <c r="B33" s="2" t="str">
        <f>"const h"&amp;$A$33&amp;"=l=&gt;{let l"&amp;$A$64&amp;"=k"&amp;$A$16&amp;"(['2',l[0]]);return l"&amp;$A$64&amp;"[l[1]]==null&amp;&amp;l"&amp;$A$64&amp;"[l[1]+"&amp;COLUMN('2'!$O:$O)-COLUMN('2'!$N:$N)&amp;"]==null?'0 0':`${l"&amp;$A$64&amp;"[l[1]]||0}px ${l"&amp;$A$64&amp;"[l[1]+"&amp;COLUMN('2'!$O:$O)-COLUMN('2'!$N:$N)&amp;"]||0}px`;};"</f>
        <v>const h10=l=&gt;{let l0=k11(['2',l[0]]);return l0[l[1]]==null&amp;&amp;l0[l[1]+1]==null?'0 0':`${l0[l[1]]||0}px ${l0[l[1]+1]||0}px`;};</v>
      </c>
      <c r="C33" s="1"/>
      <c r="D33" s="1"/>
      <c r="E33" s="2"/>
      <c r="F33" s="1"/>
      <c r="G33" s="3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11.0</v>
      </c>
      <c r="B34" s="2" t="str">
        <f>"const h"&amp;$A$34&amp;"=[0||"&amp;ROW('1'!$57:$57)-2&amp;","&amp;ROW('1'!$58:$58)-2&amp;","&amp;ROW('1'!$59:$59)-2&amp;","&amp;ROW('1'!$76:$76)-2&amp;","&amp;ROW('1'!$77:$77)-2&amp;","&amp;ROW('1'!$78:$78)-2&amp;","&amp;ROW('1'!$95:$95)-2&amp;","&amp;ROW('1'!$96:$96)-2&amp;","&amp;ROW('1'!$97:$97)-2&amp;","&amp;ROW('1'!$114:$114)-2&amp;","&amp;ROW('1'!$115:$115)-2&amp;","&amp;ROW('1'!$116:$116)-2&amp;","&amp;ROW('1'!$133:$133)-2&amp;","&amp;ROW('1'!$134:$134)-2&amp;","&amp;ROW('1'!$135:$135)-2&amp;","&amp;ROW('1'!$152:$152)-2&amp;","&amp;ROW('1'!$153:$153)-2&amp;","&amp;ROW('1'!$154:$154)-2&amp;","&amp;ROW('1'!$171:$171)-2&amp;","&amp;ROW('1'!$172:$172)-2&amp;","&amp;ROW('1'!$173:$173)-2&amp;","&amp;ROW('1'!$190:$190)-2&amp;","&amp;ROW('1'!$191:$191)-2&amp;","&amp;ROW('1'!$192:$192)-2&amp;","&amp;ROW('1'!$209:$209)-2&amp;","&amp;ROW('1'!$210:$210)-2&amp;","&amp;ROW('1'!$211:$211)-2&amp;","&amp;ROW('1'!$228:$228)-2&amp;","&amp;ROW('1'!$229:$229)-2&amp;","&amp;ROW('1'!$230:$230)-2&amp;"];"</f>
        <v>const h11=[0||55,56,57,74,75,76,93,94,95,112,113,114,131,132,133,150,151,152,169,170,171,188,189,190,207,208,209,226,227,228];</v>
      </c>
      <c r="C34" s="1"/>
      <c r="D34" s="1"/>
      <c r="E34" s="2"/>
      <c r="F34" s="1"/>
      <c r="G34" s="3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12.0</v>
      </c>
      <c r="B35" s="2" t="str">
        <f>"const h"&amp;$A$35&amp;"=`feColorMatrix type='matrix' values='0.33 0.33 0.33 0 0 0.33 0.33 0.33 0 0 0.33 0.33 0.33 0 0 0 0 0 1 0'&gt;&lt;/feColorMatrix`;"</f>
        <v>const h12=`feColorMatrix type='matrix' values='0.33 0.33 0.33 0 0 0.33 0.33 0.33 0 0 0.33 0.33 0.33 0 0 0 0 0 1 0'&gt;&lt;/feColorMatrix`;</v>
      </c>
      <c r="C35" s="1"/>
      <c r="D35" s="3"/>
      <c r="E35" s="7"/>
      <c r="F35" s="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6">
        <v>13.0</v>
      </c>
      <c r="B36" s="2" t="str">
        <f t="array" ref="B36">"const h"&amp;$A$36&amp;"=l=&gt;{let l"&amp;$A$64&amp;"=l[1]&gt;="&amp;ROW('3'!$5:$5)-4&amp;"&amp;&amp;l[1]&lt;="&amp;ROW('3'!$304:$304)-4&amp;"?['White','255,255,255,1','FFFFFF']:['Transparent','255,255,255,0','FFFFFF00'];return l"&amp;$A$64&amp;"[l[0]];};"</f>
        <v>const h13=l=&gt;{let l0=l[1]&gt;=1&amp;&amp;l[1]&lt;=300?['White','255,255,255,1','FFFFFF']:['Transparent','255,255,255,0','FFFFFF00'];return l0[l[0]];};</v>
      </c>
      <c r="C36" s="8" t="s">
        <v>1</v>
      </c>
      <c r="D36" s="1"/>
      <c r="E36" s="1"/>
      <c r="F36" s="5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6">
        <v>14.0</v>
      </c>
      <c r="B37" s="2" t="str">
        <f>"const h"&amp;$A$37&amp;"=l=&gt;{let l"&amp;$A$64&amp;"=k"&amp;$A$16&amp;"(['2',l[0]]);return l"&amp;$A$64&amp;"[l[1]]==null&amp;&amp;l"&amp;$A$64&amp;"[l[1]+"&amp;COLUMN('2'!$O:$O)-COLUMN('2'!$N:$N)&amp;"]==null?'':` ${l"&amp;$A$64&amp;"[l[1]]||'0'}px${l"&amp;$A$64&amp;"[l[1]+"&amp;COLUMN('2'!$O:$O)-COLUMN('2'!$N:$N)&amp;"]==null?'':` ${l"&amp;$A$64&amp;"[l[1]+1]}px`}`;};"</f>
        <v>const h14=l=&gt;{let l0=k11(['2',l[0]]);return l0[l[1]]==null&amp;&amp;l0[l[1]+1]==null?'':` ${l0[l[1]]||'0'}px${l0[l[1]+1]==null?'':` ${l0[l[1]+1]}px`}`;};</v>
      </c>
      <c r="C37" s="1"/>
      <c r="D37" s="1"/>
      <c r="E37" s="2"/>
      <c r="F37" s="1"/>
      <c r="G37" s="3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15.0</v>
      </c>
      <c r="B38" s="2" t="str">
        <f>"const h"&amp;$A$38&amp;"=l=&gt;{let l"&amp;$A$64&amp;"=Array();if(k[l[0]]!=null){let l"&amp;$A$65&amp;"=Object.keys(k[l[0]]);let l"&amp;$A$66&amp;"=l"&amp;$A$65&amp;".filter(_=&gt;_&gt;=l[1]&amp;&amp;_&lt;=l[2]);l"&amp;$A$64&amp;"=l"&amp;$A$66&amp;".map(_=&gt;Number(_));}return l"&amp;$A$64&amp;";};"</f>
        <v>const h15=l=&gt;{let l0=Array();if(k[l[0]]!=null){let l1=Object.keys(k[l[0]]);let l2=l1.filter(_=&gt;_&gt;=l[1]&amp;&amp;_&lt;=l[2]);l0=l2.map(_=&gt;Number(_));}return l0;};</v>
      </c>
      <c r="C38" s="1"/>
      <c r="D38" s="1"/>
      <c r="E38" s="3"/>
      <c r="F38" s="5"/>
      <c r="G38" s="5"/>
      <c r="H38" s="2"/>
      <c r="I38" s="5"/>
      <c r="J38" s="5"/>
      <c r="K38" s="3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16.0</v>
      </c>
      <c r="B39" s="2" t="str">
        <f>"const h"&amp;$A$39&amp;"=l=&gt;{let l"&amp;$A$64&amp;"=k"&amp;$A$16&amp;"(['2',l[0]]);let l"&amp;$A$65&amp;"=k"&amp;$A$14&amp;"(l"&amp;$A$64&amp;"[l[1]]||[]);let l"&amp;$A$66&amp;"=k"&amp;$A$14&amp;"(l"&amp;$A$64&amp;"[l[1]+1]||[]);return l"&amp;$A$66&amp;"[l[2]]?` ${l"&amp;$A$66&amp;"[l[2]]}%`:(!l"&amp;$A$65&amp;"[l[2]]?'':` ${l"&amp;$A$65&amp;"[l[2]]}px`);};"</f>
        <v>const h16=l=&gt;{let l0=k11(['2',l[0]]);let l1=k9(l0[l[1]]||[]);let l2=k9(l0[l[1]+1]||[]);return l2[l[2]]?` ${l2[l[2]]}%`:(!l1[l[2]]?'':` ${l1[l[2]]}px`);};</v>
      </c>
      <c r="C39" s="6"/>
      <c r="D39" s="1"/>
      <c r="E39" s="2"/>
      <c r="F39" s="1"/>
      <c r="G39" s="3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6">
        <v>17.0</v>
      </c>
      <c r="B40" s="2" t="str">
        <f>"const h"&amp;$A$40&amp;"=l=&gt;{let l"&amp;$A$65&amp;"=k"&amp;$A$16&amp;"(['3',l[0]]);let l"&amp;$A$66&amp;"=l"&amp;$A$65&amp;"[l[1]+"&amp;COLUMN('3'!$I:$I)-COLUMN('3'!$B:$B)&amp;"]?`rgba(${l"&amp;$A$65&amp;"[l[1]+"&amp;COLUMN('3'!$I:$I)-COLUMN('3'!$B:$B)&amp;"]})`:'';let l"&amp;$A$67&amp;"=l"&amp;$A$65&amp;"[l[1]+"&amp;COLUMN('3'!$P:$P)-COLUMN('3'!$B:$B)&amp;"]?`#${l"&amp;$A$65&amp;"[l[1]+"&amp;COLUMN('3'!$P:$P)-COLUMN('3'!$B:$B)&amp;"]}`:'';return l"&amp;$A$67&amp;"||l"&amp;$A$66&amp;"||l"&amp;$A$65&amp;"[l[1]]||'White';};"</f>
        <v>const h17=l=&gt;{let l1=k11(['3',l[0]]);let l2=l1[l[1]+7]?`rgba(${l1[l[1]+7]})`:'';let l3=l1[l[1]+14]?`#${l1[l[1]+14]}`:'';return l3||l2||l1[l[1]]||'White';};</v>
      </c>
      <c r="C40" s="1"/>
      <c r="D40" s="1"/>
      <c r="E40" s="2"/>
      <c r="F40" s="1"/>
      <c r="G40" s="3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6">
        <v>18.0</v>
      </c>
      <c r="B41" s="2" t="str">
        <f>"const h"&amp;$A$41&amp;"=l=&gt;{let l"&amp;$A$64&amp;"=Number();for(let i=2;i&lt;l.length;i++){let l"&amp;$A$65&amp;"=k"&amp;$A$16&amp;"([l[0],l[i]]);for(let i0=0;i0&lt;10;i0++){let l"&amp;$A$66&amp;"=i0*100;l"&amp;$A$64&amp;"+=l"&amp;$A$65&amp;"[l"&amp;$A$66&amp;"+l[1]]==null?0:1;}}return l"&amp;$A$64&amp;";};"</f>
        <v>const h18=l=&gt;{let l0=Number();for(let i=2;i&lt;l.length;i++){let l1=k11([l[0],l[i]]);for(let i0=0;i0&lt;10;i0++){let l2=i0*100;l0+=l1[l2+l[1]]==null?0:1;}}return l0;};</v>
      </c>
      <c r="C41" s="1"/>
      <c r="D41" s="1"/>
      <c r="E41" s="2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6">
        <v>19.0</v>
      </c>
      <c r="B42" s="2" t="str">
        <f>"const h"&amp;$A$42&amp;"=['body&gt;div',...Array.from({length:100},(_,_0)=&gt;`l${k"&amp;$A$12&amp;"(_0)}`),...Array.from({length:100},(_,_0)=&gt;"&amp;"`k${k"&amp;$A$12&amp;"(_0)}`),...Array.from({length:100},(_,_0)=&gt;`t${k"&amp;$A$12&amp;"(_0)}`),...Array.from({length:1000},(_,_0)=&gt;`t${k"&amp;$A$13&amp;"(_0)}`)];"</f>
        <v>const h19=['body&gt;div',...Array.from({length:100},(_,_0)=&gt;`l${k7(_0)}`),...Array.from({length:100},(_,_0)=&gt;`k${k7(_0)}`),...Array.from({length:100},(_,_0)=&gt;`t${k7(_0)}`),...Array.from({length:1000},(_,_0)=&gt;`t${k8(_0)}`)];</v>
      </c>
      <c r="C42" s="8" t="s">
        <v>1</v>
      </c>
      <c r="D42" s="1"/>
      <c r="E42" s="2" t="str">
        <f>""</f>
        <v/>
      </c>
      <c r="F42" s="1"/>
      <c r="G42" s="3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6">
        <v>20.0</v>
      </c>
      <c r="B43" s="2" t="str">
        <f>"const h"&amp;A43&amp;"=['hue','color','screen','lighten','darken','overlay','multiply','saturation','luminosity','color dodge','color burn','hard light','soft light','difference','exclusion'];"</f>
        <v>const h20=['hue','color','screen','lighten','darken','overlay','multiply','saturation','luminosity','color dodge','color burn','hard light','soft light','difference','exclusion'];</v>
      </c>
      <c r="C43" s="1"/>
      <c r="D43" s="1"/>
      <c r="E43" s="2"/>
      <c r="F43" s="1"/>
      <c r="G43" s="3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6">
        <v>21.0</v>
      </c>
      <c r="B44" s="2" t="str">
        <f>"const h"&amp;$A$44&amp;"=l=&gt;{let l"&amp;$A$64&amp;"=l[0]&gt;="&amp;ROW('3'!$305:$305)-4&amp;"?'Gray':'Black';let l"&amp;$A$65&amp;"=k"&amp;$A$16&amp;"(['3',l[0]]);let l"&amp;$A$66&amp;"=l"&amp;$A$65&amp;"[l[1]+"&amp;COLUMN('3'!$I:$I)-COLUMN('3'!$B:$B)&amp;"]?`rgba(${l"&amp;$A$65&amp;"[l[1]+"&amp;COLUMN('3'!$I:$I)-COLUMN('3'!$B:$B)&amp;"]})`:'';let l"&amp;$A$67&amp;"=l"&amp;$A$65&amp;"[l[1]+"&amp;COLUMN('3'!$P:$P)-COLUMN('3'!$B:$B)&amp;"]?`#${l"&amp;$A$65&amp;"[l[1]+"&amp;COLUMN('3'!$P:$P)-COLUMN('3'!$B:$B)&amp;"]}`:'';return l"&amp;$A$67&amp;"||l"&amp;$A$66&amp;"||l"&amp;$A$65&amp;"[l[1]]||l"&amp;$A$64&amp;";};"</f>
        <v>const h21=l=&gt;{let l0=l[0]&gt;=301?'Gray':'Black';let l1=k11(['3',l[0]]);let l2=l1[l[1]+7]?`rgba(${l1[l[1]+7]})`:'';let l3=l1[l[1]+14]?`#${l1[l[1]+14]}`:'';return l3||l2||l1[l[1]]||l0;};</v>
      </c>
      <c r="C44" s="8" t="s">
        <v>1</v>
      </c>
      <c r="D44" s="1"/>
      <c r="E44" s="2"/>
      <c r="F44" s="1"/>
      <c r="G44" s="3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6">
        <v>22.0</v>
      </c>
      <c r="B45" s="2" t="str">
        <f>"const h"&amp;$A$45&amp;"=l=&gt;{let l"&amp;$A$64&amp;"=h"&amp;$A$28&amp;"(['2',l,"&amp;COLUMN('2'!$G:$G)-2&amp;","&amp;COLUMN('2'!$J:$J)-COLUMN('2'!$G:$G)&amp;"]);let l"&amp;$A$65&amp;"=h"&amp;$A$28&amp;"(['2',l,"&amp;COLUMN('2'!$L:$L)-2&amp;","&amp;COLUMN('2'!$O:$O)-COLUMN('2'!$L:$L)&amp;"]);let l"&amp;$A$66&amp;"=k"&amp;$A$17&amp;"(['2',l,"&amp;COLUMN('2'!$K:$K)-2&amp;"]);let l"&amp;$A$67&amp;"=k"&amp;$A$17&amp;"(['2',l,"&amp;COLUMN('2'!$P:$P)-2&amp;"]);return `${!l"&amp;$A$64&amp;"?'':`${h"&amp;$A$33&amp;"([l,"&amp;COLUMN('2'!$I:$I)-2&amp;"])}${h"&amp;$A$37&amp;"([l,"&amp;COLUMN('2'!$G:$G)-2&amp;"])} ${h"&amp;$A$44&amp;"([l,"&amp;COLUMN('3'!$C:$C)-2&amp;"])}${l"&amp;$A$66&amp;"=='true'?'':' inset'}`}${!l"&amp;$A$65&amp;"?'':`${!l"&amp;$A$64&amp;"?'':`,`}${h"&amp;$A$33&amp;"([l,"&amp;COLUMN('2'!$N:$N)-2&amp;"])}${h"&amp;$A$37&amp;"([l,"&amp;COLUMN('2'!$L:$L)-2&amp;"])} ${h"&amp;$A$40&amp;"([l,"&amp;COLUMN('3'!$D:$D)-2&amp;"])}${l"&amp;$A$67&amp;"=='true'?'':' inset'}`}`;};"</f>
        <v>const h22=l=&gt;{let l0=h5(['2',l,5,3]);let l1=h5(['2',l,10,3]);let l2=k12(['2',l,9]);let l3=k12(['2',l,14]);return `${!l0?'':`${h10([l,7])}${h14([l,5])} ${h21([l,1])}${l2=='true'?'':' inset'}`}${!l1?'':`${!l0?'':`,`}${h10([l,12])}${h14([l,10])} ${h17([l,2])}${l3=='true'?'':' inset'}`}`;};</v>
      </c>
      <c r="C45" s="8" t="s">
        <v>1</v>
      </c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6">
        <v>23.0</v>
      </c>
      <c r="B46" s="2" t="str">
        <f>"const h"&amp;$A$46&amp;"={'0':{0:[2,1,0],1:[2,0,1],2:[1,2,0],3:[0,2,1],4:[1,0,2],5:[0,1,2]},'1':{0:[0,0,0],1:[0,0,1],2:[0,0,2],3:[0,0,3],4:[0,1,0],5:[0,1,1],6:[0,1,2],7:[0,1,3],8:[0,2,0],9:[0,2,1],10:[0,2,2],11:[0,2,3],12:[0,3,0],13:[0,3,1],14:[0,3,2],15:[0,3,3]"&amp;",16:[1,0,0],17:[1,0,1],18:[1,0,2],19:[1,0,3],20:[1,1,0],21:[1,1,1],22:[1,1,2],23:[1,1,3],24:[1,2,0],25:[1,2,1],26:[1,2,2],27:[1,2,3],28:[1,3,0],29:[1,3,1],30:[1,3,2],31:[1,3,3]"&amp;",32:[2,0,0],33:[2,0,1],34:[2,0,2],35:[2,0,3],36:[2,1,0],37:[2,1,1],38:[2,1,2],39:[2,1,3],40:[2,2,0],41:[2,2,1],42:[2,2,2],43:[2,2,3],44:[2,3,0],45:[2,3,1],46:[2,3,2],47:[2,3,3]"&amp;",48:[3,0,0],49:[3,0,1],50:[3,0,2],51:[3,0,3],52:[3,1,0],53:[3,1,1],54:[3,1,2],55:[3,1,3],56:[3,2,0],57:[3,2,1],58:[3,2,2],59:[3,2,3],60:[3,3,0],61:[3,3,1],62:[3,3,2],63:[3,3,3]},"&amp;"2:{0:[0,10],1:[0,11],'2':[0,12],3:[0,13],4:[0,14],5:[0,15],6:[0,16],7:[0,17],8:[0,18],"&amp;"9:[1,10],10:[1,11],11:[1,12],12:[1,13],13:[1,14],14:[1,15],15:[1,16],16:[1,17],17:[1,18],"&amp;"18:[2,10],19:[2,11],20:[2,12],21:[2,13],22:[2,14],23:[2,15],24:[2,16],25:[2,17],26:[2,18],"&amp;"27:[3,10],28:[3,11],29:[3,12],30:[3,13],31:[3,14],32:[3,15],33:[3,16],34:[3,17],35:[3,18],"&amp;"36:[4,10],37:[4,11],38:[4,12],39:[4,13],40:[4,14],41:[4,15],42:[4,16],43:[4,17],44:[4,18],"&amp;"45:[5,10],46:[5,11],47:[5,12],48:[5,13],49:[5,14],50:[5,15],51:[5,16],52:[5,17],53:[5,18],"&amp;"54:[6,10],55:[6,11],56:[6,12],57:[6,13],58:[6,14],59:[6,15],60:[6,16],61:[6,17],62:[6,18],"&amp;"63:[7,10],64:[7,11],65:[7,12],66:[7,13],67:[7,14],68:[7,15],69:[7,16],70:[7,17],71:[7,18],"&amp;"72:[8,10],73:[8,11],74:[8,12],75:[8,13],76:[8,14],77:[8,15],78:[8,16],79:[8,17],80:[8,18],"&amp;"81:[9,10],82:[9,11],83:[9,12],84:[9,13],85:[9,14],86:[9,15],87:[9,16],88:[9,17],89:[9,18]}"&amp;",'3':['cover','contain','200% auto','250% auto','300% auto','350% auto','auto 200%','auto 250%','auto 300%','auto 350%','top','top left','top right','center','center left','center right','bottom','bottom left','bottom right',"&amp;"'background-size','background-position']"&amp;",'0-0':{both:'overflow:hidden','axis x':'overflow-x:hidden','axis y':'overflow-y:hidden'},'1-0':['start','ends','center']"&amp;",'1-1':{auto:'auto',start:'flex-start',ends:'flex-end',center:'center',stretch:'stretch'}"&amp;",'2-2':{top:'top',left:'left',right:'right',bottom:'bottom',center:'center','angle nw':'left top','angle sw':'left bottom','angle ne':'right top','angle se':'right bottom'},"&amp;"'2-3':{start:'flex-start',ends:'flex-end',center:'center',stretch:'stretch',evenly:'space-evenly',around:'space-around',between:'space-between'},"&amp;"'2-4':{start:'flex-start',ends:'flex-end',center:'center',stretch:'stretch',evenly:'stretch',around:'stretch',between:'stretch'},"&amp;"'3-1':{none:'display:none',hidden:'visibility:hidden',visible:'visibility:visible'},"&amp;"'3-2':{top:'top',left:'left',right:'right',bottom:'bottom',center:'center','angle nw':'left top','angle sw':'left bottom','angle ne':'right top','angle se':'right bottom'},"&amp;"'4-0':{top:'top',left:'left',right:'right',bottom:'bottom',center:'center','angle nw':'left top','angle sw':'left bottom','angle ne':'right top','angle se':'right bottom'},"&amp;"'5-0':{over:'overline',under:'underline',both:'underline overline'}};"</f>
        <v>const h23={'0':{0:[2,1,0],1:[2,0,1],2:[1,2,0],3:[0,2,1],4:[1,0,2],5:[0,1,2]},'1':{0:[0,0,0],1:[0,0,1],2:[0,0,2],3:[0,0,3],4:[0,1,0],5:[0,1,1],6:[0,1,2],7:[0,1,3],8:[0,2,0],9:[0,2,1],10:[0,2,2],11:[0,2,3],12:[0,3,0],13:[0,3,1],14:[0,3,2],15:[0,3,3],16:[1,0,0],17:[1,0,1],18:[1,0,2],19:[1,0,3],20:[1,1,0],21:[1,1,1],22:[1,1,2],23:[1,1,3],24:[1,2,0],25:[1,2,1],26:[1,2,2],27:[1,2,3],28:[1,3,0],29:[1,3,1],30:[1,3,2],31:[1,3,3],32:[2,0,0],33:[2,0,1],34:[2,0,2],35:[2,0,3],36:[2,1,0],37:[2,1,1],38:[2,1,2],39:[2,1,3],40:[2,2,0],41:[2,2,1],42:[2,2,2],43:[2,2,3],44:[2,3,0],45:[2,3,1],46:[2,3,2],47:[2,3,3],48:[3,0,0],49:[3,0,1],50:[3,0,2],51:[3,0,3],52:[3,1,0],53:[3,1,1],54:[3,1,2],55:[3,1,3],56:[3,2,0],57:[3,2,1],58:[3,2,2],59:[3,2,3],60:[3,3,0],61:[3,3,1],62:[3,3,2],63:[3,3,3]},2:{0:[0,10],1:[0,11],'2':[0,12],3:[0,13],4:[0,14],5:[0,15],6:[0,16],7:[0,17],8:[0,18],9:[1,10],10:[1,11],11:[1,12],12:[1,13],13:[1,14],14:[1,15],15:[1,16],16:[1,17],17:[1,18],18:[2,10],19:[2,11],20:[2,12],21:[2,13],22:[2,14],23:[2,15],24:[2,16],25:[2,17],26:[2,18],27:[3,10],28:[3,11],29:[3,12],30:[3,13],31:[3,14],32:[3,15],33:[3,16],34:[3,17],35:[3,18],36:[4,10],37:[4,11],38:[4,12],39:[4,13],40:[4,14],41:[4,15],42:[4,16],43:[4,17],44:[4,18],45:[5,10],46:[5,11],47:[5,12],48:[5,13],49:[5,14],50:[5,15],51:[5,16],52:[5,17],53:[5,18],54:[6,10],55:[6,11],56:[6,12],57:[6,13],58:[6,14],59:[6,15],60:[6,16],61:[6,17],62:[6,18],63:[7,10],64:[7,11],65:[7,12],66:[7,13],67:[7,14],68:[7,15],69:[7,16],70:[7,17],71:[7,18],72:[8,10],73:[8,11],74:[8,12],75:[8,13],76:[8,14],77:[8,15],78:[8,16],79:[8,17],80:[8,18],81:[9,10],82:[9,11],83:[9,12],84:[9,13],85:[9,14],86:[9,15],87:[9,16],88:[9,17],89:[9,18]},'3':['cover','contain','200% auto','250% auto','300% auto','350% auto','auto 200%','auto 250%','auto 300%','auto 350%','top','top left','top right','center','center left','center right','bottom','bottom left','bottom right','background-size','background-position'],'0-0':{both:'overflow:hidden','axis x':'overflow-x:hidden','axis y':'overflow-y:hidden'},'1-0':['start','ends','center'],'1-1':{auto:'auto',start:'flex-start',ends:'flex-end',center:'center',stretch:'stretch'},'2-2':{top:'top',left:'left',right:'right',bottom:'bottom',center:'center','angle nw':'left top','angle sw':'left bottom','angle ne':'right top','angle se':'right bottom'},'2-3':{start:'flex-start',ends:'flex-end',center:'center',stretch:'stretch',evenly:'space-evenly',around:'space-around',between:'space-between'},'2-4':{start:'flex-start',ends:'flex-end',center:'center',stretch:'stretch',evenly:'stretch',around:'stretch',between:'stretch'},'3-1':{none:'display:none',hidden:'visibility:hidden',visible:'visibility:visible'},'3-2':{top:'top',left:'left',right:'right',bottom:'bottom',center:'center','angle nw':'left top','angle sw':'left bottom','angle ne':'right top','angle se':'right bottom'},'4-0':{top:'top',left:'left',right:'right',bottom:'bottom',center:'center','angle nw':'left top','angle sw':'left bottom','angle ne':'right top','angle se':'right bottom'},'5-0':{over:'overline',under:'underline',both:'underline overline'}};</v>
      </c>
      <c r="C46" s="8" t="s">
        <v>1</v>
      </c>
      <c r="D46" s="1"/>
      <c r="E46" s="2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3"/>
      <c r="B47" s="2" t="str">
        <f>""</f>
        <v/>
      </c>
      <c r="C47" s="1"/>
      <c r="D47" s="1"/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6">
        <v>24.0</v>
      </c>
      <c r="B48" s="2" t="str">
        <f>$B$2&amp;$B$3&amp;$B$4&amp;$B$5&amp;$B$6&amp;$B$7&amp;$B$8&amp;$B$9&amp;$B$10&amp;$B$11&amp;$B$12&amp;$B$13&amp;$B$14&amp;$B$15&amp;$B$16&amp;$B$17&amp;$B$18&amp;$B$19&amp;$B$20&amp;$B$21</f>
        <v>export default l=&gt;{const h=['','','',''];const k=l[1]||Object();const k0=_=&gt;Math.max(_,0);const k1=_=&gt;Math.abs(_/1);const k2=_=&gt;Math.round(_/1);const k3=_=&gt;Math.round(_/100);const k4=_=&gt;Math.round(_*10)/10;const k5=_=&gt;Math.round(_*100)/100;const k6=_=&gt;Math.round(_*1000)/1000;const k7=_=&gt;`${_}`?.padStart(2,'0');const k8=_=&gt;`${_}`?.padStart(3,'0');const k9=_=&gt;_.toString().split(',');const k10=_=&gt;k[_[0]]&amp;&amp;k[_[0]][_[1]];const k11=_=&gt;k[_[0]]&amp;&amp;k[_[0]][_[1]]||'';const k12=_=&gt;k11([_[0],_[1]])[_[2]]||'';const k13=_=&gt;k11([_[0],_[2]])[_[1]]||'';const k14=_=&gt;k11([_[0],_[2]])[_[1]]==null?0:1;const k15=_=&gt;k14(_)?k11([_[0],_[2]])[_[1]]:_[3];const k16=_=&gt;_.match(/.{2}/g).map(_=&gt;parseInt(_,16));</v>
      </c>
      <c r="C48" s="9" t="s">
        <v>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0">
        <v>25.0</v>
      </c>
      <c r="B49" s="2" t="str">
        <f>$B$23&amp;$B$24&amp;$B$25&amp;$B$26&amp;$B$27&amp;$B$28&amp;$B$29&amp;$B$30&amp;$B$31&amp;$B$32&amp;$B$33&amp;$B$34&amp;$B$35&amp;$B$36&amp;$B$37&amp;$B$38&amp;$B$39&amp;$B$40&amp;$B$41&amp;$B$43&amp;$B$44&amp;$B$45&amp;$B$46&amp;$B$42</f>
        <v>const h0=l=&gt;{let l0=k13(l);let l1=k9(l0);let l2=[l1[0]||'',l1[1]||''];return l2;};const h1=l=&gt;{let l0=k9(l[0]);let l1=l0.map(_=&gt;`${_}${l[1]}`);let l2=l1.join(' ');return l2;};const h2=l=&gt;{let l0=k13(l);let l1=k9(l0);let l2=Number(l1[0]||0)+Number(l1[1]||0);return l2;};const h3=l=&gt;{let l0=k13(l);let l1=k9(l0);let l2=[Number(l1[0]||0),Number(l1[1]||0)];return l2;};const h4=l=&gt;{let l0=Number();for(let i=1;i&lt;l.length;i++){l0+=!k11([l[0],l[i]])?0:1;}return l0;};const h5=l=&gt;{let l0=Number();let l1=k11(l);for(let i=0;i&lt;l[3]+1;i++){l0+=l1[l[2]+i]==null?0:1;}return l0;};const h6=l=&gt;{let l0=Number();let l1=k11(l);for(let i=2;i&lt;l.length;i++){l0+=l1[l[i]]==null?0:1;}return l0;};const h7=l=&gt;{let l0=((l||0)-50)*Math.PI/50;let l1=Math.cos(l0);let l2=Math.sin(l0);let l3=[l1,l2];return l3;};const h8=l=&gt;{let l0=Number();for(let i=2;i&lt;l.length;i++){let l1=k11([l[0],l[i]]);l0+=l1[l[1]]==null?0:1;}return l0;};const hh9=l=&gt;{let l0=Number();let l1=l.slice(1);for(let i=0;i&lt;100;i++){let l2=h7([l[0],i,...l1]);l0+=!l2?0:1;}return l0;};const h10=l=&gt;{let l0=k11(['2',l[0]]);return l0[l[1]]==null&amp;&amp;l0[l[1]+1]==null?'0 0':`${l0[l[1]]||0}px ${l0[l[1]+1]||0}px`;};const h11=[0||55,56,57,74,75,76,93,94,95,112,113,114,131,132,133,150,151,152,169,170,171,188,189,190,207,208,209,226,227,228];const h12=`feColorMatrix type='matrix' values='0.33 0.33 0.33 0 0 0.33 0.33 0.33 0 0 0.33 0.33 0.33 0 0 0 0 0 1 0'&gt;&lt;/feColorMatrix`;const h13=l=&gt;{let l0=l[1]&gt;=1&amp;&amp;l[1]&lt;=300?['White','255,255,255,1','FFFFFF']:['Transparent','255,255,255,0','FFFFFF00'];return l0[l[0]];};const h14=l=&gt;{let l0=k11(['2',l[0]]);return l0[l[1]]==null&amp;&amp;l0[l[1]+1]==null?'':` ${l0[l[1]]||'0'}px${l0[l[1]+1]==null?'':` ${l0[l[1]+1]}px`}`;};const h15=l=&gt;{let l0=Array();if(k[l[0]]!=null){let l1=Object.keys(k[l[0]]);let l2=l1.filter(_=&gt;_&gt;=l[1]&amp;&amp;_&lt;=l[2]);l0=l2.map(_=&gt;Number(_));}return l0;};const h16=l=&gt;{let l0=k11(['2',l[0]]);let l1=k9(l0[l[1]]||[]);let l2=k9(l0[l[1]+1]||[]);return l2[l[2]]?` ${l2[l[2]]}%`:(!l1[l[2]]?'':` ${l1[l[2]]}px`);};const h17=l=&gt;{let l1=k11(['3',l[0]]);let l2=l1[l[1]+7]?`rgba(${l1[l[1]+7]})`:'';let l3=l1[l[1]+14]?`#${l1[l[1]+14]}`:'';return l3||l2||l1[l[1]]||'White';};const h18=l=&gt;{let l0=Number();for(let i=2;i&lt;l.length;i++){let l1=k11([l[0],l[i]]);for(let i0=0;i0&lt;10;i0++){let l2=i0*100;l0+=l1[l2+l[1]]==null?0:1;}}return l0;};const h20=['hue','color','screen','lighten','darken','overlay','multiply','saturation','luminosity','color dodge','color burn','hard light','soft light','difference','exclusion'];const h21=l=&gt;{let l0=l[0]&gt;=301?'Gray':'Black';let l1=k11(['3',l[0]]);let l2=l1[l[1]+7]?`rgba(${l1[l[1]+7]})`:'';let l3=l1[l[1]+14]?`#${l1[l[1]+14]}`:'';return l3||l2||l1[l[1]]||l0;};const h22=l=&gt;{let l0=h5(['2',l,5,3]);let l1=h5(['2',l,10,3]);let l2=k12(['2',l,9]);let l3=k12(['2',l,14]);return `${!l0?'':`${h10([l,7])}${h14([l,5])} ${h21([l,1])}${l2=='true'?'':' inset'}`}${!l1?'':`${!l0?'':`,`}${h10([l,12])}${h14([l,10])} ${h17([l,2])}${l3=='true'?'':' inset'}`}`;};const h23={'0':{0:[2,1,0],1:[2,0,1],2:[1,2,0],3:[0,2,1],4:[1,0,2],5:[0,1,2]},'1':{0:[0,0,0],1:[0,0,1],2:[0,0,2],3:[0,0,3],4:[0,1,0],5:[0,1,1],6:[0,1,2],7:[0,1,3],8:[0,2,0],9:[0,2,1],10:[0,2,2],11:[0,2,3],12:[0,3,0],13:[0,3,1],14:[0,3,2],15:[0,3,3],16:[1,0,0],17:[1,0,1],18:[1,0,2],19:[1,0,3],20:[1,1,0],21:[1,1,1],22:[1,1,2],23:[1,1,3],24:[1,2,0],25:[1,2,1],26:[1,2,2],27:[1,2,3],28:[1,3,0],29:[1,3,1],30:[1,3,2],31:[1,3,3],32:[2,0,0],33:[2,0,1],34:[2,0,2],35:[2,0,3],36:[2,1,0],37:[2,1,1],38:[2,1,2],39:[2,1,3],40:[2,2,0],41:[2,2,1],42:[2,2,2],43:[2,2,3],44:[2,3,0],45:[2,3,1],46:[2,3,2],47:[2,3,3],48:[3,0,0],49:[3,0,1],50:[3,0,2],51:[3,0,3],52:[3,1,0],53:[3,1,1],54:[3,1,2],55:[3,1,3],56:[3,2,0],57:[3,2,1],58:[3,2,2],59:[3,2,3],60:[3,3,0],61:[3,3,1],62:[3,3,2],63:[3,3,3]},2:{0:[0,10],1:[0,11],'2':[0,12],3:[0,13],4:[0,14],5:[0,15],6:[0,16],7:[0,17],8:[0,18],9:[1,10],10:[1,11],11:[1,12],12:[1,13],13:[1,14],14:[1,15],15:[1,16],16:[1,17],17:[1,18],18:[2,10],19:[2,11],20:[2,12],21:[2,13],22:[2,14],23:[2,15],24:[2,16],25:[2,17],26:[2,18],27:[3,10],28:[3,11],29:[3,12],30:[3,13],31:[3,14],32:[3,15],33:[3,16],34:[3,17],35:[3,18],36:[4,10],37:[4,11],38:[4,12],39:[4,13],40:[4,14],41:[4,15],42:[4,16],43:[4,17],44:[4,18],45:[5,10],46:[5,11],47:[5,12],48:[5,13],49:[5,14],50:[5,15],51:[5,16],52:[5,17],53:[5,18],54:[6,10],55:[6,11],56:[6,12],57:[6,13],58:[6,14],59:[6,15],60:[6,16],61:[6,17],62:[6,18],63:[7,10],64:[7,11],65:[7,12],66:[7,13],67:[7,14],68:[7,15],69:[7,16],70:[7,17],71:[7,18],72:[8,10],73:[8,11],74:[8,12],75:[8,13],76:[8,14],77:[8,15],78:[8,16],79:[8,17],80:[8,18],81:[9,10],82:[9,11],83:[9,12],84:[9,13],85:[9,14],86:[9,15],87:[9,16],88:[9,17],89:[9,18]},'3':['cover','contain','200% auto','250% auto','300% auto','350% auto','auto 200%','auto 250%','auto 300%','auto 350%','top','top left','top right','center','center left','center right','bottom','bottom left','bottom right','background-size','background-position'],'0-0':{both:'overflow:hidden','axis x':'overflow-x:hidden','axis y':'overflow-y:hidden'},'1-0':['start','ends','center'],'1-1':{auto:'auto',start:'flex-start',ends:'flex-end',center:'center',stretch:'stretch'},'2-2':{top:'top',left:'left',right:'right',bottom:'bottom',center:'center','angle nw':'left top','angle sw':'left bottom','angle ne':'right top','angle se':'right bottom'},'2-3':{start:'flex-start',ends:'flex-end',center:'center',stretch:'stretch',evenly:'space-evenly',around:'space-around',between:'space-between'},'2-4':{start:'flex-start',ends:'flex-end',center:'center',stretch:'stretch',evenly:'stretch',around:'stretch',between:'stretch'},'3-1':{none:'display:none',hidden:'visibility:hidden',visible:'visibility:visible'},'3-2':{top:'top',left:'left',right:'right',bottom:'bottom',center:'center','angle nw':'left top','angle sw':'left bottom','angle ne':'right top','angle se':'right bottom'},'4-0':{top:'top',left:'left',right:'right',bottom:'bottom',center:'center','angle nw':'left top','angle sw':'left bottom','angle ne':'right top','angle se':'right bottom'},'5-0':{over:'overline',under:'underline',both:'underline overline'}};const h19=['body&gt;div',...Array.from({length:100},(_,_0)=&gt;`l${k7(_0)}`),...Array.from({length:100},(_,_0)=&gt;`k${k7(_0)}`),...Array.from({length:100},(_,_0)=&gt;`t${k7(_0)}`),...Array.from({length:1000},(_,_0)=&gt;`t${k8(_0)}`)];</v>
      </c>
      <c r="C49" s="9" t="s">
        <v>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0">
        <v>26.0</v>
      </c>
      <c r="B50" s="2" t="str">
        <f>$B$64&amp;$B$65&amp;$B$66&amp;$B$67&amp;$B$68&amp;$B$69&amp;$B$70&amp;$B$71&amp;$B$72&amp;$B$73&amp;$B$74&amp;$B$75&amp;$B$76&amp;$B$77&amp;$B$78&amp;$B$79&amp;$B$80&amp;$B$81</f>
        <v>const h24=l=&gt;{let l0=h23['1-0'];let l1=l0.indexOf(l[1]);let l2=_=&gt;_.includes(l1);let l3=l2([0,2])?'auto':'';let l4=l2([1,2])?'auto':'';let l5='margin-bottom';let l6='margin-right';let l7='margin-left';let l8='margin-top';let l9=[l7,l8][l[0]];let l10=[l6,l5][l[0]];let l11=`${l10}:${l3}`;let l12=`${l9}:${l4}`;let l13=`${!l4?'':`${l12};`}${!l3?'':`${l11};`}`;return l13;};</v>
      </c>
      <c r="C50" s="9" t="s"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0">
        <v>27.0</v>
      </c>
      <c r="B51" s="2" t="str">
        <f>$B$83&amp;$B$84&amp;$B$85&amp;$B$86&amp;$B$87&amp;$B$88&amp;$B$89&amp;$B$90&amp;$B$91&amp;$B$92&amp;$B$93&amp;$B$94&amp;$B$95&amp;$B$96&amp;$B$97&amp;$B$98&amp;$B$99&amp;$B$100&amp;$B$101&amp;$B$102&amp;$B$103&amp;$B$104&amp;$B$105&amp;$B$106&amp;$B$107</f>
        <v>const h25=l=&gt;{let l0=Date.now();let l1=h19.slice(1);let l2=['0',145];let l3=k10(l2);let l4=h15(l);if (l3!=null){h[2]+=`@font-face{src:url('${l3}.otf?t=${l0}');font-family:body;font-display:swap;}`;}for(let i of l4){if(h5(['5',i,11,0])){let l5=k['5'][i][11];let l6='font-family';if (l5!=null){h[2]+=`@font-face{src:url('${l5}.otf?t=${l0}');${l6}:${l1[i]};font-display:swap;}`;}}}};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6">
        <v>28.0</v>
      </c>
      <c r="B52" s="2" t="str">
        <f>$B$109&amp;$B$110&amp;$B$111&amp;$B$112&amp;$B$113&amp;$B$114&amp;$B$115&amp;$B$116&amp;$B$117&amp;$B$118&amp;$B$119&amp;$B$120&amp;$B$121&amp;$B$122&amp;$B$123&amp;$B$124&amp;$B$125&amp;$B$126&amp;$B$127&amp;$B$128&amp;$B$129&amp;$B$130&amp;$B$131&amp;$B$132&amp;$B$133&amp;$B$134&amp;$B$135&amp;$B$136&amp;$B$137</f>
        <v>const h26=l=&gt;{let l0=h15(l);let l1=h23['5-0'];for(let i of l0){if(h5(['5',i,0,10])){let l2=h0(['5',i,10]);let l3=_=&gt;l4(_)==null;let l4=_=&gt;k['5'][i][_];let l5='line-height';let l6='padding-top';let l7='padding-left';let l8='padding-right';let l9='padding-bottom';let l10='text-decoration';let l11='background-color';let l12=i==0?'':'#';h[2]+=`${l12}${h19[i]}&gt;[data]{${l3(0)?'':`${l7}:${l4(0)}px;`}${l3(1)?'':`${l8}:${l4(1)}px;`}${l3(2)?'':`${l6}:${l4(2)}px;`}${l3(3)?'':`${l9}:${l4(3)||0}px;`}${!l2[1]?'':`${l5}:${l2[1]||0}px;`}${!l2[0]?'':`font-size:${l2[0]}px;`}${l3(9)?'':`font-weight:${l4(9)}00;`}${!l4(6)?'':`align-self:${l4(6)};`}${!l4(7)?'':`text-align:${l4(7)};`}${!l4(8)?'':`${l10}:${l1[l4(8)]};`}${!l4(5)?'':`${l11}:#${l4(5)};`}${!l4(4)?'':`color:#${l4(4)};`}}`;}}};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6">
        <v>29.0</v>
      </c>
      <c r="B53" s="2" t="str">
        <f>$B$139&amp;$B$140&amp;$B$141&amp;$B$142&amp;$B$143&amp;$B$144&amp;$B$145&amp;$B$146&amp;$B$147&amp;$B$148&amp;$B$149&amp;$B$150&amp;$B$151&amp;$B$152&amp;$B$153&amp;$B$154&amp;$B$155&amp;$B$156&amp;$B$157&amp;$B$158&amp;$B$159&amp;$B$160&amp;$B$161&amp;$B$162&amp;$B$163&amp;$B$164&amp;$B$165&amp;$B$166&amp;$B$167&amp;$B$168&amp;$B$169&amp;$B$170&amp;$B$171&amp;$B$172&amp;$B$173</f>
        <v>const h27=l=&gt;{let l0=h15(l);let l1=h23['4-0'];for(let i of l0){if(h5(['4',i,0,10])){let l2=_=&gt;l3(_)==null;let l3=_=&gt;k['4'][i][_];let l4=_=&gt;l3(_[0])||_[1];let l5=_=&gt;h1([0||_,'px']);let l6=_=&gt;h1([0||_,'%']);let l7=l4([5,'cover']);let l8='content-box';let l9='padding-top';let l10='padding-left';let l11='padding-right';let l12='padding-bottom';let l13='background-size';let l14='background-image';let l15='background-origin';let l16='background-position';let l17=i==0?'':'#';h[2]+=`${l17}${h19[i]}&gt;[class]{${l2(0)?'':`${l10}:${l3(0)}px;`}${l2(1)?'':`${l11}:${l3(1)}px;`}${l2(2)?'':`${l9}:${l3(2)}px;`}${l2(3)?'':`${l12}:${l3(3)}px;`}${!l3(5)?'':`${l13}:${l7(5)||0};`}${!l3(6)?'':`${l16}:${l1[l3(6)]};`}${l2(7)?'':`${l16}:${l5(l3(7))};`}${l2(8)?'':`${l16}:${l6(l3(8))};`}${l2(9)?'':`${l13}:${l5(l3(9))};`}${l2(10)?'':`${l13}:${l6(l3(10))};`}${l3(4)!='true'?'':`${l15}:${l8};`}${!l3(11)?'':`${l14}:url('${l3(11)}.png?t=${Date.now()}');`}}`;}}};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6">
        <v>30.0</v>
      </c>
      <c r="B54" s="2" t="str">
        <f>$B$175&amp;$B$176&amp;$B$177&amp;$B$178&amp;$B$179&amp;$B$180&amp;$B$181&amp;$B$182&amp;$B$183&amp;$B$184&amp;$B$185&amp;$B$186&amp;$B$187&amp;$B$188&amp;$B$189&amp;$B$190&amp;$B$191&amp;$B$192&amp;$B$193&amp;$B$194&amp;$B$195&amp;$B$196&amp;$B$197&amp;$B198&amp;$B199&amp;$B200&amp;$B$201&amp;$B$202&amp;$B$203&amp;$B$204&amp;$B$205&amp;$B$206&amp;$B$207&amp;$B$208&amp;$B$209&amp;$B$210&amp;$B$211&amp;$B$212&amp;$B$213&amp;$B$214&amp;$B$215&amp;$B$216&amp;$B$217&amp;$B$218&amp;$B$219&amp;$B$220&amp;$B$221&amp;$B$222&amp;$B$223&amp;$B$224&amp;$B$225&amp;$B$226&amp;$B$227&amp;$B$228&amp;$B$229&amp;$B$230&amp;$B$231&amp;$B$232&amp;$B$233&amp;$B$234&amp;$B$235&amp;$B$236&amp;$B$237&amp;$B$238&amp;$B$239&amp;$B$240&amp;$B$241&amp;$B$242&amp;$B$243&amp;$B$244&amp;$B$245&amp;$B$246&amp;$B$247&amp;$B$248&amp;$B$249&amp;$B$250&amp;$B$251&amp;$B$252&amp;$B$253&amp;$B$254&amp;$B$255&amp;$B$256&amp;$B$257&amp;$B$258&amp;$B$259</f>
        <v>const h28=l=&gt;{let l0=h15(l);let l1=h23['2-2'];let l2=h23['2-3'];let l3=h23['2-4'];for(let i of l0){if(h5(['2',i,0,36])||h5(['2',i,41,-20])){let l4=_=&gt;l5(_)==null;let l5=_=&gt;k['2'][i][_];let l6=_=&gt;l4(_)?2:l5(_);let l7=_=&gt;l5(_[0])||_[1];let l8=_=&gt;h6(['2',i,..._]);let l9=_=&gt;h5(['2',i,..._]);let l10=l7([22,'solid']);let l11=l7([21,'solid']);let l12=l6(0)+l6(1);let l13=l6(2)+l6(3);let l14=l9([31,1]);let l15=l9([33,1]);let l16=l9([10,3]);let l17=l9([5,3]);let l18=l5(33)||1;let l19=l5(31)||0;let l20=l5(32)||0;let l21='box-shadow';let l22='border-top';let l23='border-left';let l24='border-right';let l25='border-bottom';let l26='background-clip';let l27='background-size';let l28='transform-origin';let l29='background-origin';let l30='background-position';h[2]+=`${i==0?'':'#'}${h19[i]}{${!l17&amp;&amp;!l16?'':`${l21}:${h22(i)};`}${l4(15)?'':`${l23}-width:${l5(15)}px;`}${l4(16)?'':`${l24}-width:${l5(16)}px;`}${l4(17)?'':`${l22}-width:${l5(17)}px;`}${l4(18)?'':`${l25}-width:${l5(18)}px;`}${l4(15)?'':`${l23}-style:${l10}${''};`}${l4(16)?'':`${l24}-style:${l10}${''};`}${l4(17)?'':`${l22}-style:${l10}${''};`}${l4(18)?'':`${l25}-style:${l10}${''};`}${l4(19)?'':`outline-width:${l5(19)}px;`}${l4(20)||0?'':`outline-offset:${l5(20)}px;`}${!l5(22)&amp;&amp;l4(19)?'':`outline-style:${l11};`}${!l8([23,24])?'':`border-top-left-radius:${h16([i,23,0])}${''}${h16([i,23,1])};`}${!l8([25,26])?'':`${l22}-right-radius:${h16([i,25,0])}${''}${h16([i,25,1])};`}${!l8([27,28])?'':`${l25}-left-radius:${h16([i,27,0])}${''}${h16([i,27,1])};`}${!l8([29,30])?'':`${l25}-right-radius:${h16([i,29,0])}${''}${h16([i,29,1])};`}${l4(41)||0?'':`z-index:${l5(41)};`}${!l14?'':`translate:${l19}% ${l20}%;`}${!l15?'':`scale:${l18} ${l5(34)||1};`}${l4(35)||0?'':`rotate:${l5(35)}deg;`}${!l5(36)?'':`${l28}:${l1[l5(36)]};`}${!l5(4)?'':`${l26}:${l5(4)}-box;`}${!l5(4)?'':`${l29}:${l5(4)}-box;`}${!l8([0,2])?'':`${l30}:${''}${l6(0)}px ${l6(2)}px;`}${!l9([0,3])?'':`${l27}:calc(100% - ${l12}px) calc(100% - ${l13}px);`}}`;}if(h5(['2',i,37,3])){let l31=_=&gt;l2[l33(_)];let l32=_=&gt;l3[l33(_)];let l33=_=&gt;k['2'][i][_];let l34=_=&gt;l33(_)=='true';let l35='flex-wrap:nowrap';let l36='justify-content';let l37='flex-direction';let l38='align-content';let l39='align-items';let l40=i==0?'':'#';h[2]+=`${l40}${h19[i]}&gt;nav{${!l33(37)?'':`${l36}:${l31(37)};`}${!l33(38)?'':`${l38}:${l31(38)};`}${!l33(38)?'':`${l39}:${l32(38)};`}${!l34(39)?'':`${l37}:column;`}${!l34(40)?'':`${l35};`}}`;}}};</v>
      </c>
      <c r="C54" s="9" t="s">
        <v>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6">
        <v>31.0</v>
      </c>
      <c r="B55" s="2" t="str">
        <f>$B$261&amp;$B$262&amp;$B$263&amp;$B$264&amp;$B$265&amp;$B$266&amp;$B$267&amp;$B$268&amp;$B$269&amp;$B$270&amp;$B$271&amp;$B$272&amp;$B$273&amp;$B$274&amp;$B$275&amp;$B$276&amp;$B$277&amp;$B$278&amp;$B$279&amp;$B$280&amp;$B$281&amp;$B$282&amp;$B$283&amp;$B$284&amp;$B$285&amp;$B$286&amp;$B$287&amp;$B$288&amp;$B$289&amp;$B$290&amp;$B$291&amp;$B$292&amp;$B$293&amp;$B$294&amp;$B$295&amp;$B$296&amp;$B$297&amp;$B$298&amp;$B$299&amp;$B$300&amp;$B$301&amp;$B$302&amp;$B$303&amp;$B$304&amp;$B$305&amp;$B$306&amp;$B$307&amp;$B$308&amp;$B$309&amp;$B$310&amp;$B$311&amp;$B$312&amp;$B$313&amp;$B$314&amp;$B$315&amp;$B$316&amp;$B$317&amp;$B$318&amp;$B$319&amp;$B$320&amp;$B$321&amp;$B$322&amp;$B$323&amp;$B$324&amp;$B$325&amp;$B$326&amp;$B$327&amp;$B$328&amp;$B$329&amp;$B$330&amp;$B$331&amp;$B$332&amp;$B$333&amp;$B$334&amp;$B$335&amp;$B$336&amp;$B$337&amp;$B$338&amp;$B$339&amp;$B$340&amp;$B$341&amp;$B$342&amp;$B$343&amp;$B$344&amp;$B$345&amp;$B$346&amp;$B$347&amp;$B$348&amp;$B$349&amp;$B$350&amp;$B$351&amp;$B$352&amp;$B$353&amp;$B$354&amp;$B$355&amp;$B$356&amp;$B$357&amp;$B$358&amp;$B$359&amp;$B$360&amp;$B$361&amp;$B$362&amp;$B$363&amp;$B$364&amp;$B$365&amp;$B$366&amp;$B$367&amp;$B$368&amp;$B$369&amp;$B$370&amp;$B$371</f>
        <v>const h29=l=&gt;{let l0=h15(l);let l1={linear:'1%',radial:'49%'};let l2=h23['0-0'];let l3=h23['3-1'];let l4=h23['3-2'];for(let i of l0){if(h5(['3',i,0,38])){let l5=h13([0,i]);let l6=h13([1,i]);let l7=h3(['3',40,i]);let l8=h3(['3',39,i]);let l9=k12(['3',i,38]);let l10=k12(['2',i,20]);let l11=_=&gt;k['3'][i][_];let l12=_=&gt;l11(_)==null;let l13=_=&gt;l11(_)=='true';let l14=_=&gt;l11(_)=='circle';let l15=_=&gt;l11(_)=='ellipse';let l16=_=&gt;l11(_)=='conical';let l17=_=&gt;l11(_)=='Transparent';let l18=`rgba(${l11(12)||l6})`;let l19=`rgba(${l11(13)||l6})`;let l20=_=&gt;_.replace(' ','-');let l21=_=&gt;`rgba(${l11(_)})`;let l22=_=&gt;h5(['3',i,..._]);let l23=_=&gt;h6(['3',i,..._]);let l24=_=&gt;l17(_)&amp;&amp;l17(_+1);let l25=l15(37)||l14(37)?1:0;let l26=h20[l11(23)]||String();let l28=l11(16)?`#${l11(16)}`:'';let l29=l11(9)?`rgba(${l11(9)}`:'';let l30=`#${l11(19)||h13([2,i])}`;let l31=`#${l11(20)||h13([2,i])}`;let l32=['background','border'];let l33='background-blend-mode';let l34=!l22([27,1])?'0':'0px';let l35=l7[0]?` ${l7[0]}%`:'';let l36=l7[1]?` ${l7[1]}%`:'';let l37=`${l11(5)||l5}${l35}`;let l38=`${l11(6)||l5}${l36}`;let l39=l1[l9]?'-source':'';let l40=l14(37)?'circle':'';let l41=!l11(37)?'to':'at';let l42=`${l32[0]}-image`;let l43='mix-blend-mode';let l44='border-image';let l45='drop-shadow';let l46=`${l18}${l35}`;let l47=`${l19}${l36}`;let l48=`${l30}${l35}`;let l49=`${l31}${l36}`;let l50=l11(31)/100;let l51=l11(32)/100;let l52=l11(30)/100;let l53=l11(29)/100;let l54=l11(34)/100;let l55=l11(33)/100;let l56=l29||l11(2);let l57=l2[l11(21)];let l58=l3[l11(22)];let l59=l1[l9]?1:0;let l60=l32[l59||0];let l61='isolation';let l62=`${l60||0}-image${l39}:${l16(37)?'conic':`${l25?'radial':'linear'}`}-gradient(${!l14(37)?'':`${l40}${!l11(36)?',':' '}`}${!l11(36)?'':`${l41} ${l4[l11(36)]},`}`;let l63=i==0?'':'#';h[2]+=`${l63}${h19[i]}{${!l11(21)?'':`${l57};`}${!l11(22)?'':`${l58};`}${!l11(23)?'':`${l43}:${l26};`}${!l11(23)?'':`${l33}:${l26};`}${!l13(24)?'':`${l61}:isolate;`}${!l22([26,9])?'':`${!l13(25)?'':'backdrop-'}filter:${!l22([26,2])?'':`${l45}(${l12(27)?l34:`${l11(27)}px`} ${l12(28)||0?l34:`${''}${l11(28)}px`} ${l11(26)||0}px ${l28||l56||'Black'})`}${l12(29)?'':` brightness(${k5(1+l53)})`}${l12(30)?'':` opacity(${k5(1-l52)})`}${l12(31)?'':` sepia(${k5(l50||0)})`}${l12(32)?'':` grayscale(${k5(l51)})`}${l12(33)?'':` saturate(${k5(1+l55)})`}${l12(34)||0?'':` contrast(${k5(1+l54)})`}${l12(35)?'':` hue-rotate(${l11(35)}deg)`};`}${!l11(3)||0?'':`border-color:${l11(3)};`}${!l11(10)?'':`border-color:${l21(10)};`}${!l11(17)?'':`border-color:#${l11(17)};`}${!l11(4)||0?'':`outline-color:${l11(4)};`}${!l11(11)?'':`outline-color:${l21(11)};`}${!l11(18)?'':`outline-color:#${l11(18)};`}${!l11(0)||0?'':`background-color:${l11(0)};`}${!l11(7)||0?'':`background-color:${l21(7)};`}${!l11(14)?'':`background-color:#${l11(14)};`}${!l9||0?'':`border-image-slice:${l1[l9]};`}${!l9||l10&lt;0||0?'':`${l44}-outset:${l10||0}px;`}${!l17(5)||!l17(6)?'':`${l60}-image${l39}:none;`}${!l17(12)||!l17(13)?'':`${l60}-image${l39}:none;`}${!l17(19)||!l17(20)?'':`${l60}-image${l39}:none;`}${l24(5)||!l23([5,6])||0?'':`${l62}${l37},${l38});`}${l24(12)||!l23([12,13])?'':`${l62}${l46},${l47});`}${l24(19)||!l23([19,20])?'':`${l62}${l48},${l49});`}${!l11(39)?'':`${l44}-width:${l8[0]}px ${l8[1]}px;`}${!l23([5,6,12,13,19,20])||!l9?'':`${l42}:none;`}}`;}}};</v>
      </c>
      <c r="C55" s="9" t="s">
        <v>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6">
        <v>32.0</v>
      </c>
      <c r="B56" s="2" t="str">
        <f>$B$374&amp;$B$375&amp;$B$376&amp;$B$377&amp;$B$378&amp;$B$379&amp;$B$380&amp;$B$381&amp;$B$382&amp;$B$383&amp;$B$384&amp;$B$385&amp;$B$386&amp;$B$387&amp;$B$388&amp;$B$389&amp;$B$390&amp;$B$391&amp;$B$392&amp;$B$393&amp;$B$394&amp;$B$395&amp;$B$396&amp;$B$397&amp;$B$398&amp;$B$399&amp;$B$400&amp;$B$401&amp;$B$402&amp;$B$403&amp;$B$404&amp;$B$405&amp;$B$406&amp;$B$407&amp;$B$408&amp;$B$409&amp;$B$410&amp;$B$411&amp;$B$412&amp;$B$413&amp;$B$414&amp;$B$415&amp;$B$416&amp;$B$417&amp;$B$418&amp;$B$419&amp;$B$420&amp;$B$421&amp;$B$422&amp;$B$423&amp;$B$424&amp;$B$425&amp;$B$426&amp;$B$427&amp;$B$428&amp;$B$429&amp;$B$430&amp;$B$431&amp;$B$432&amp;$B$433&amp;$B$434&amp;$B$435&amp;$B$436&amp;$B$437&amp;$B$438&amp;$B$439&amp;$B$440&amp;$B$441&amp;$B$442&amp;$B$443&amp;$B$444&amp;$B$445&amp;$B$446&amp;$B$447&amp;$B$448&amp;$B$449&amp;$B$450&amp;$B$451&amp;$B$452&amp;$B$453&amp;$B$454&amp;$B$455&amp;$B$456&amp;$B$457&amp;$B$458&amp;$B$459&amp;$B$460&amp;$B$461&amp;$B$462&amp;$B$463&amp;$B$464&amp;$B$465&amp;$B$466&amp;$B$467&amp;$B$468&amp;$B$469&amp;$B$470&amp;$B$471&amp;$B$472&amp;$B$473&amp;$B$474&amp;$B$475&amp;$B$476&amp;$B$477&amp;$B$478&amp;$B$479&amp;$B$480&amp;$B$481&amp;$B$482&amp;$B$483&amp;$B$484&amp;$B$485&amp;$B$486&amp;$B$487&amp;$B$488&amp;$B$489&amp;$B$490&amp;$B$491&amp;$B$492&amp;$B$493&amp;$B$494&amp;$B$495&amp;$B$496&amp;$B$497&amp;$B$498&amp;$B$499&amp;$B$500&amp;$B$501&amp;$B$502&amp;$B$503&amp;$B$504</f>
        <v>if(l[0]&gt;=0){let l0=Object();let l1=[0,19,37];let l2=[0||17,35,53];let l3=_=&gt;['5',..._];let l4=_=&gt;k12(l3(_));for(let i=0;i&lt;3;i++){let l5=l1[i||0];let l6=l2[i||0];let l7=[l5,l5+1];let l8=[...l7,l5+2];let l9=i==0? l7: l8;if(h4(['1',...l9])){for(let i0=0;i0&lt;100;i0++){if(h18(['1',i0,...l9])){let l10=k13(['1',i0,l6]);let l11=`${l10||'k'}-${i}`;l0[l11]??=new Array();l0[l11].push(i0);}}}}for(let i=0;i&lt;10;i++){let l12=i*100;let l13=i*19+55;let l14=l13+17||0;let l15=[l13,l13+1];let l16=[...l15,l13+2];if(h4(['1',...l16])){for(let i0=0;i0&lt;100;i0++){if(h18(['1',i0,...l16])){let l17=k13(['1',i0,l14]);let l18=`${l17||'k'}-3`;l0[l18]??=new Array();l0[l18].push(i0+l12);}}}}const h30=_=&gt;{let l19=[_+0,12];let l20=l4(l19)||'';let l21=`l${k7(_)}`;let l22=`&lt;div id='${l21}' class='l00'&gt;&lt;div class='_'&gt;&lt;/div&gt;&lt;div data='_'&gt;${l20}&lt;/div&gt;${h35(l21)}${h34(l21)}&lt;var&gt;${l[0]?`A${l21.slice(1)}`:''}&lt;/var&gt;&lt;/div&gt;`;return l22;};const h31=_=&gt;{let l23=[_+100,12];let l24=l4(l23)||'';let l25=`k${k7(_)}`;let l26=`&lt;div&gt;&lt;div id='${l25}' class='k00'&gt;&lt;div class='_'&gt;&lt;/div&gt;&lt;div data='_'&gt;${l24}&lt;/div&gt;${h35(l25)}${h34(l25)}&lt;var&gt;${l[0]?`B${l25.slice(1)}`:''}&lt;/var&gt;&lt;/div&gt;&lt;/div&gt;${''}`;return l26;};const h32=_=&gt;{let l27=[_+200,12];let l28=l4(l27)||'';let l29=`t${k7(_)}`;let l30=`&lt;div&gt;&lt;div id='${l29}' class='t00'&gt;&lt;div class='_'&gt;&lt;/div&gt;&lt;div data='_'&gt;${l28}&lt;/div&gt;${h35(l29)}${h34(l29)}&lt;var&gt;${l[0]?`C${l29.slice(1)}`:''}&lt;/var&gt;&lt;/div&gt;&lt;/div&gt;${''}`;return l30;};const h33=_=&gt;{let l31=[_+300,12];let l32=l4(l31)||'';let l33=`t${k8(_)}`;let l34=`&lt;div id='${l33}' class='t000'&gt;&lt;div class='_'&gt;&lt;/div&gt;&lt;div data='_'&gt;${l32}&lt;/div&gt;${h35(l33)}${h34(l33)}&lt;var&gt;${l[0]?`D${l33.slice(1)}`:''}&lt;/var&gt;&lt;/div&gt;`;return l34;};const h34=_=&gt;{let l35=`${_}-0`;let l36=`${_}-3`;let l37=l0[l35];let l38=l0[l36];let l39=String();if(l38||l37){l39+='&lt;nav&gt;';if(l38!=null){for(let i of l38){l39+=h33(i);}}if(l37!=null){for(let i of l37){l39+=h30(i);}}l39+='&lt;/nav&gt;';}return l39;};const h35=_=&gt;{let l40=_=='k';let l41=`${_}-2`;let l42=`${_}-1`;let l43=l0[l41];let l44=l0[l42];let l45=String();if(l43||l44||l40){l45+=`&lt;div&gt;`;if(l43!=null){for(let i of l43){l45+=h32(i);}}if(l40==true){l45+=`&lt;/div&gt;&lt;div&gt;`;}if(l44!=null){for(let i of l44){l45+=h31(i);}}l45+='&lt;/div&gt;';}return l45;};if(h4(['1',0,1,2])||h4(['1',19,20])||h4(['1',37,38])||h4(['1',...h11])){h[1]+=`${h35('k')}${h34('k')}`;}}</v>
      </c>
      <c r="C56" s="9" t="s"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6">
        <v>33.0</v>
      </c>
      <c r="B57" s="2" t="str">
        <f>$B$507&amp;$B$508&amp;$B$509&amp;$B$510&amp;$B$511&amp;$B$512&amp;$B$513&amp;$B$514&amp;$B$515&amp;$B$516&amp;$B$517&amp;$B$518&amp;$B$519&amp;$B$520&amp;$B$521&amp;$B$522&amp;$B$523&amp;$B$524&amp;$B$525&amp;$B$526&amp;$B$527&amp;$B$528&amp;$B$529&amp;$B$530&amp;$B$531&amp;$B$532&amp;$B$533&amp;$B$534&amp;$B$535&amp;$B$536&amp;$B$537&amp;$B$538&amp;$B$539&amp;$B$540&amp;$B$541&amp;$B$542&amp;$B$543&amp;$B$544&amp;$B$545&amp;$B$546&amp;$B$547&amp;$B$548&amp;$B$549&amp;$B$550&amp;$B$551&amp;$B$552&amp;$B$553&amp;$B$554&amp;$B$555&amp;$B$556&amp;$B$557&amp;$B$558&amp;$B$559&amp;$B$560&amp;$B$561&amp;$B$562&amp;$B$563&amp;$B$564&amp;$B$565&amp;$B$566&amp;$B$567&amp;$B$568&amp;$B$569&amp;$B$570&amp;$B$571&amp;$B$572&amp;$B$573&amp;$B$574&amp;$B$575&amp;$B$576&amp;$B$577&amp;$B$578&amp;$B$579&amp;$B$580&amp;$B$581&amp;$B$582&amp;$B$583&amp;$B$584&amp;$B$585&amp;$B$586&amp;$B$587&amp;$B$588&amp;$B$589&amp;$B$590&amp;$B$591&amp;$B$592&amp;$B$593&amp;$B$594&amp;$B$595&amp;$B$596&amp;$B$597&amp;$B$598&amp;$B$599&amp;$B$600&amp;$B$601&amp;$B$602</f>
        <v>if(l[0]&gt;=0){let l0=[0,1299];h25(['5',...l0]);h28(['2',0,0]);h29(['3',0,0]);let l1=Date.now();let l2=h23['1-1'];let l3=k10(['0',14]);let l4=k10(['0',144]);let l5=l3||100||Number();if(h4(['1',0,1,2])){let l6=hh9(['1',0,1,2]);for(let i=0;i&lt;100;i++){if(h8(['1',i,0,1,2])){let l7=_=&gt;h8(['1',i,..._]);let l8=_=&gt;k15(['1',i,..._]);let l9=_=&gt;k14(['1',i,_]);let l11=_=&gt;k13(['1',i,_]);let l12=_=&gt;h3(['1',i,_]);let l13=_=&gt;h2(['1',i,_]);let l14=_=&gt;h0(['1',i,_]);let l15=_=&gt;!l9(_)||l11(_)&lt;0;let l16=_=&gt;!l9(_)||l11(_)&gt;0;let l17=l11(10)*l13(14)/100;let l18=l11(9)*l13(13)/100;let l19=l12(11)[0]-k6(l18);let l20=l12(12)[0]-k6(l17);let l21=l12(11)[1]+l13(13);let l22=l12(12)[1]+l13(14);let l23=l16(4)||l11(5)&gt;0;let l24=l8([5,100]);let l25=l7([9,10]);let l26=l2[l11(6)];let l27=k1(l11(1));let l28=k1(l11(2));let l29=k1(l11(3));let l30=k1(l11(4));let l31=k1(l11(5));let l32=l12(15)[0];let l33=l12(15)[1];let l34=l12(16)[0];let l35=l12(16)[0||1];let l36=l32&lt;0?'%':'px';let l37=l33&lt;0?'%':'px';let l38=l34&lt;0?'%':'px';let l39=l35&lt;0?'%':'px';let l40='margin-top';let l41='margin-left';let l42='margin-right';let l43='margin-bottom';let l44='padding-top';let l45='padding-left';let l46='padding-right';let l47='padding-bottom';let l48='background-image';let l49=`${l24}% - ${l22}px`;h[2]+=`#l${k7(i)}{${!l9(8)?'':`order:${l8([8,0])};`}${l15(0)?'':`flex-grow:${k1(l11(0))};`}${l11(0)&gt;=0?'':`flex-shrink:${k1(l11(0))};`}${l25||!l14(11)[0]?'':`left:${l12(11)[0]}px;`}${l25||!l14(12)[0]||0?'':`top:${l12(12)[0]}px;`}${!l25?'':`left:calc(${l8([9,0])}% + ${l19}px);`}${!l25?'':`top:calc(${l8([10,0])}% + ${l20}px);`}${l11(1)&lt;=0?'':`width:calc(${l27}% - ${l21}px);`}${!l9(1)||l11(1)&gt;0||0?'':`width:${l27-l21}px;`}${!l9(2)||l11(2)&lt;=0?'':`max-width:${l28-l21}px;`}${!l9(2)||l11(2)&gt;0?'':`min-width:${l28-l21}px;`}${l11(3)&lt;=0?'':`height:calc(${l29}% - ${l22}px);`}${!l9(3)||l11(3)&gt;0||0?'':`height:${k0(l29-l22)}px;`}${!l9(4)||l11(4)&lt;=0?'':`max-height:${k0(l30-l22)}px;`}${!l9(4)||l11(4)&gt;0?'':`min-height:${k0(l30-l22)}px;`}${!l23||!l16(5)||0||0?'':`min-height:calc(${l49});`}${!l9(5)||l11(5)!=0||0?'':`min-height:${l24}%;`}${l11(5)&gt;=0?'':`aspect-ratio:${k6(100/l31)};`}${!l14(13)[0]||0?'':`${l41}:${l12(13)[0]}px;`}${!l14(13)[1]||0?'':`${l42}:${l12(13)[1]}px;`}${!l14(14)[0]||0?'':`${l40}:${l12(14)[0]}px;`}${!l14(14)[1]||0?'':`${l43}:${l12(14)[1]}px;`}${!l14(15)[0]?'':`${l45}:${k1(l32)}${l36};`}${!l14(15)[1]?'':`${l46}:${k1(l33)}${l37};`}${!l14(16)[0]?'':`${l44}:${k1(l34)}${l38};`}${!l14(16)[1]?'':`${l47}:${k1(l35)}${l39};`}${!l11(7)||0||0?'':`${h24([0,l11(7)])}`}${!l11(6)?'':`align-self:${l26};`}${!l25||0||0?'':`translate:${!l11(9)?'0':`${l11(9)/-1}%`} ${!l11(10)?'0':`${l11(10)/-1}%`};`}${!l25?'':'position:absolute;'}}${l6-l5&gt;i||!l4?'':`#l${k7(i)}&gt;[class]{${l48}:url('${l4}.png?t=${l1}');}`}`;}}h28(['2',1,100]);h29(['3',1,100]);h27(['4',1,100]);h26(['5',1,100]);}}</v>
      </c>
      <c r="C57" s="9" t="s">
        <v>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6">
        <v>34.0</v>
      </c>
      <c r="B58" s="2" t="str">
        <f>$B$604&amp;$B$605&amp;$B$606&amp;$B$607&amp;$B$608&amp;$B$609&amp;$B$610&amp;$B$611&amp;$B$612&amp;$B$613&amp;$B$614&amp;$B$615&amp;$B$616&amp;$B$617&amp;$B$618&amp;$B$619&amp;$B$620&amp;$B$621&amp;$B$622&amp;$B$623&amp;$B$624&amp;$B$625&amp;$B$626&amp;$B$627&amp;$B$628&amp;$B$629&amp;$B$630&amp;$B$631&amp;$B$632&amp;$B$633&amp;$B$634&amp;$B$635&amp;$B$636&amp;$B$637&amp;$B$638&amp;$B$639&amp;$B$640&amp;$B$641&amp;$B$642&amp;$B$643&amp;$B$644&amp;$B$645&amp;$B$646&amp;$B$647&amp;$B$648&amp;$B$649&amp;$B$650&amp;$B$651&amp;$B$652&amp;$B$653&amp;$B$654&amp;$B$655&amp;$B$656&amp;$B$657&amp;$B$658&amp;$B$659&amp;$B$660&amp;$B$661&amp;$B$662&amp;$B$663&amp;$B$664&amp;$B$665&amp;$B$666&amp;$B$667&amp;$B$668&amp;$B$669&amp;$B$670&amp;$B$671&amp;$B$672&amp;$B$673&amp;$B$674&amp;$B$675&amp;$B$676&amp;$B$677&amp;$B$678&amp;$B$679&amp;$B$680&amp;$B$681&amp;$B$682&amp;$B$683&amp;$B$684&amp;$B$685&amp;$B$686&amp;$B$687&amp;$B$688&amp;$B$689&amp;$B$690&amp;$B$691&amp;$B$692&amp;$B$693&amp;$B$694&amp;$B$695&amp;$B$696&amp;$B$697&amp;$B$698&amp;$B$699&amp;$B$700&amp;$B$701&amp;$B$702&amp;$B$703&amp;$B$704&amp;$B$705</f>
        <v>if(l[0]&gt;=0){let l0=Date.now();let l1=k10(['0',26]);let l2=k10(['0',38]);let l3=k10(['0',144]);let l4=l2||0||Number();let l5=l1||0||Number();for(let i=0;i&lt;2;i++){let l6=i*18;let l7=i*100;let l8=[l6+19,l6+20];if(h4(['1',...l8])){let l9=hh9(['1',...l8]);for(let i0=0;i0&lt;100;i0++){if(h8(['1',i0,...l8])){let l10=_=&gt;k15(['1',i0,..._]);let l11=_=&gt;k14(['1',i0,l6+_]);let l12=_=&gt;k13(['1',i0,l6+_]);let l13=_=&gt;h3(['1',i0,l6+_]);let l14=_=&gt;h2(['1',i0,l6+_]);let l15=_=&gt;h0(['1',i0,l6+_]);let l16=_=&gt;!l11(_)||l12(_)&gt;0;let l17=l16(22)||l12(23)&gt;0;let l18=l11(27)||l11(28);let l19=l13(29)[1]+l14(31);let l20=l13(30)[1]+l14(32);let l21=l10([l6+23,100]);let l22=l10([l6+27,50]);let l23=l10([l6+28,0]);let l24=k1(l12(19));let l25=k1(l12(20));let l26=k1(l12(21));let l27=k1(l12(22));let l28=k1(l12(23));let l29=l12(27)/-1;let l30=l12(28)/-1;let l31=l13(33)[0];let l32=l13(33)[1];let l33=l13(34)[0];let l34=l13(34)[1];let l35=l15(31)[0||0];let l36=l15(31)[0||1];let l37=l12(24)=='ends';let l38=l12(24)=='start';let l39=l12(25)=='start';let l40=l12(25)=='ends';let l41=l31&lt;0?'%':'px';let l42=l32&lt;0?'%':'px';let l43=l33&lt;0?'%':'px';let l44=l34&lt;0?'%':'px';let l45='margin-top';let l46='margin-left';let l47='margin-right';let l48='margin-bottom';let l49='padding-top';let l50='padding-left';let l51='padding-right';let l52='padding-bottom';let l53='background-image';let l54=`${l21}% - ${l20}`;h[2]+=`#${!i?'k':'t'}${k7(i0)}{${!l11(26)?'':`z-index:${l10([26,0])};`}${l18||!l15(29)[0]?'':`left:${l13(29)[0]}px;`}${l18||!l15(30)[0]||0?'':`top:${l13(30)[0]}px;`}${!l18?'':`left:calc(${l22}% + ${l13(29)[0]}px);`}${!l18?'':`top:calc(${l23}% + ${l13(30)[0]}px);`}${l12(19)&lt;=0?'':`width:calc(${l24}% - ${l19}px);`}${!l11(19)||l12(19)&gt;0||0?'':`width:${l24-l19}px;`}${!l11(20)||l12(20)&lt;=0?'':`max-width:${l25-l19}px;`}${!l11(20)||l12(20)&gt;0?'':`min-width:${l25-l19}px;`}${l12(21)&lt;=0?'':`height:calc(${l26}% - ${l20}px);`}${!l11(21)||l12(21)&gt;0||0?'':`height:${k0(l26-l20)}px;`}${!l11(22)||l12(22)&lt;=0?'':`max-height:${k0(l27-l20)}px;`}${!l11(22)||l12(22)&gt;0?'':`min-height:${k0(l27-l20)}px;`}${!l17||!l16(23)||0?'':`min-height:calc(${l54}px);`}${!l11(23)||l12(23)!=0?'':`min-height:${l21}%;`}${l12(23)&gt;=0?'':`aspect-ratio:${k6(100/l28)};`}${!l39&amp;&amp;(!l18||l35)?'':`margin-left:0px;`}${!l40&amp;&amp;(!l18||l36)?'':`margin-right:0px;`}${!l38&amp;&amp;(!l18||l35)?'':`margin-top:0px;`}${!l37&amp;&amp;(!l18||l36)?'':`margin-bottom:0px;`}${!l15(31)[0]||0?'':`${l46}:${l13(31)[0]}px;`}${!l15(31)[1]||0?'':`${l47}:${l13(31)[1]}px;`}${!l15(32)[0]||0?'':`${l45}:${l13(32)[0]}px;`}${!l15(32)[1]||0?'':`${l48}:${l13(32)[1]}px;`}${!l15(33)[0]?'':`${l50}:${k1(l31)}${l41};`}${!l15(33)[1]?'':`${l51}:${k1(l32)}${l42};`}${!l15(34)[0]?'':`${l49}:${k1(l33)}${l43};`}${!l15(34)[1]?'':`${l52}:${k1(l34)}${l44};`}${!l12(24)||0?'':`${h24([1,l12(24)])}`}${!l12(25)?'':`${h24([0,l12(25)])}`}${!l18||0||0?'':`translate:${!l11(27)?'-50%':`${l29}%`} ${!l11(28)?'0':`${l30}%`};`}}${l9-(i?l4:l5)&gt;i0||!l3?'':`#${!i?'k':'t'}${k7(i0)}&gt;[class]{${l53}:url('${l3}.png?t=${l0||0}');}`}`;}}h28(['2',l7+101,l7+200]);h29(['3',l7+101,l7+200]);h27(['4',l7+100,l7+199]);h26(['5',l7+100,l7+199]);}}}</v>
      </c>
      <c r="C58" s="9" t="s">
        <v>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6">
        <v>35.0</v>
      </c>
      <c r="B59" s="2" t="str">
        <f>$B$707&amp;$B$708&amp;$B$709&amp;$B$710&amp;$B$711&amp;$B$712&amp;$B$713&amp;$B$714&amp;$B$715&amp;$B$716&amp;$B$717&amp;$B$718&amp;$B$719&amp;$B$720&amp;$B$721&amp;$B$722&amp;$B$723&amp;$B$724&amp;$B$725&amp;$B$726&amp;$B$727&amp;$B$728&amp;$B$729&amp;$B$730&amp;$B$731&amp;$B$732&amp;$B$733&amp;$B$734&amp;$B$735&amp;$B$736&amp;$B$737&amp;$B$738&amp;$B$739&amp;$B$740&amp;$B$741&amp;$B$742&amp;$B$743&amp;$B$744&amp;$B$745&amp;$B$746&amp;$B$747&amp;$B$748&amp;$B$749&amp;$B$750&amp;$B$751&amp;$B$752&amp;$B$753&amp;$B$754&amp;$B$755&amp;$B$756&amp;$B$757&amp;$B$758&amp;$B$759&amp;$B$760&amp;$B$761&amp;$B$762&amp;$B$763&amp;$B$764&amp;$B$765&amp;$B$766&amp;$B$767&amp;$B$768&amp;$B$769&amp;$B$770&amp;$B$771&amp;$B$772&amp;$B$773&amp;$B$774&amp;$B$775&amp;$B$776&amp;$B$777&amp;$B$778&amp;$B$779&amp;$B$780&amp;$B$781&amp;$B$782&amp;$B$783&amp;$B$784&amp;$B$785&amp;$B$786&amp;$B$787&amp;$B$788&amp;$B$789&amp;$B$790&amp;$B$791&amp;$B$792&amp;$B$793&amp;$B$794&amp;$B$795&amp;$B$796</f>
        <v>if(l[0]&gt;=0){let l0=h23['1-1'];for(let i=0;i&lt;10;i++){let l1=i*19;let l2=i*100;let l3=[l1+56,l1+57];let l4=[l1+55,...l3];if(h4(['1',...l4])){for(let i0=0;i0&lt;100;i0++){if(h8(['1',i0,...l4])){let l5=_=&gt;h8(['1',i0,..._]);let l6=_=&gt;k15(['1',i0,..._]);let l7=_=&gt;k14(['1',i0,l1+_]);let l8=_=&gt;k13(['1',i0,l1+_]);let l9=_=&gt;h3(['1',i0,l1+_]);let l10=_=&gt;h2(['1',i0,l1+_]);let l11=_=&gt;h0(['1',i0,l1+_]);let l12=_=&gt;!l7(_)||l8(_)&lt;0;let l13=_=&gt;!l7(_)||l8(_)&gt;0;let l14=l8(65)*l10(69)/100;let l15=l8(64)*l10(68)/100;let l16=l13(59)||l8(60)&gt;0;let l17=l9(66)[0]-k6(l15);let l18=l9(67)[0]-k6(l14);let l19=l9(66)[1]+l10(68);let l20=l9(67)[1]+l10(69);let l21=l5([l1+64,l1+65]);let l22=l6([l1+60,100]);let l23=l6([l1+65,0]);let l24=l6([l1+64,0]);let l25=l0[l8(61)];let l26=k1(l8(56));let l27=k1(l8(57));let l28=k1(l8(58));let l29=k1(l8(59));let l30=k1(l8(60));let l31=l9(70)[0];let l32=l9(70)[1];let l33=l9(71)[0];let l34=l9(71)[0||1];let l35=l31&lt;0?'%':'px';let l36=l32&lt;0?'%':'px';let l37=l33&lt;0?'%':'px';let l38=l34&lt;0?'%':'px';let l39='margin-top';let l40='margin-left';let l41='margin-right';let l42='margin-bottom';let l43='padding-top';let l44='padding-left';let l45='padding-right';let l46='padding-bottom';let l47=`${l22}% - ${l20}px`;h[2]+=`#t${k8(i0+l2)}{${!l7(63)?'':`order:${l6([l1+63,0])};`}${l12(55)?'':`flex-grow:${k1(l8(55))};`}${l8(55)&gt;=0?'':`flex-shrink:${k1(l8(55))};`}${l21||!l11(66)[0]?'':`left:${l9(66)[0]}px;`}${l21||!l11(67)[0]?'':`top:${l9(67)[0]}px;`}${!l21||0?'':`left:calc(${l24}% + ${l17}px);`}${!l21||0?'':`top:calc(${l23}% + ${l18}px);`}${l8(56)&lt;=0?'':`width:calc(${l26}% - ${l19}px);`}${!l7(56)||l8(56)&gt;0||0?'':`width:${l26-l19}px;`}${!l7(57)||l8(57)&lt;=0?'':`max-width:${l27-l19}px;`}${!l7(57)||l8(57)&gt;0?'':`min-width:${l27-l19}px;`}${l8(58)&lt;=0?'':`height:calc(${l28}% - ${l20}px);`}${!l7(58)||l8(58)&gt;0||0?'':`height:${k0(l28-l20)}px;`}${!l7(59)||l8(59)&lt;=0?'':`max-height:${k0(l29-l20)}px;`}${!l7(59)||l8(59)&gt;0?'':`min-height:${k0(l29-l20)}px;`}${!l16||!l13(60)||0||0?'':`min-height:calc(${l47});`}${!l7(60)||l8(60)!=0||0?'':`min-height:${l22}%;`}${l8(60)&gt;=0?'':`aspect-ratio:${k6(100/l30)};`}${!l11(68)[0]||0?'':`${l40}:${l9(68)[0]}px;`}${!l11(68)[1]||0?'':`${l41}:${l9(68)[1]}px;`}${!l11(69)[0]||0?'':`${l39}:${l9(69)[0]}px;`}${!l11(69)[1]||0?'':`${l42}:${l9(69)[1]}px;`}${!l11(70)[0]?'':`${l44}:${k1(l31)}${l35};`}${!l11(70)[1]?'':`${l45}:${k1(l32)}${l36};`}${!l11(71)[0]?'':`${l43}:${k1(l33)}${l37};`}${!l11(71)[1]?'':`${l46}:${k1(l34)}${l38};`}${!l8(62)||0?'':`${h24([0,l8(62)])}`}${!l8(61)?'':`align-self:${l25};`}${!l21||0||0?'':`translate:${!l8(64)?'0':`${l8(64)/-1}%`} ${!l8(65)?'0':`${l8(65)/-1}%`};`}${!l21?'':'position:absolute;'}}`;}}h28(['2',301,1300]);h29(['3',301,1300]);h27(['4',300,1299]);h26(['5',300,1299]);}}}</v>
      </c>
      <c r="C59" s="9" t="s">
        <v>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" t="s">
        <v>0</v>
      </c>
      <c r="B60" s="3" t="str">
        <f>$B$799&amp;$B$800&amp;$B$801&amp;$B$802&amp;$B$803&amp;$B$804&amp;$B$805&amp;$B$806&amp;$B$807&amp;$B$808&amp;$B$809&amp;$B$810&amp;$B$811&amp;$B$812&amp;$B$813&amp;$B$814&amp;$B$815&amp;$B$816&amp;$B$817&amp;$B$818&amp;$B$819&amp;$B$820&amp;$B$821&amp;$B$822&amp;$B$823&amp;$B$824&amp;$B$825&amp;$B$826&amp;$B$827&amp;$B$828&amp;$B$829&amp;$B$830&amp;$B$831&amp;$B$832&amp;$B$833&amp;$B$834&amp;$B$835&amp;$B$836&amp;$B$837&amp;$B$838&amp;$B$839&amp;$B$840&amp;$B$841&amp;$B$842&amp;$B$843&amp;$B$844&amp;$B$845&amp;$B$846&amp;$B$847&amp;$B$848&amp;$B$849&amp;$B$850&amp;$B$851&amp;$B$852&amp;$B$853&amp;$B$854&amp;$B$855&amp;$B$856&amp;$B$857&amp;$B$858&amp;$B$859&amp;$B$860&amp;$B$861&amp;$B$862&amp;$B$863&amp;$B$864&amp;$B$865&amp;$B$866&amp;$B$867&amp;$B$868&amp;$B$869&amp;$B$870&amp;$B$871&amp;$B$872&amp;$B$873&amp;$B$874&amp;$B$875&amp;$B$876&amp;$B$877&amp;$B$878&amp;$B$879&amp;$B$880&amp;$B$881&amp;$B$882&amp;$B$883&amp;$B$884&amp;$B$885&amp;$B$886</f>
        <v>if(l[0]&gt;=0){let l0=h23['0'];let l1=h23['1'];let l2=h23['2'];let l3=h23['3'];let l4=[8,9,10,11,140,141,142];let l5=k10(['0',2])||0;let l6=k10(['0',3])||0;let l7=k10(['0',4])||0;let l8=k10(['0',5])||0;let l9=k10(['0',6])||0;let l10=k10(['0',7])||0;let l11=h4(['0',...l4]);let l12=['.k00','.t00'];let l13=['.l00',...l12];if(h4(['0',6,7,...l4])){h[3]+=`body&gt;div{`;}if(h4(['0',6,7])){let l14=l9*10+400;let l15=l10*10+300;let l16=`${k2(l14)}`;let l17=`${k2(l15)}px`;let l18=`width:${l16}px`;h[3]+=`${!l9?'':`${l18};`}${!l15?'':`height:${l17};`}`;}if(h4(['0',...l4])){h[3]+=`filter:${!l11?'':`url('#f-all')`};`}if(h4(['0',6,7,...l4])){h[3]+=`${''}}`;}for(let i=0;i&lt;3;i++){let l19='border-width';let l20=[`div:has(+div)`,'div+div','div+nav'];let l21=12*i||Number();let l22=[16+l21,17+l21];let l23=[18+l21,19+l21];let l24=[...l22,...l23];let l25=h4(['0',...l22]);let l26=h4(['0',...l23]);let l27=h4(['0',...l24]);let l28=k10(['0',15+l21]);let l29=k10(['0',16+l21]);let l30=k10(['0',17+l21]);let l31=k10(['0',18+l21]);let l32=k10(['0',19+l21]);let l33=k2(l1[l8][i]*90);let l34=h7(l29)[1];let l35=h7(l29)[0];let l36=l2[l28||0];let l37=l3[l36[0]];let l38=l3[l36[1]];let l39=l35*l30||0;let l40=k2(l39*4);if(l7||l8||l27){h[3]+=`body&gt;div&gt;${l20[2-i]}{${!l7?'':`z-index:${l0[l7][i]};`}${!l8?'':`rotate:${l33}deg;`}${!l25?'':`left:${l40||0}px;top:${k2(l34*l30*3)||0}px;`}${!l26?'':`${i?'padding':l19}:${k2(l32*3)||0}px ${k2(l31*4)||0}px;`}}`;}if(l28!=null){h[3]+=`${l13[i]}&gt;[class]{${l3[19]}:${l37};${l3[20]}:${l38};}`;}}if(h4(['0',0||2,3])){let l41=k2(l6/5+16);let l42=k2(l5/5+2);let l43=`${l42}px`;let l44=`${l41}px`;let l45='font-size';h[3]+=`.l00&gt;var,.k00&gt;var,.t00&gt;var{${!l5?'':`padding:${l43};`}${!l6?'':`${l45}:${l44};`}}`;}if(h4(['0',20,21,22,23])){h[3]+=`.l00&gt;:is(div,nav){filter:url('#f-l00');}`;}if(h4(['0',32,33,34,35])){h[3]+=`.k00&gt;:is(div,nav){filter:url('#f-k00');}`;}if(h4(['0',44,45,46,47])){h[3]+=`.t00&gt;:is(div,nav){filter:url('#f-t00');}`;}}</v>
      </c>
      <c r="C60" s="9" t="s">
        <v>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11" t="s">
        <v>0</v>
      </c>
      <c r="B61" s="3" t="str">
        <f>$B$888&amp;$B$889&amp;$B$890&amp;$B$891&amp;$B$892&amp;$B$893&amp;$B$894&amp;$B$895&amp;$B$896&amp;$B$897&amp;$B$898&amp;$B$899&amp;$B$900&amp;$B$901&amp;$B$902&amp;$B$903&amp;$B$904&amp;$B$905&amp;$B$906&amp;$B$907&amp;$B$908&amp;$B$909&amp;$B$910&amp;$B$911&amp;$B$912&amp;$B$913&amp;$B$914&amp;$B$915&amp;$B$916&amp;$B$917&amp;$B$918&amp;$B$919&amp;$B$920&amp;$B$921&amp;$B$922&amp;$B$923&amp;$B$924&amp;$B$925&amp;$B$926&amp;$B$927&amp;$B$928&amp;$B$929&amp;$B$930&amp;$B$931&amp;$B$932&amp;$B$933&amp;$B$934&amp;$B$935&amp;$B$936&amp;$B$937&amp;$B$938&amp;$B$939&amp;$B$940&amp;$B$941&amp;$B$942&amp;$B$943&amp;$B$944&amp;$B$945&amp;$B$946&amp;$B$947&amp;$B$948&amp;$B$949&amp;$B$950&amp;$B$951&amp;$B$952&amp;$B$953&amp;$B$954&amp;$B$955&amp;$B$956&amp;$B$957&amp;$B$958&amp;$B$959&amp;$B$960&amp;$B$961&amp;$B$962&amp;$B$963&amp;$B$964&amp;$B$965&amp;$B$966</f>
        <v>if(l[0]&gt;=0){let l0=[140,141,142];let l1=['l00','k00','t00'];let l2=['erode','dilate'];let l3='SourceGraphic';let l4=['all',...l1];for(let i=0;i&lt;4;i++){let l5=i*12||Number();let l6=[8+l5,9+l5];let l7=[10+l5,11+l5];let l8=k10(['0',8+l5]);let l9=k10(['0',9+l5]);let l10=k10(['0',10+l5]);let l11=k10(['0',11+l5]);let l12=k10(['0',12+l5]);let l13=k10(['0',13+l5]);let l14=h4(['0',...l0]);let l15=!l14||i?l3:1;let l16=!l8?l15:2;let l17=!l9?l16:3;if(!i&amp;&amp;h4(['0',...l0])||h4(['0',...l6,...l7])){let l18='&lt;filter id';let l19='interpolation';h[0]+=`${l18}='f-${l4[i]}'${!l14?'':` color-${l19}${''}-filters='sRGB'`}&gt;`;}if(!i&amp;&amp;h4(['0',...l0])){let l20=_=&gt;_.join(' ');let l21=_=&gt;k10(['0',_]);let l22=l0.map(_=&gt;l21(_));let l23=l22.filter(_=&gt;_!=null);let l24=_=&gt;k5(k16(_[1])[_[0]]/255);let l25=l20(l23.map(_=&gt;l24([0,_])));let l26=l20(l23.map(_=&gt;l24([1,_])));let l27=l20(l23.map(_=&gt;l24([2,_])));let l28=`type='table' tableValues`;let l29=`feComponentTransfer`;h[0]+=`&lt;${h12}&gt;&lt;${l29} result='0'&gt;&lt;feFuncR ${l28}='${l25}'&gt;&lt;/feFuncR&gt;&lt;feFuncG ${l28}='${l26}'&gt;&lt;/feFuncG&gt;&lt;feFuncB ${l28}='${l27}'&gt;&lt;/feFuncB&gt;&lt;feFuncA ${l28}='0 1'/&gt;&lt;/${l29}&gt;&lt;feBlend in2='${l3}' mode='color' result='1'/&gt;`;}if(h4(['0',...l6])){let l31=l2[l8&gt;=50?1:0];let l32=l2[l9&gt;=50?1:0];let l33=l8&gt;=50?100-l8:l8;let l34=l9&gt;=50?100-l9:l9;let l35='feMorphology operator';let l36=`&lt;${l35}='${l31}' radius`;let l37=`&lt;${l35}='${l32}' radius`;let l38=`'${k2(l33)} 0' result='2'`;let l39=`'0 ${k2(l34)}' result='3'`;h[0]+=`${!l8?'':`${l36}=${l38}/&gt;`}${!l9?'':`${l37}=${l39}/&gt;`}`;}if(h4(['0',...l7])){let l40=k5(l10/100)||0;let l41=k5(l11/100)||0;let l42=[100-l13,l13];let l43=l13&lt;=49?1:0;let l44=l42[l43]+1;let l45=`result='4'`;let l46='turbulence';let l47='feTurbulence';let l48='fractalNoise';let l49=`${l43?l48:l46}`;let l50='feDisplacementMap';h[0]+=`&lt;${l47} type='${l49}' baseFrequency='${l40} ${l41}'${!l12?'':` seed='${l12}'`}/&gt;&lt;${l50} in='${l17}' scale='${k2(l44)||1}' ${l45}/&gt;`;}if(h4(['0',...l6,...l7])||!i&amp;&amp;h4(['0',...l0])){h[0]+=`&lt;/filter&gt;`;}}}if(l[0]&gt;=0){return h;}};</v>
      </c>
      <c r="C61" s="9" t="s">
        <v>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12"/>
      <c r="B62" s="13"/>
      <c r="C62" s="1"/>
      <c r="D62" s="1"/>
      <c r="E62" s="7"/>
      <c r="F62" s="14"/>
      <c r="G62" s="15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"/>
      <c r="B63" s="2"/>
      <c r="C63" s="1"/>
      <c r="D63" s="1"/>
      <c r="E63" s="2"/>
      <c r="F63" s="14"/>
      <c r="G63" s="3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1">
        <v>0.0</v>
      </c>
      <c r="B64" s="3" t="str">
        <f>"const h"&amp;$A$48&amp;"=l=&gt;{"</f>
        <v>const h24=l=&gt;{</v>
      </c>
      <c r="C64" s="16"/>
      <c r="D64" s="3"/>
      <c r="E64" s="1"/>
      <c r="F64" s="1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1">
        <v>1.0</v>
      </c>
      <c r="B65" s="3" t="str">
        <f>"let l"&amp;$A$64&amp;"=h"&amp;$A$46&amp;"['1-0'];"</f>
        <v>let l0=h23['1-0'];</v>
      </c>
      <c r="C65" s="16"/>
      <c r="D65" s="3"/>
      <c r="E65" s="1"/>
      <c r="F65" s="1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1">
        <v>2.0</v>
      </c>
      <c r="B66" s="3" t="str">
        <f>"let l"&amp;$A$65&amp;"=l"&amp;$A$64&amp;".indexOf(l[1]);"</f>
        <v>let l1=l0.indexOf(l[1]);</v>
      </c>
      <c r="C66" s="16"/>
      <c r="D66" s="1"/>
      <c r="E66" s="3"/>
      <c r="F66" s="14"/>
      <c r="G66" s="1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1">
        <v>3.0</v>
      </c>
      <c r="B67" s="3" t="str">
        <f>"let l"&amp;$A$66&amp;"=_=&gt;_.includes(l"&amp;$A$65&amp;");"</f>
        <v>let l2=_=&gt;_.includes(l1);</v>
      </c>
      <c r="C67" s="16"/>
      <c r="D67" s="1"/>
      <c r="E67" s="3"/>
      <c r="F67" s="5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1">
        <v>4.0</v>
      </c>
      <c r="B68" s="3" t="str">
        <f>"let l"&amp;$A$67&amp;"=l"&amp;$A$66&amp;"([0,2])?'auto':'';"</f>
        <v>let l3=l2([0,2])?'auto':'';</v>
      </c>
      <c r="C68" s="16"/>
      <c r="D68" s="1"/>
      <c r="E68" s="3"/>
      <c r="F68" s="5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1">
        <v>5.0</v>
      </c>
      <c r="B69" s="3" t="str">
        <f>"let l"&amp;$A$68&amp;"=l"&amp;$A$66&amp;"([1,2])?'auto':'';"</f>
        <v>let l4=l2([1,2])?'auto':'';</v>
      </c>
      <c r="C69" s="16"/>
      <c r="D69" s="1"/>
      <c r="E69" s="3"/>
      <c r="F69" s="5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1">
        <v>6.0</v>
      </c>
      <c r="B70" s="3" t="str">
        <f>"let l"&amp;$A$69&amp;"='margin-bottom';"</f>
        <v>let l5='margin-bottom';</v>
      </c>
      <c r="C70" s="16"/>
      <c r="D70" s="1"/>
      <c r="E70" s="3"/>
      <c r="F70" s="5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1">
        <v>7.0</v>
      </c>
      <c r="B71" s="3" t="str">
        <f>"let l"&amp;$A$70&amp;"='margin-right';"</f>
        <v>let l6='margin-right';</v>
      </c>
      <c r="C71" s="16"/>
      <c r="D71" s="1"/>
      <c r="E71" s="3"/>
      <c r="F71" s="5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1">
        <v>8.0</v>
      </c>
      <c r="B72" s="3" t="str">
        <f>"let l"&amp;$A$71&amp;"='margin-left';"</f>
        <v>let l7='margin-left';</v>
      </c>
      <c r="C72" s="16"/>
      <c r="D72" s="1"/>
      <c r="E72" s="3"/>
      <c r="F72" s="5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1">
        <v>9.0</v>
      </c>
      <c r="B73" s="3" t="str">
        <f>"let l"&amp;$A$72&amp;"='margin-top';"</f>
        <v>let l8='margin-top';</v>
      </c>
      <c r="C73" s="16"/>
      <c r="D73" s="1"/>
      <c r="E73" s="3"/>
      <c r="F73" s="5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1">
        <v>10.0</v>
      </c>
      <c r="B74" s="3" t="str">
        <f>"let l"&amp;$A$73&amp;"=[l"&amp;$A$71&amp;",l"&amp;$A$72&amp;"][l[0]];"</f>
        <v>let l9=[l7,l8][l[0]];</v>
      </c>
      <c r="C74" s="16"/>
      <c r="D74" s="1"/>
      <c r="E74" s="3"/>
      <c r="F74" s="5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1">
        <v>11.0</v>
      </c>
      <c r="B75" s="3" t="str">
        <f>"let l"&amp;$A$74&amp;"=[l"&amp;$A$70&amp;",l"&amp;$A$69&amp;"][l[0]];"</f>
        <v>let l10=[l6,l5][l[0]];</v>
      </c>
      <c r="C75" s="16"/>
      <c r="D75" s="1"/>
      <c r="E75" s="3"/>
      <c r="F75" s="5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1">
        <v>12.0</v>
      </c>
      <c r="B76" s="3" t="str">
        <f>"let l"&amp;$A$75&amp;"=`${l"&amp;$A$74&amp;"}:${l"&amp;$A$67&amp;"}`;"</f>
        <v>let l11=`${l10}:${l3}`;</v>
      </c>
      <c r="C76" s="16"/>
      <c r="D76" s="1"/>
      <c r="E76" s="3"/>
      <c r="F76" s="5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1">
        <v>13.0</v>
      </c>
      <c r="B77" s="3" t="str">
        <f>"let l"&amp;$A$76&amp;"=`${l"&amp;$A$73&amp;"}:${l"&amp;$A$68&amp;"}`;"</f>
        <v>let l12=`${l9}:${l4}`;</v>
      </c>
      <c r="C77" s="16"/>
      <c r="D77" s="1"/>
      <c r="E77" s="3"/>
      <c r="F77" s="5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1" t="s">
        <v>0</v>
      </c>
      <c r="B78" s="3" t="str">
        <f>"let l"&amp;$A$77&amp;"=`"</f>
        <v>let l13=`</v>
      </c>
      <c r="C78" s="16"/>
      <c r="D78" s="1"/>
      <c r="E78" s="1"/>
      <c r="F78" s="5"/>
      <c r="G78" s="5"/>
      <c r="H78" s="2"/>
      <c r="I78" s="5"/>
      <c r="J78" s="5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1"/>
      <c r="B79" s="3" t="str">
        <f>"${!l"&amp;$A$68&amp;"?'':`${l"&amp;$A$76&amp;"};`}"</f>
        <v>${!l4?'':`${l12};`}</v>
      </c>
      <c r="C79" s="16"/>
      <c r="D79" s="1"/>
      <c r="E79" s="1"/>
      <c r="F79" s="5"/>
      <c r="G79" s="5"/>
      <c r="H79" s="2"/>
      <c r="I79" s="5"/>
      <c r="J79" s="5"/>
      <c r="K79" s="3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B80" s="3" t="str">
        <f>"${!l"&amp;$A$67&amp;"?'':`${l"&amp;$A$75&amp;"};`}`;"</f>
        <v>${!l3?'':`${l11};`}`;</v>
      </c>
      <c r="C80" s="16"/>
      <c r="D80" s="1"/>
      <c r="E80" s="1"/>
      <c r="F80" s="5"/>
      <c r="G80" s="5"/>
      <c r="H80" s="2"/>
      <c r="I80" s="5"/>
      <c r="J80" s="5"/>
      <c r="K80" s="3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B81" s="3" t="str">
        <f>"return l"&amp;$A$77&amp;";};"</f>
        <v>return l13;};</v>
      </c>
      <c r="C81" s="16"/>
      <c r="D81" s="1"/>
      <c r="E81" s="1"/>
      <c r="F81" s="5"/>
      <c r="G81" s="5"/>
      <c r="H81" s="2"/>
      <c r="I81" s="5"/>
      <c r="J81" s="5"/>
      <c r="K81" s="3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B82" s="2"/>
      <c r="C82" s="1"/>
      <c r="D82" s="2"/>
      <c r="E82" s="2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6">
        <v>0.0</v>
      </c>
      <c r="B83" s="3" t="str">
        <f>"const h"&amp;$A$49&amp;"=l=&gt;{"</f>
        <v>const h25=l=&gt;{</v>
      </c>
      <c r="C83" s="1"/>
      <c r="D83" s="2"/>
      <c r="E83" s="2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6">
        <v>1.0</v>
      </c>
      <c r="B84" s="2" t="str">
        <f>"let l"&amp;$A$83&amp;"=Date.now();"</f>
        <v>let l0=Date.now();</v>
      </c>
      <c r="C84" s="1"/>
      <c r="D84" s="2"/>
      <c r="E84" s="2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6">
        <v>2.0</v>
      </c>
      <c r="B85" s="2" t="str">
        <f>"let l"&amp;$A$84&amp;"=h"&amp;$A$42&amp;".slice(1);"</f>
        <v>let l1=h19.slice(1);</v>
      </c>
      <c r="C85" s="1"/>
      <c r="D85" s="2"/>
      <c r="E85" s="2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6">
        <v>3.0</v>
      </c>
      <c r="B86" s="2" t="str">
        <f>"let l"&amp;$A$85&amp;"=['0',145];"</f>
        <v>let l2=['0',145];</v>
      </c>
      <c r="C86" s="1"/>
      <c r="D86" s="2"/>
      <c r="E86" s="2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6">
        <v>4.0</v>
      </c>
      <c r="B87" s="3" t="str">
        <f>"let l"&amp;$A$86&amp;"=k"&amp;$A$15&amp;"(l"&amp;$A$85&amp;");"</f>
        <v>let l3=k10(l2);</v>
      </c>
      <c r="C87" s="1"/>
      <c r="E87" s="2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6">
        <v>5.0</v>
      </c>
      <c r="B88" s="2" t="str">
        <f>"let l"&amp;$A$87&amp;"=h"&amp;$A$38&amp;"(l);"</f>
        <v>let l4=h15(l);</v>
      </c>
      <c r="C88" s="1"/>
      <c r="E88" s="2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6">
        <v>6.0</v>
      </c>
      <c r="B89" s="2" t="str">
        <f>"if (l"&amp;$A$86&amp;"!=null){"</f>
        <v>if (l3!=null){</v>
      </c>
      <c r="C89" s="1"/>
      <c r="D89" s="2"/>
      <c r="E89" s="2"/>
      <c r="F89" s="2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11" t="s">
        <v>0</v>
      </c>
      <c r="B90" s="2" t="str">
        <f>"h[2]+=`"</f>
        <v>h[2]+=`</v>
      </c>
      <c r="C90" s="1"/>
      <c r="D90" s="2"/>
      <c r="E90" s="2"/>
      <c r="F90" s="2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B91" s="2" t="str">
        <f>"@font-face{"</f>
        <v>@font-face{</v>
      </c>
      <c r="C91" s="1"/>
      <c r="D91" s="2"/>
      <c r="E91" s="2"/>
      <c r="F91" s="2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B92" s="2" t="str">
        <f>"src:url('${l"&amp;$A$86&amp;"}"</f>
        <v>src:url('${l3}</v>
      </c>
      <c r="C92" s="1"/>
      <c r="D92" s="2"/>
      <c r="E92" s="2"/>
      <c r="F92" s="2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B93" s="2" t="str">
        <f>".otf?t=${l"&amp;$A$83&amp;"}');"</f>
        <v>.otf?t=${l0}');</v>
      </c>
      <c r="C93" s="1"/>
      <c r="D93" s="2"/>
      <c r="E93" s="2"/>
      <c r="F93" s="2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B94" s="2" t="str">
        <f>"font-family:body;"</f>
        <v>font-family:body;</v>
      </c>
      <c r="C94" s="1"/>
      <c r="D94" s="2"/>
      <c r="E94" s="2"/>
      <c r="F94" s="2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B95" s="17" t="str">
        <f>"font-display:swap;}`;}"</f>
        <v>font-display:swap;}`;}</v>
      </c>
      <c r="C95" s="1"/>
      <c r="D95" s="2"/>
      <c r="E95" s="2"/>
      <c r="F95" s="2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B96" s="2" t="str">
        <f>"for(let i of l"&amp;$A$87&amp;"){"</f>
        <v>for(let i of l4){</v>
      </c>
      <c r="C96" s="1"/>
      <c r="E96" s="2"/>
      <c r="F96" s="2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B97" s="2" t="str">
        <f>"if(h"&amp;$A$28&amp;"(['5',i,"&amp;COLUMN('5'!$M:$M)-2&amp;","&amp;COLUMN('5'!$M:$M)-COLUMN('5'!$M:$M)&amp;"])){"</f>
        <v>if(h5(['5',i,11,0])){</v>
      </c>
      <c r="C97" s="1"/>
      <c r="D97" s="2"/>
      <c r="E97" s="2"/>
      <c r="F97" s="2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B98" s="2" t="str">
        <f>"let l"&amp;$A$88&amp;"=k['5'][i]["&amp;COLUMN('5'!$M:$M)-2&amp;"];"</f>
        <v>let l5=k['5'][i][11];</v>
      </c>
      <c r="C98" s="1"/>
      <c r="D98" s="2"/>
      <c r="E98" s="2"/>
      <c r="F98" s="2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B99" s="2" t="str">
        <f>"let l"&amp;$A$89&amp;"='font-family';"</f>
        <v>let l6='font-family';</v>
      </c>
      <c r="C99" s="1"/>
      <c r="D99" s="2"/>
      <c r="E99" s="2"/>
      <c r="F99" s="2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B100" s="2" t="str">
        <f>"if (l"&amp;$A$88&amp;"!=null){"</f>
        <v>if (l5!=null){</v>
      </c>
      <c r="C100" s="1"/>
      <c r="D100" s="2"/>
      <c r="E100" s="2"/>
      <c r="F100" s="2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B101" s="2" t="str">
        <f>"h[2]+=`"</f>
        <v>h[2]+=`</v>
      </c>
      <c r="C101" s="1"/>
      <c r="D101" s="2"/>
      <c r="E101" s="2"/>
      <c r="F101" s="2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B102" s="2" t="str">
        <f>"@font-face{"</f>
        <v>@font-face{</v>
      </c>
      <c r="C102" s="1"/>
      <c r="D102" s="2"/>
      <c r="E102" s="2"/>
      <c r="F102" s="2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B103" s="2" t="str">
        <f>"src:url('${l"&amp;$A$88&amp;"}"</f>
        <v>src:url('${l5}</v>
      </c>
      <c r="C103" s="1"/>
      <c r="D103" s="2"/>
      <c r="E103" s="2"/>
      <c r="F103" s="2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B104" s="2" t="str">
        <f>".otf?t=${l"&amp;$A$83&amp;"}');"</f>
        <v>.otf?t=${l0}');</v>
      </c>
      <c r="C104" s="1"/>
      <c r="D104" s="2"/>
      <c r="E104" s="2"/>
      <c r="F104" s="2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B105" s="2" t="str">
        <f>"${l"&amp;$A$89&amp;"}:${l"&amp;$A$84&amp;"[i]};"</f>
        <v>${l6}:${l1[i]};</v>
      </c>
      <c r="C105" s="1"/>
      <c r="D105" s="2"/>
      <c r="E105" s="2"/>
      <c r="F105" s="2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B106" s="17" t="str">
        <f>"font-display:"</f>
        <v>font-display:</v>
      </c>
      <c r="C106" s="1"/>
      <c r="D106" s="2"/>
      <c r="E106" s="2"/>
      <c r="F106" s="2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B107" s="2" t="str">
        <f>"swap;}`;}}}};"</f>
        <v>swap;}`;}}}};</v>
      </c>
      <c r="C107" s="1"/>
      <c r="D107" s="2"/>
      <c r="E107" s="2"/>
      <c r="F107" s="2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/>
      <c r="B108" s="2"/>
      <c r="C108" s="1"/>
      <c r="D108" s="2"/>
      <c r="E108" s="2"/>
      <c r="F108" s="2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6">
        <v>0.0</v>
      </c>
      <c r="B109" s="3" t="str">
        <f>"const h"&amp;$A$50&amp;"=l=&gt;{"</f>
        <v>const h26=l=&gt;{</v>
      </c>
      <c r="C109" s="1"/>
      <c r="D109" s="2"/>
      <c r="E109" s="2"/>
      <c r="F109" s="2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6">
        <v>1.0</v>
      </c>
      <c r="B110" s="2" t="str">
        <f>"let l"&amp;$A$109&amp;"=h"&amp;$A$38&amp;"(l);"</f>
        <v>let l0=h15(l);</v>
      </c>
      <c r="C110" s="1"/>
      <c r="D110" s="2"/>
      <c r="E110" s="2"/>
      <c r="F110" s="2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6">
        <v>2.0</v>
      </c>
      <c r="B111" s="2" t="str">
        <f>"let l"&amp;$A$110&amp;"=h"&amp;$A$46&amp;"['5-0'];"</f>
        <v>let l1=h23['5-0'];</v>
      </c>
      <c r="C111" s="1"/>
      <c r="D111" s="2"/>
      <c r="E111" s="2"/>
      <c r="F111" s="2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6">
        <v>3.0</v>
      </c>
      <c r="B112" s="2" t="str">
        <f>"for(let i of l"&amp;$A$109&amp;"){"</f>
        <v>for(let i of l0){</v>
      </c>
      <c r="C112" s="1"/>
      <c r="D112" s="2"/>
      <c r="E112" s="2"/>
      <c r="F112" s="2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6">
        <v>4.0</v>
      </c>
      <c r="B113" s="2" t="str">
        <f>"if(h"&amp;$A$28&amp;"(['5',i,"&amp;COLUMN('5'!$B:$B)-2&amp;","&amp;COLUMN('5'!$L:$L)-COLUMN('5'!$B:$B)&amp;"])){"</f>
        <v>if(h5(['5',i,0,10])){</v>
      </c>
      <c r="C113" s="1"/>
      <c r="D113" s="2"/>
      <c r="E113" s="2"/>
      <c r="F113" s="2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6">
        <v>5.0</v>
      </c>
      <c r="B114" s="2" t="str">
        <f>"let l"&amp;$A$111&amp;"=h"&amp;$A$23&amp;"(['5',i,"&amp;COLUMN('5'!$L:$L)-2&amp;"]);"</f>
        <v>let l2=h0(['5',i,10]);</v>
      </c>
      <c r="C114" s="1"/>
      <c r="D114" s="2"/>
      <c r="E114" s="2"/>
      <c r="F114" s="2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6">
        <v>6.0</v>
      </c>
      <c r="B115" s="2" t="str">
        <f>"let l"&amp;$A$112&amp;"=_=&gt;l"&amp;$A$113&amp;"(_)==null;"</f>
        <v>let l3=_=&gt;l4(_)==null;</v>
      </c>
      <c r="C115" s="1"/>
      <c r="D115" s="2"/>
      <c r="E115" s="2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11">
        <v>7.0</v>
      </c>
      <c r="B116" s="2" t="str">
        <f>"let l"&amp;$A$113&amp;"=_=&gt;k['5'][i][_];"</f>
        <v>let l4=_=&gt;k['5'][i][_];</v>
      </c>
      <c r="C116" s="1"/>
      <c r="D116" s="2"/>
      <c r="E116" s="2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6">
        <v>8.0</v>
      </c>
      <c r="B117" s="2" t="str">
        <f>"let l"&amp;$A$114&amp;"='line-height';"</f>
        <v>let l5='line-height';</v>
      </c>
      <c r="C117" s="1"/>
      <c r="D117" s="2"/>
      <c r="E117" s="2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6">
        <v>9.0</v>
      </c>
      <c r="B118" s="2" t="str">
        <f>"let l"&amp;$A$115&amp;"='padding-top';"</f>
        <v>let l6='padding-top';</v>
      </c>
      <c r="C118" s="1"/>
      <c r="D118" s="2"/>
      <c r="E118" s="2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10">
        <v>10.0</v>
      </c>
      <c r="B119" s="2" t="str">
        <f>"let l"&amp;$A$116&amp;"='padding-left';"</f>
        <v>let l7='padding-left';</v>
      </c>
      <c r="C119" s="1"/>
      <c r="D119" s="2"/>
      <c r="E119" s="2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6">
        <v>11.0</v>
      </c>
      <c r="B120" s="2" t="str">
        <f>"let l"&amp;$A$117&amp;"='padding-right';"</f>
        <v>let l8='padding-right';</v>
      </c>
      <c r="C120" s="1"/>
      <c r="D120" s="2"/>
      <c r="E120" s="2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6">
        <v>12.0</v>
      </c>
      <c r="B121" s="2" t="str">
        <f>"let l"&amp;$A$118&amp;"='padding-bottom';"</f>
        <v>let l9='padding-bottom';</v>
      </c>
      <c r="C121" s="1"/>
      <c r="D121" s="2"/>
      <c r="E121" s="2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11" t="s">
        <v>0</v>
      </c>
      <c r="B122" s="2" t="str">
        <f>"let l"&amp;$A$119&amp;"='text-decoration';"</f>
        <v>let l10='text-decoration';</v>
      </c>
      <c r="C122" s="1"/>
      <c r="D122" s="2"/>
      <c r="E122" s="2"/>
      <c r="F122" s="2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B123" s="2" t="str">
        <f>"let l"&amp;$A$120&amp;"='background-color';"</f>
        <v>let l11='background-color';</v>
      </c>
      <c r="C123" s="1"/>
      <c r="D123" s="2"/>
      <c r="E123" s="2"/>
      <c r="F123" s="2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B124" s="2" t="str">
        <f>"let l"&amp;$A$121&amp;"=i==0?'':'#';"</f>
        <v>let l12=i==0?'':'#';</v>
      </c>
      <c r="C124" s="1"/>
      <c r="D124" s="2"/>
      <c r="E124" s="2"/>
      <c r="F124" s="2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B125" s="2" t="str">
        <f>"h[2]+=`${l"&amp;$A$121&amp;"}${h"&amp;$A$42&amp;"[i]}&gt;[data]{"</f>
        <v>h[2]+=`${l12}${h19[i]}&gt;[data]{</v>
      </c>
      <c r="C125" s="1"/>
      <c r="D125" s="2"/>
      <c r="E125" s="2"/>
      <c r="F125" s="2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B126" s="2" t="str">
        <f>"${l"&amp;$A$112&amp;"("&amp;COLUMN('5'!$B:$B)-2&amp;")?'':`${l"&amp;$A$116&amp;"}:${l"&amp;$A$113&amp;"("&amp;COLUMN('5'!$B:$B)-2&amp;")}px;`}"</f>
        <v>${l3(0)?'':`${l7}:${l4(0)}px;`}</v>
      </c>
      <c r="C126" s="1"/>
      <c r="D126" s="2"/>
      <c r="E126" s="2"/>
      <c r="F126" s="2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B127" s="2" t="str">
        <f>"${l"&amp;$A$112&amp;"("&amp;COLUMN('5'!$C:$C)-2&amp;")?'':`${l"&amp;$A$117&amp;"}:${l"&amp;$A$113&amp;"("&amp;COLUMN('5'!$C:$C)-2&amp;")}px;`}"</f>
        <v>${l3(1)?'':`${l8}:${l4(1)}px;`}</v>
      </c>
      <c r="C127" s="1"/>
      <c r="D127" s="2"/>
      <c r="E127" s="2"/>
      <c r="F127" s="2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B128" s="2" t="str">
        <f>"${l"&amp;$A$112&amp;"("&amp;COLUMN('5'!$D:$D)-2&amp;")?'':`${l"&amp;$A$115&amp;"}:${l"&amp;$A$113&amp;"("&amp;COLUMN('5'!$D:$D)-2&amp;")}px;`}"</f>
        <v>${l3(2)?'':`${l6}:${l4(2)}px;`}</v>
      </c>
      <c r="C128" s="1"/>
      <c r="D128" s="2"/>
      <c r="E128" s="2"/>
      <c r="F128" s="2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B129" s="2" t="str">
        <f>"${l"&amp;$A$112&amp;"("&amp;COLUMN('5'!$E:$E)-2&amp;")?'':`${l"&amp;$A$118&amp;"}:${l"&amp;$A$113&amp;"("&amp;COLUMN('5'!$E:$E)-2&amp;")||0}px;`}"</f>
        <v>${l3(3)?'':`${l9}:${l4(3)||0}px;`}</v>
      </c>
      <c r="C129" s="1"/>
      <c r="D129" s="2"/>
      <c r="E129" s="2"/>
      <c r="F129" s="2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B130" s="2" t="str">
        <f>"${!l"&amp;$A$111&amp;"[1]?'':`${l"&amp;$A$114&amp;"}:${l"&amp;$A$111&amp;"[1]||0}px;`}"</f>
        <v>${!l2[1]?'':`${l5}:${l2[1]||0}px;`}</v>
      </c>
      <c r="C130" s="1"/>
      <c r="D130" s="2"/>
      <c r="E130" s="2"/>
      <c r="F130" s="2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B131" s="2" t="str">
        <f>"${!l"&amp;$A$111&amp;"[0]?'':`font-size:${l"&amp;$A$111&amp;"[0]}px;`}"</f>
        <v>${!l2[0]?'':`font-size:${l2[0]}px;`}</v>
      </c>
      <c r="C131" s="1"/>
      <c r="D131" s="2"/>
      <c r="E131" s="2"/>
      <c r="F131" s="2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B132" s="2" t="str">
        <f>"${l"&amp;$A$112&amp;"("&amp;COLUMN('5'!$K:$K)-2&amp;")?'':`font-weight:${l"&amp;$A$113&amp;"("&amp;COLUMN('5'!$K:$K)-2&amp;")}00;`}"</f>
        <v>${l3(9)?'':`font-weight:${l4(9)}00;`}</v>
      </c>
      <c r="C132" s="1"/>
      <c r="D132" s="2"/>
      <c r="E132" s="2"/>
      <c r="F132" s="2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B133" s="2" t="str">
        <f>"${!l"&amp;$A$113&amp;"("&amp;COLUMN('5'!$H:$H)-2&amp;")?'':`align-self:${l"&amp;$A$113&amp;"("&amp;COLUMN('5'!$H:$H)-2&amp;")};`}"</f>
        <v>${!l4(6)?'':`align-self:${l4(6)};`}</v>
      </c>
      <c r="C133" s="1"/>
      <c r="D133" s="2"/>
      <c r="E133" s="2"/>
      <c r="F133" s="2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B134" s="2" t="str">
        <f>"${!l"&amp;$A$113&amp;"("&amp;COLUMN('5'!$I:$I)-2&amp;")?'':`text-align:${l"&amp;$A$113&amp;"("&amp;COLUMN('5'!$I:$I)-2&amp;")};`}"</f>
        <v>${!l4(7)?'':`text-align:${l4(7)};`}</v>
      </c>
      <c r="C134" s="1"/>
      <c r="D134" s="2"/>
      <c r="E134" s="2"/>
      <c r="F134" s="2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B135" s="2" t="str">
        <f>"${!l"&amp;$A$113&amp;"("&amp;COLUMN('5'!$J:$J)-2&amp;")?'':`${l"&amp;$A$119&amp;"}:${l"&amp;$A$110&amp;"[l"&amp;$A$113&amp;"("&amp;COLUMN('5'!$J:$J)-2&amp;")]};`}"</f>
        <v>${!l4(8)?'':`${l10}:${l1[l4(8)]};`}</v>
      </c>
      <c r="C135" s="1"/>
      <c r="D135" s="2"/>
      <c r="E135" s="2"/>
      <c r="F135" s="2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B136" s="2" t="str">
        <f>"${!l"&amp;$A$113&amp;"("&amp;COLUMN('5'!$G:$G)-2&amp;")?'':`${l"&amp;$A$120&amp;"}:#${l"&amp;$A$113&amp;"("&amp;COLUMN('5'!$G:$G)-2&amp;")};`}"</f>
        <v>${!l4(5)?'':`${l11}:#${l4(5)};`}</v>
      </c>
      <c r="C136" s="1"/>
      <c r="D136" s="2"/>
      <c r="E136" s="2"/>
      <c r="F136" s="2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B137" s="2" t="str">
        <f>"${!l"&amp;$A$113&amp;"("&amp;COLUMN('5'!$F:$F)-2&amp;")?'':`color:#${l"&amp;$A$113&amp;"("&amp;COLUMN('5'!$F:$F)-2&amp;")};`}}`;}}};"</f>
        <v>${!l4(4)?'':`color:#${l4(4)};`}}`;}}};</v>
      </c>
      <c r="C137" s="1"/>
      <c r="D137" s="2"/>
      <c r="E137" s="2"/>
      <c r="F137" s="2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/>
      <c r="B138" s="2"/>
      <c r="C138" s="1"/>
      <c r="D138" s="2"/>
      <c r="E138" s="2"/>
      <c r="F138" s="2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6">
        <v>0.0</v>
      </c>
      <c r="B139" s="3" t="str">
        <f>"const h"&amp;$A$51&amp;"=l=&gt;{"</f>
        <v>const h27=l=&gt;{</v>
      </c>
      <c r="C139" s="1"/>
      <c r="D139" s="2"/>
      <c r="E139" s="2"/>
      <c r="F139" s="2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6">
        <v>1.0</v>
      </c>
      <c r="B140" s="2" t="str">
        <f>"let l"&amp;$A$139&amp;"=h"&amp;$A$38&amp;"(l);"</f>
        <v>let l0=h15(l);</v>
      </c>
      <c r="C140" s="1"/>
      <c r="D140" s="2"/>
      <c r="E140" s="2"/>
      <c r="F140" s="2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6">
        <v>2.0</v>
      </c>
      <c r="B141" s="2" t="str">
        <f>"let l"&amp;$A$140&amp;"=h"&amp;$A$46&amp;"['4-0'];"</f>
        <v>let l1=h23['4-0'];</v>
      </c>
      <c r="C141" s="1"/>
      <c r="D141" s="2"/>
      <c r="E141" s="2"/>
      <c r="F141" s="2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6">
        <v>3.0</v>
      </c>
      <c r="B142" s="2" t="str">
        <f>"for(let i of l"&amp;$A$139&amp;"){"</f>
        <v>for(let i of l0){</v>
      </c>
      <c r="C142" s="1"/>
      <c r="D142" s="2"/>
      <c r="E142" s="2"/>
      <c r="F142" s="2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6">
        <v>4.0</v>
      </c>
      <c r="B143" s="2" t="str">
        <f>"if(h"&amp;$A$28&amp;"(['4',i,"&amp;COLUMN('4'!$B:$B)-2&amp;","&amp;COLUMN('4'!$L:$L)-COLUMN('4'!$B:$B)&amp;"])){"</f>
        <v>if(h5(['4',i,0,10])){</v>
      </c>
      <c r="C143" s="1"/>
      <c r="D143" s="2"/>
      <c r="E143" s="2"/>
      <c r="F143" s="2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6">
        <v>5.0</v>
      </c>
      <c r="B144" s="2" t="str">
        <f>"let l"&amp;$A$141&amp;"=_=&gt;l"&amp;$A$142&amp;"(_)==null;"</f>
        <v>let l2=_=&gt;l3(_)==null;</v>
      </c>
      <c r="C144" s="1"/>
      <c r="D144" s="2"/>
      <c r="E144" s="2"/>
      <c r="F144" s="2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6">
        <v>6.0</v>
      </c>
      <c r="B145" s="2" t="str">
        <f>"let l"&amp;$A$142&amp;"=_=&gt;k['4'][i][_];"</f>
        <v>let l3=_=&gt;k['4'][i][_];</v>
      </c>
      <c r="C145" s="1"/>
      <c r="D145" s="2"/>
      <c r="E145" s="2"/>
      <c r="F145" s="2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6">
        <v>7.0</v>
      </c>
      <c r="B146" s="2" t="str">
        <f>"let l"&amp;$A$143&amp;"=_=&gt;l"&amp;$A$142&amp;"(_[0])||_[1];"</f>
        <v>let l4=_=&gt;l3(_[0])||_[1];</v>
      </c>
      <c r="C146" s="1"/>
      <c r="D146" s="2"/>
      <c r="E146" s="2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6">
        <v>8.0</v>
      </c>
      <c r="B147" s="2" t="str">
        <f>"let l"&amp;$A$144&amp;"=_=&gt;h"&amp;$A$24&amp;"([0||_,'px']);"</f>
        <v>let l5=_=&gt;h1([0||_,'px']);</v>
      </c>
      <c r="C147" s="1"/>
      <c r="D147" s="2"/>
      <c r="E147" s="2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6">
        <v>9.0</v>
      </c>
      <c r="B148" s="2" t="str">
        <f>"let l"&amp;$A$145&amp;"=_=&gt;h"&amp;$A$24&amp;"([0||_,'%']);"</f>
        <v>let l6=_=&gt;h1([0||_,'%']);</v>
      </c>
      <c r="C148" s="1"/>
      <c r="D148" s="2"/>
      <c r="E148" s="2"/>
      <c r="F148" s="2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6">
        <v>10.0</v>
      </c>
      <c r="B149" s="2" t="str">
        <f>"let l"&amp;$A$146&amp;"=l"&amp;$A$143&amp;"(["&amp;COLUMN('4'!$G:$G)-2&amp;",'cover']);"</f>
        <v>let l7=l4([5,'cover']);</v>
      </c>
      <c r="C149" s="1"/>
      <c r="D149" s="2"/>
      <c r="E149" s="2"/>
      <c r="F149" s="2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6">
        <v>11.0</v>
      </c>
      <c r="B150" s="2" t="str">
        <f>"let l"&amp;$A$147&amp;"='content-box';"</f>
        <v>let l8='content-box';</v>
      </c>
      <c r="C150" s="1"/>
      <c r="D150" s="2"/>
      <c r="E150" s="2"/>
      <c r="F150" s="2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6">
        <v>12.0</v>
      </c>
      <c r="B151" s="2" t="str">
        <f>"let l"&amp;$A$148&amp;"='padding-top';"</f>
        <v>let l9='padding-top';</v>
      </c>
      <c r="C151" s="1"/>
      <c r="D151" s="2"/>
      <c r="E151" s="2"/>
      <c r="F151" s="2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6">
        <v>13.0</v>
      </c>
      <c r="B152" s="2" t="str">
        <f>"let l"&amp;$A$149&amp;"='padding-left';"</f>
        <v>let l10='padding-left';</v>
      </c>
      <c r="C152" s="1"/>
      <c r="D152" s="2"/>
      <c r="E152" s="2"/>
      <c r="F152" s="2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6">
        <v>14.0</v>
      </c>
      <c r="B153" s="2" t="str">
        <f>"let l"&amp;$A$150&amp;"='padding-right';"</f>
        <v>let l11='padding-right';</v>
      </c>
      <c r="C153" s="1"/>
      <c r="D153" s="2"/>
      <c r="E153" s="2"/>
      <c r="F153" s="2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6">
        <v>15.0</v>
      </c>
      <c r="B154" s="2" t="str">
        <f>"let l"&amp;$A$151&amp;"='padding-bottom';"</f>
        <v>let l12='padding-bottom';</v>
      </c>
      <c r="C154" s="1"/>
      <c r="D154" s="2"/>
      <c r="E154" s="2"/>
      <c r="F154" s="2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6">
        <v>16.0</v>
      </c>
      <c r="B155" s="2" t="str">
        <f>"let l"&amp;$A$152&amp;"='background-size';"</f>
        <v>let l13='background-size';</v>
      </c>
      <c r="C155" s="1"/>
      <c r="D155" s="2"/>
      <c r="E155" s="2"/>
      <c r="F155" s="2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6">
        <v>17.0</v>
      </c>
      <c r="B156" s="2" t="str">
        <f>"let l"&amp;$A$153&amp;"='background-image';"</f>
        <v>let l14='background-image';</v>
      </c>
      <c r="C156" s="1"/>
      <c r="D156" s="2"/>
      <c r="E156" s="2"/>
      <c r="F156" s="2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11" t="s">
        <v>0</v>
      </c>
      <c r="B157" s="2" t="str">
        <f>"let l"&amp;$A$154&amp;"='background-origin';"</f>
        <v>let l15='background-origin';</v>
      </c>
      <c r="C157" s="1"/>
      <c r="D157" s="2"/>
      <c r="E157" s="2"/>
      <c r="F157" s="2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B158" s="2" t="str">
        <f>"let l"&amp;$A$155&amp;"='background-position';"</f>
        <v>let l16='background-position';</v>
      </c>
      <c r="C158" s="1"/>
      <c r="D158" s="2"/>
      <c r="E158" s="2"/>
      <c r="F158" s="2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B159" s="2" t="str">
        <f>"let l"&amp;$A$156&amp;"=i==0?'':'#';"</f>
        <v>let l17=i==0?'':'#';</v>
      </c>
      <c r="C159" s="1"/>
      <c r="D159" s="2"/>
      <c r="E159" s="2"/>
      <c r="F159" s="2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B160" s="2" t="str">
        <f>"h[2]+=`${l"&amp;$A$156&amp;"}${h"&amp;$A$42&amp;"[i]}&gt;[class]{"</f>
        <v>h[2]+=`${l17}${h19[i]}&gt;[class]{</v>
      </c>
      <c r="C160" s="1"/>
      <c r="D160" s="2"/>
      <c r="E160" s="2"/>
      <c r="F160" s="2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B161" s="2" t="str">
        <f>"${l"&amp;$A$141&amp;"("&amp;COLUMN('4'!$B:$B)-2&amp;")?'':`${l"&amp;$A$149&amp;"}:${l"&amp;$A$142&amp;"("&amp;COLUMN('4'!$B:$B)-2&amp;")}px;`}"</f>
        <v>${l2(0)?'':`${l10}:${l3(0)}px;`}</v>
      </c>
      <c r="C161" s="1"/>
      <c r="D161" s="2"/>
      <c r="E161" s="2"/>
      <c r="F161" s="2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B162" s="2" t="str">
        <f>"${l"&amp;$A$141&amp;"("&amp;COLUMN('4'!$C:$C)-2&amp;")?'':`${l"&amp;$A$150&amp;"}:${l"&amp;$A$142&amp;"("&amp;COLUMN('4'!$C:$C)-2&amp;")}px;`}"</f>
        <v>${l2(1)?'':`${l11}:${l3(1)}px;`}</v>
      </c>
      <c r="C162" s="1"/>
      <c r="D162" s="2"/>
      <c r="E162" s="2"/>
      <c r="F162" s="2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B163" s="2" t="str">
        <f>"${l"&amp;$A$141&amp;"("&amp;COLUMN('4'!$D:$D)-2&amp;")?'':`${l"&amp;$A$148&amp;"}:${l"&amp;$A$142&amp;"("&amp;COLUMN('4'!$D:$D)-2&amp;")}px;`}"</f>
        <v>${l2(2)?'':`${l9}:${l3(2)}px;`}</v>
      </c>
      <c r="C163" s="1"/>
      <c r="D163" s="2"/>
      <c r="E163" s="2"/>
      <c r="F163" s="2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B164" s="2" t="str">
        <f>"${l"&amp;$A$141&amp;"("&amp;COLUMN('4'!$E:$E)-2&amp;")?'':`${l"&amp;$A$151&amp;"}:${l"&amp;$A$142&amp;"("&amp;COLUMN('4'!$E:$E)-2&amp;")}px;`}"</f>
        <v>${l2(3)?'':`${l12}:${l3(3)}px;`}</v>
      </c>
      <c r="C164" s="1"/>
      <c r="D164" s="2"/>
      <c r="E164" s="2"/>
      <c r="F164" s="2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B165" s="2" t="str">
        <f>"${!l"&amp;$A$142&amp;"("&amp;COLUMN('4'!$G:$G)-2&amp;")?'':`${l"&amp;$A$152&amp;"}:${l"&amp;$A$146&amp;"("&amp;COLUMN('4'!$G:$G)-2&amp;")||0};`}"</f>
        <v>${!l3(5)?'':`${l13}:${l7(5)||0};`}</v>
      </c>
      <c r="C165" s="1"/>
      <c r="D165" s="2"/>
      <c r="E165" s="2"/>
      <c r="F165" s="2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B166" s="3" t="str">
        <f>"${!l"&amp;$A$142&amp;"("&amp;COLUMN('4'!$H:$H)-2&amp;")?'':`${l"&amp;$A$155&amp;"}:${l"&amp;$A$140&amp;"[l"&amp;$A$142&amp;"("&amp;COLUMN('4'!$H:$H)-2&amp;")]};`}"</f>
        <v>${!l3(6)?'':`${l16}:${l1[l3(6)]};`}</v>
      </c>
      <c r="C166" s="1"/>
      <c r="D166" s="2"/>
      <c r="E166" s="2"/>
      <c r="F166" s="2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B167" s="2" t="str">
        <f>"${l"&amp;$A$141&amp;"("&amp;COLUMN('4'!$I:$I)-2&amp;")?'':`${l"&amp;$A$155&amp;"}:${l"&amp;$A$144&amp;"(l"&amp;$A$142&amp;"("&amp;COLUMN('4'!$I:$I)-2&amp;"))};`}"</f>
        <v>${l2(7)?'':`${l16}:${l5(l3(7))};`}</v>
      </c>
      <c r="C167" s="1"/>
      <c r="D167" s="2"/>
      <c r="E167" s="2"/>
      <c r="F167" s="2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B168" s="2" t="str">
        <f>"${l"&amp;$A$141&amp;"("&amp;COLUMN('4'!$J:$J)-2&amp;")?'':`${l"&amp;$A$155&amp;"}:${l"&amp;$A$145&amp;"(l"&amp;$A$142&amp;"("&amp;COLUMN('4'!$J:$J)-2&amp;"))};`}"</f>
        <v>${l2(8)?'':`${l16}:${l6(l3(8))};`}</v>
      </c>
      <c r="C168" s="1"/>
      <c r="D168" s="2"/>
      <c r="E168" s="2"/>
      <c r="F168" s="2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B169" s="2" t="str">
        <f>"${l"&amp;$A$141&amp;"("&amp;COLUMN('4'!$K:$K)-2&amp;")?'':`${l"&amp;$A$152&amp;"}:${l"&amp;$A$144&amp;"(l"&amp;$A$142&amp;"("&amp;COLUMN('4'!$K:$K)-2&amp;"))};`}"</f>
        <v>${l2(9)?'':`${l13}:${l5(l3(9))};`}</v>
      </c>
      <c r="C169" s="1"/>
      <c r="D169" s="2"/>
      <c r="E169" s="2"/>
      <c r="F169" s="2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B170" s="2" t="str">
        <f>"${l"&amp;$A$141&amp;"("&amp;COLUMN('4'!$L:$L)-2&amp;")?'':`${l"&amp;$A$152&amp;"}:${l"&amp;$A$145&amp;"(l"&amp;$A$142&amp;"("&amp;COLUMN('4'!$L:$L)-2&amp;"))};`}"</f>
        <v>${l2(10)?'':`${l13}:${l6(l3(10))};`}</v>
      </c>
      <c r="C170" s="1"/>
      <c r="D170" s="2"/>
      <c r="E170" s="2"/>
      <c r="F170" s="2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B171" s="2" t="str">
        <f>"${l"&amp;$A$142&amp;"("&amp;COLUMN('4'!$F:$F)-2&amp;")!='true'?'':`${l"&amp;$A$154&amp;"}:${l"&amp;$A$147&amp;"};`}"</f>
        <v>${l3(4)!='true'?'':`${l15}:${l8};`}</v>
      </c>
      <c r="C171" s="1"/>
      <c r="D171" s="2"/>
      <c r="E171" s="2"/>
      <c r="F171" s="2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B172" s="2" t="str">
        <f>"${!l"&amp;$A$142&amp;"("&amp;COLUMN('4'!$M:$M)-2&amp;")?'':`${l"&amp;$A$153&amp;"}:url('${l"&amp;$A$142&amp;"("&amp;COLUMN('4'!$M:$M)-2&amp;")}"</f>
        <v>${!l3(11)?'':`${l14}:url('${l3(11)}</v>
      </c>
      <c r="C172" s="1"/>
      <c r="D172" s="2"/>
      <c r="E172" s="2"/>
      <c r="F172" s="2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B173" s="2" t="str">
        <f>".png?t=${Date.now()}');`}}`;}}};"</f>
        <v>.png?t=${Date.now()}');`}}`;}}};</v>
      </c>
      <c r="C173" s="1"/>
      <c r="D173" s="2"/>
      <c r="E173" s="2"/>
      <c r="F173" s="2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/>
      <c r="B174" s="2"/>
      <c r="C174" s="1"/>
      <c r="D174" s="2"/>
      <c r="E174" s="2"/>
      <c r="F174" s="2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6">
        <v>0.0</v>
      </c>
      <c r="B175" s="3" t="str">
        <f>"const h"&amp;$A$52&amp;"=l=&gt;{"</f>
        <v>const h28=l=&gt;{</v>
      </c>
      <c r="C175" s="1"/>
      <c r="D175" s="2"/>
      <c r="E175" s="2"/>
      <c r="F175" s="2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1">
        <v>1.0</v>
      </c>
      <c r="B176" s="2" t="str">
        <f>"let l"&amp;$A$175&amp;"=h"&amp;$A$38&amp;"(l);"</f>
        <v>let l0=h15(l);</v>
      </c>
      <c r="C176" s="1"/>
      <c r="D176" s="1"/>
      <c r="E176" s="1"/>
      <c r="F176" s="3"/>
      <c r="G176" s="15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1">
        <v>2.0</v>
      </c>
      <c r="B177" s="2" t="str">
        <f>"let l"&amp;$A$176&amp;"=h"&amp;$A$46&amp;"['2-2'];"</f>
        <v>let l1=h23['2-2'];</v>
      </c>
      <c r="C177" s="1"/>
      <c r="D177" s="1"/>
      <c r="E177" s="1"/>
      <c r="F177" s="3"/>
      <c r="G177" s="15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1">
        <v>3.0</v>
      </c>
      <c r="B178" s="2" t="str">
        <f>"let l"&amp;$A$177&amp;"=h"&amp;$A$46&amp;"['2-3'];"</f>
        <v>let l2=h23['2-3'];</v>
      </c>
      <c r="C178" s="1"/>
      <c r="D178" s="1"/>
      <c r="E178" s="1"/>
      <c r="F178" s="3"/>
      <c r="G178" s="15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1">
        <v>4.0</v>
      </c>
      <c r="B179" s="2" t="str">
        <f>"let l"&amp;$A$178&amp;"=h"&amp;$A$46&amp;"['2-4'];"</f>
        <v>let l3=h23['2-4'];</v>
      </c>
      <c r="C179" s="1"/>
      <c r="D179" s="1"/>
      <c r="E179" s="1"/>
      <c r="F179" s="3"/>
      <c r="G179" s="15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1">
        <v>5.0</v>
      </c>
      <c r="B180" s="2" t="str">
        <f>"for(let i of l"&amp;$A$175&amp;"){"</f>
        <v>for(let i of l0){</v>
      </c>
      <c r="C180" s="1"/>
      <c r="D180" s="1"/>
      <c r="E180" s="1"/>
      <c r="F180" s="3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1">
        <v>6.0</v>
      </c>
      <c r="B181" s="2" t="str">
        <f>"if(h"&amp;$A$28&amp;"(['2',i,"&amp;COLUMN('2'!$B:$B)-2&amp;","&amp;COLUMN('2'!$AL:$AL)-COLUMN('2'!$B:$B)&amp;"])"</f>
        <v>if(h5(['2',i,0,36])</v>
      </c>
      <c r="C181" s="1"/>
      <c r="D181" s="1"/>
      <c r="E181" s="1"/>
      <c r="F181" s="5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1">
        <v>7.0</v>
      </c>
      <c r="B182" s="2" t="str">
        <f>"||h"&amp;$A$28&amp;"(['2',i,"&amp;COLUMN('2'!$AQ:$AQ)-2&amp;","&amp;COLUMN('3'!$W:$W)-COLUMN('2'!$AQ:$AQ)&amp;"])){"</f>
        <v>||h5(['2',i,41,-20])){</v>
      </c>
      <c r="C182" s="1"/>
      <c r="D182" s="1"/>
      <c r="E182" s="1"/>
      <c r="F182" s="5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1">
        <v>8.0</v>
      </c>
      <c r="B183" s="2" t="str">
        <f>"let l"&amp;$A$179&amp;"=_=&gt;l"&amp;$A$180&amp;"(_)==null;"</f>
        <v>let l4=_=&gt;l5(_)==null;</v>
      </c>
      <c r="C183" s="1"/>
      <c r="D183" s="1"/>
      <c r="E183" s="1"/>
      <c r="F183" s="5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1">
        <v>9.0</v>
      </c>
      <c r="B184" s="2" t="str">
        <f>"let l"&amp;$A$180&amp;"=_=&gt;k['2'][i][_];"</f>
        <v>let l5=_=&gt;k['2'][i][_];</v>
      </c>
      <c r="C184" s="1"/>
      <c r="D184" s="1"/>
      <c r="E184" s="1"/>
      <c r="F184" s="2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1">
        <v>10.0</v>
      </c>
      <c r="B185" s="2" t="str">
        <f>"let l"&amp;$A$181&amp;"=_=&gt;l"&amp;$A$179&amp;"(_)?2:l"&amp;$A$180&amp;"(_);"</f>
        <v>let l6=_=&gt;l4(_)?2:l5(_);</v>
      </c>
      <c r="C185" s="1"/>
      <c r="D185" s="1"/>
      <c r="E185" s="1"/>
      <c r="F185" s="5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1">
        <v>11.0</v>
      </c>
      <c r="B186" s="2" t="str">
        <f>"let l"&amp;$A$182&amp;"=_=&gt;l"&amp;$A$180&amp;"(_[0])||_[1];"</f>
        <v>let l7=_=&gt;l5(_[0])||_[1];</v>
      </c>
      <c r="C186" s="1"/>
      <c r="D186" s="1"/>
      <c r="E186" s="1"/>
      <c r="F186" s="5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">
        <v>12.0</v>
      </c>
      <c r="B187" s="2" t="str">
        <f>"let l"&amp;$A$183&amp;"=_=&gt;h"&amp;$A$29&amp;"(['2',i,..._]);"</f>
        <v>let l8=_=&gt;h6(['2',i,..._]);</v>
      </c>
      <c r="C187" s="1"/>
      <c r="D187" s="1"/>
      <c r="E187" s="1"/>
      <c r="F187" s="5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1">
        <v>13.0</v>
      </c>
      <c r="B188" s="2" t="str">
        <f>"let l"&amp;$A$184&amp;"=_=&gt;h"&amp;$A$28&amp;"(['2',i,..._]);"</f>
        <v>let l9=_=&gt;h5(['2',i,..._]);</v>
      </c>
      <c r="C188" s="1"/>
      <c r="D188" s="1"/>
      <c r="E188" s="1"/>
      <c r="F188" s="5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1">
        <v>14.0</v>
      </c>
      <c r="B189" s="2" t="str">
        <f>"let l"&amp;$A$185&amp;"=l"&amp;$A$182&amp;"(["&amp;COLUMN('2'!$X:$X)-2&amp;",'solid']);"</f>
        <v>let l10=l7([22,'solid']);</v>
      </c>
      <c r="C189" s="1"/>
      <c r="D189" s="1"/>
      <c r="E189" s="1"/>
      <c r="F189" s="5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1">
        <v>15.0</v>
      </c>
      <c r="B190" s="2" t="str">
        <f>"let l"&amp;$A$186&amp;"=l"&amp;$A$182&amp;"(["&amp;COLUMN('2'!$W:$W)-2&amp;",'solid']);"</f>
        <v>let l11=l7([21,'solid']);</v>
      </c>
      <c r="C190" s="1"/>
      <c r="D190" s="1"/>
      <c r="E190" s="1"/>
      <c r="F190" s="5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1">
        <v>16.0</v>
      </c>
      <c r="B191" s="2" t="str">
        <f>"let l"&amp;$A$187&amp;"=l"&amp;$A$181&amp;"("&amp;COLUMN('2'!$B:$B)-2&amp;")+l"&amp;$A$181&amp;"("&amp;COLUMN('2'!$C:$C)-2&amp;");"</f>
        <v>let l12=l6(0)+l6(1);</v>
      </c>
      <c r="C191" s="1"/>
      <c r="D191" s="1"/>
      <c r="E191" s="1"/>
      <c r="F191" s="5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1">
        <v>17.0</v>
      </c>
      <c r="B192" s="2" t="str">
        <f>"let l"&amp;$A$188&amp;"=l"&amp;$A$181&amp;"("&amp;COLUMN('2'!$D:$D)-2&amp;")+l"&amp;$A$181&amp;"("&amp;COLUMN('2'!$E:$E)-2&amp;");"</f>
        <v>let l13=l6(2)+l6(3);</v>
      </c>
      <c r="C192" s="1"/>
      <c r="D192" s="1"/>
      <c r="E192" s="1"/>
      <c r="F192" s="5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1">
        <v>18.0</v>
      </c>
      <c r="B193" s="2" t="str">
        <f>"let l"&amp;$A$189&amp;"=l"&amp;$A$184&amp;"(["&amp;COLUMN('2'!$AG:$AG)-2&amp;","&amp;COLUMN('2'!$AH:$AH)-COLUMN('2'!$AG:$AG)&amp;"]);"</f>
        <v>let l14=l9([31,1]);</v>
      </c>
      <c r="C193" s="1"/>
      <c r="D193" s="1"/>
      <c r="E193" s="3"/>
      <c r="F193" s="5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1">
        <v>19.0</v>
      </c>
      <c r="B194" s="2" t="str">
        <f>"let l"&amp;$A$190&amp;"=l"&amp;$A$184&amp;"(["&amp;COLUMN('2'!$AI:$AI)-2&amp;","&amp;COLUMN('2'!$AJ:$AJ)-COLUMN('2'!$AI:$AI)&amp;"]);"</f>
        <v>let l15=l9([33,1]);</v>
      </c>
      <c r="C194" s="1"/>
      <c r="D194" s="1"/>
      <c r="E194" s="3"/>
      <c r="F194" s="5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1">
        <v>20.0</v>
      </c>
      <c r="B195" s="2" t="str">
        <f>"let l"&amp;$A$191&amp;"=l"&amp;$A$184&amp;"(["&amp;COLUMN('2'!$L:$L)-2&amp;","&amp;COLUMN('2'!$O:$O)-COLUMN('2'!$L:$L)&amp;"]);"</f>
        <v>let l16=l9([10,3]);</v>
      </c>
      <c r="C195" s="1"/>
      <c r="D195" s="1"/>
      <c r="E195" s="3"/>
      <c r="F195" s="5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1">
        <v>21.0</v>
      </c>
      <c r="B196" s="2" t="str">
        <f>"let l"&amp;$A$192&amp;"=l"&amp;$A$184&amp;"(["&amp;COLUMN('2'!$G:$G)-2&amp;","&amp;COLUMN('2'!$J:$J)-COLUMN('2'!$G:$G)&amp;"]);"</f>
        <v>let l17=l9([5,3]);</v>
      </c>
      <c r="C196" s="1"/>
      <c r="D196" s="1"/>
      <c r="E196" s="3"/>
      <c r="F196" s="5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1">
        <v>22.0</v>
      </c>
      <c r="B197" s="2" t="str">
        <f>"let l"&amp;$A$193&amp;"=l"&amp;$A$180&amp;"("&amp;COLUMN('2'!$AI:$AI)-2&amp;")||1;"</f>
        <v>let l18=l5(33)||1;</v>
      </c>
      <c r="C197" s="1"/>
      <c r="D197" s="1"/>
      <c r="E197" s="3"/>
      <c r="F197" s="5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1">
        <v>23.0</v>
      </c>
      <c r="B198" s="2" t="str">
        <f>"let l"&amp;$A$194&amp;"=l"&amp;$A$180&amp;"("&amp;COLUMN('2'!$AG:$AG)-2&amp;")||0;"</f>
        <v>let l19=l5(31)||0;</v>
      </c>
      <c r="C198" s="1"/>
      <c r="D198" s="1"/>
      <c r="E198" s="3"/>
      <c r="F198" s="5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1">
        <v>24.0</v>
      </c>
      <c r="B199" s="2" t="str">
        <f>"let l"&amp;$A$195&amp;"=l"&amp;$A$180&amp;"("&amp;COLUMN('2'!$AH:$AH)-2&amp;")||0;"</f>
        <v>let l20=l5(32)||0;</v>
      </c>
      <c r="C199" s="1"/>
      <c r="D199" s="1"/>
      <c r="E199" s="3"/>
      <c r="F199" s="5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1">
        <v>25.0</v>
      </c>
      <c r="B200" s="2" t="str">
        <f>"let l"&amp;$A$196&amp;"='box-shadow';"</f>
        <v>let l21='box-shadow';</v>
      </c>
      <c r="C200" s="1"/>
      <c r="D200" s="1"/>
      <c r="E200" s="3"/>
      <c r="F200" s="5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1">
        <v>26.0</v>
      </c>
      <c r="B201" s="2" t="str">
        <f>"let l"&amp;$A$197&amp;"='border-top';"</f>
        <v>let l22='border-top';</v>
      </c>
      <c r="C201" s="1"/>
      <c r="D201" s="1"/>
      <c r="E201" s="1"/>
      <c r="F201" s="5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1">
        <v>27.0</v>
      </c>
      <c r="B202" s="2" t="str">
        <f>"let l"&amp;$A$198&amp;"='border-left';"</f>
        <v>let l23='border-left';</v>
      </c>
      <c r="C202" s="1"/>
      <c r="D202" s="1"/>
      <c r="E202" s="2"/>
      <c r="F202" s="5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1">
        <v>28.0</v>
      </c>
      <c r="B203" s="2" t="str">
        <f>"let l"&amp;$A$199&amp;"='border-right';"</f>
        <v>let l24='border-right';</v>
      </c>
      <c r="C203" s="1"/>
      <c r="D203" s="1"/>
      <c r="E203" s="1"/>
      <c r="F203" s="5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1">
        <v>29.0</v>
      </c>
      <c r="B204" s="2" t="str">
        <f>"let l"&amp;$A$200&amp;"='border-bottom';"</f>
        <v>let l25='border-bottom';</v>
      </c>
      <c r="C204" s="1"/>
      <c r="D204" s="1"/>
      <c r="E204" s="1"/>
      <c r="F204" s="5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1">
        <v>30.0</v>
      </c>
      <c r="B205" s="2" t="str">
        <f>"let l"&amp;$A$201&amp;"='background-clip';"</f>
        <v>let l26='background-clip';</v>
      </c>
      <c r="C205" s="1"/>
      <c r="D205" s="1"/>
      <c r="E205" s="1"/>
      <c r="F205" s="5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1">
        <v>31.0</v>
      </c>
      <c r="B206" s="2" t="str">
        <f>"let l"&amp;$A$202&amp;"='background-size';"</f>
        <v>let l27='background-size';</v>
      </c>
      <c r="C206" s="1"/>
      <c r="D206" s="1"/>
      <c r="E206" s="1"/>
      <c r="F206" s="5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1">
        <v>32.0</v>
      </c>
      <c r="B207" s="2" t="str">
        <f>"let l"&amp;$A$203&amp;"='transform-origin';"</f>
        <v>let l28='transform-origin';</v>
      </c>
      <c r="C207" s="1"/>
      <c r="D207" s="1"/>
      <c r="E207" s="3"/>
      <c r="F207" s="5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1">
        <v>33.0</v>
      </c>
      <c r="B208" s="2" t="str">
        <f>"let l"&amp;$A$204&amp;"='background-origin';"</f>
        <v>let l29='background-origin';</v>
      </c>
      <c r="C208" s="1"/>
      <c r="D208" s="1"/>
      <c r="E208" s="1"/>
      <c r="F208" s="5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1">
        <v>34.0</v>
      </c>
      <c r="B209" s="2" t="str">
        <f>"let l"&amp;$A$205&amp;"='background-position';"</f>
        <v>let l30='background-position';</v>
      </c>
      <c r="C209" s="1"/>
      <c r="D209" s="1"/>
      <c r="E209" s="1"/>
      <c r="F209" s="5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1">
        <v>35.0</v>
      </c>
      <c r="B210" s="2" t="str">
        <f>"h[2]+=`${i==0?'':'#'}${h"&amp;$A$42&amp;"[i]}{"</f>
        <v>h[2]+=`${i==0?'':'#'}${h19[i]}{</v>
      </c>
      <c r="C210" s="1"/>
      <c r="D210" s="1"/>
      <c r="E210" s="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1">
        <v>36.0</v>
      </c>
      <c r="B211" s="3" t="str">
        <f>"${!l"&amp;$A$192&amp;"&amp;&amp;!l"&amp;$A$191&amp;"?'':`${l"&amp;$A$196&amp;"}:${h"&amp;$A$45&amp;"(i)};`}"</f>
        <v>${!l17&amp;&amp;!l16?'':`${l21}:${h22(i)};`}</v>
      </c>
      <c r="C211" s="1" t="s">
        <v>1</v>
      </c>
      <c r="D211" s="1"/>
      <c r="E211" s="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1">
        <v>37.0</v>
      </c>
      <c r="B212" s="2" t="str">
        <f>"${l"&amp;$A$179&amp;"("&amp;COLUMN('2'!$Q:$Q)-2&amp;")?'':`${l"&amp;$A$198&amp;"}-width:${l"&amp;$A$180&amp;"("&amp;COLUMN('2'!$Q:$Q)-2&amp;")}px;`}"</f>
        <v>${l4(15)?'':`${l23}-width:${l5(15)}px;`}</v>
      </c>
      <c r="C212" s="1" t="s">
        <v>1</v>
      </c>
      <c r="D212" s="1"/>
      <c r="E212" s="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1">
        <v>38.0</v>
      </c>
      <c r="B213" s="2" t="str">
        <f>"${l"&amp;$A$179&amp;"("&amp;COLUMN('2'!$R:$R)-2&amp;")?'':`${l"&amp;$A$199&amp;"}-width:${l"&amp;$A$180&amp;"("&amp;COLUMN('2'!$R:$R)-2&amp;")}px;`}"</f>
        <v>${l4(16)?'':`${l24}-width:${l5(16)}px;`}</v>
      </c>
      <c r="C213" s="1" t="s">
        <v>1</v>
      </c>
      <c r="D213" s="1"/>
      <c r="E213" s="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1">
        <v>39.0</v>
      </c>
      <c r="B214" s="2" t="str">
        <f>"${l"&amp;$A$179&amp;"("&amp;COLUMN('2'!$S:$S)-2&amp;")?'':`${l"&amp;$A$197&amp;"}-width:${l"&amp;$A$180&amp;"("&amp;COLUMN('2'!$S:$S)-2&amp;")}px;`}"</f>
        <v>${l4(17)?'':`${l22}-width:${l5(17)}px;`}</v>
      </c>
      <c r="C214" s="1" t="s">
        <v>1</v>
      </c>
      <c r="D214" s="1"/>
      <c r="E214" s="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1">
        <v>40.0</v>
      </c>
      <c r="B215" s="2" t="str">
        <f>"${l"&amp;$A$179&amp;"("&amp;COLUMN('2'!$T:$T)-2&amp;")?'':`${l"&amp;$A$200&amp;"}-width:${l"&amp;$A$180&amp;"("&amp;COLUMN('2'!$T:$T)-2&amp;")}px;`}"</f>
        <v>${l4(18)?'':`${l25}-width:${l5(18)}px;`}</v>
      </c>
      <c r="C215" s="1" t="s">
        <v>1</v>
      </c>
      <c r="D215" s="1"/>
      <c r="E215" s="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1" t="s">
        <v>0</v>
      </c>
      <c r="B216" s="2" t="str">
        <f>"${l"&amp;$A$179&amp;"("&amp;COLUMN('2'!$Q:$Q)-2&amp;")?'':`${l"&amp;$A$198&amp;"}-style:${l"&amp;$A$185&amp;"}${''};`}"</f>
        <v>${l4(15)?'':`${l23}-style:${l10}${''};`}</v>
      </c>
      <c r="C216" s="1" t="s">
        <v>1</v>
      </c>
      <c r="D216" s="1"/>
      <c r="E216" s="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1"/>
      <c r="B217" s="2" t="str">
        <f>"${l"&amp;$A$179&amp;"("&amp;COLUMN('2'!$R:$R)-2&amp;")?'':`${l"&amp;$A$199&amp;"}-style:${l"&amp;$A$185&amp;"}${''};`}"</f>
        <v>${l4(16)?'':`${l24}-style:${l10}${''};`}</v>
      </c>
      <c r="C217" s="1" t="s">
        <v>1</v>
      </c>
      <c r="D217" s="1"/>
      <c r="E217" s="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B218" s="2" t="str">
        <f>"${l"&amp;$A$179&amp;"("&amp;COLUMN('2'!$S:$S)-2&amp;")?'':`${l"&amp;$A$197&amp;"}-style:${l"&amp;$A$185&amp;"}${''};`}"</f>
        <v>${l4(17)?'':`${l22}-style:${l10}${''};`}</v>
      </c>
      <c r="C218" s="1" t="s">
        <v>1</v>
      </c>
      <c r="D218" s="1"/>
      <c r="E218" s="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B219" s="2" t="str">
        <f>"${l"&amp;$A$179&amp;"("&amp;COLUMN('2'!$T:$T)-2&amp;")?'':`${l"&amp;$A$200&amp;"}-style:${l"&amp;$A$185&amp;"}${''};`}"</f>
        <v>${l4(18)?'':`${l25}-style:${l10}${''};`}</v>
      </c>
      <c r="C219" s="1" t="s">
        <v>1</v>
      </c>
      <c r="D219" s="1"/>
      <c r="E219" s="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B220" s="2" t="str">
        <f>"${l"&amp;$A$179&amp;"("&amp;COLUMN('2'!$U:$U)-2&amp;")?'':`outline-width:${l"&amp;$A$180&amp;"("&amp;COLUMN('2'!$U:$U)-2&amp;")}px;`}"</f>
        <v>${l4(19)?'':`outline-width:${l5(19)}px;`}</v>
      </c>
      <c r="C220" s="1" t="s">
        <v>1</v>
      </c>
      <c r="D220" s="1"/>
      <c r="E220" s="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B221" s="2" t="str">
        <f>"${l"&amp;$A$179&amp;"("&amp;COLUMN('2'!$V:$V)-2&amp;")||0?'':`outline-offset:${l"&amp;$A$180&amp;"("&amp;COLUMN('2'!$V:$V)-2&amp;")}px;`}"</f>
        <v>${l4(20)||0?'':`outline-offset:${l5(20)}px;`}</v>
      </c>
      <c r="C221" s="1" t="s">
        <v>1</v>
      </c>
      <c r="D221" s="1"/>
      <c r="E221" s="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B222" s="2" t="str">
        <f>"${!l"&amp;$A$180&amp;"("&amp;COLUMN('2'!$X:$X)-2&amp;")&amp;&amp;l"&amp;$A$179&amp;"("&amp;COLUMN('2'!$U:$U)-2&amp;")?'':`outline-style:${l"&amp;$A$186&amp;"};`}"</f>
        <v>${!l5(22)&amp;&amp;l4(19)?'':`outline-style:${l11};`}</v>
      </c>
      <c r="C222" s="1" t="s">
        <v>1</v>
      </c>
      <c r="D222" s="1"/>
      <c r="E222" s="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B223" s="2" t="str">
        <f>"${!l"&amp;$A$183&amp;"(["&amp;COLUMN('2'!$Y:$Y)-2&amp;","&amp;COLUMN('2'!$Z:$Z)-2&amp;"])?'':`border-top-left-radius:"</f>
        <v>${!l8([23,24])?'':`border-top-left-radius:</v>
      </c>
      <c r="C223" s="1" t="s">
        <v>1</v>
      </c>
      <c r="D223" s="1"/>
      <c r="E223" s="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B224" s="2" t="str">
        <f>"${h"&amp;$A$39&amp;"([i,"&amp;COLUMN('2'!$Y:$Y)-2&amp;",0])}${''}${h"&amp;$A$39&amp;"([i,"&amp;COLUMN('2'!$Y:$Y)-2&amp;",1])};`}"</f>
        <v>${h16([i,23,0])}${''}${h16([i,23,1])};`}</v>
      </c>
      <c r="C224" s="1"/>
      <c r="D224" s="1"/>
      <c r="E224" s="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B225" s="2" t="str">
        <f>"${!l"&amp;$A$183&amp;"(["&amp;COLUMN('2'!$AA:$AA)-2&amp;","&amp;COLUMN('2'!$AB:$AB)-2&amp;"])?'':`${l"&amp;$A$197&amp;"}-right-radius:"</f>
        <v>${!l8([25,26])?'':`${l22}-right-radius:</v>
      </c>
      <c r="C225" s="1" t="s">
        <v>1</v>
      </c>
      <c r="D225" s="1"/>
      <c r="E225" s="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B226" s="2" t="str">
        <f>"${h"&amp;$A$39&amp;"([i,"&amp;COLUMN('2'!$AA:$AA)-2&amp;",0])}${''}${h"&amp;$A$39&amp;"([i,"&amp;COLUMN('2'!$AA:$AA)-2&amp;",1])};`}"</f>
        <v>${h16([i,25,0])}${''}${h16([i,25,1])};`}</v>
      </c>
      <c r="C226" s="1"/>
      <c r="D226" s="1"/>
      <c r="E226" s="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B227" s="2" t="str">
        <f>"${!l"&amp;$A$183&amp;"(["&amp;COLUMN('2'!$AC:$AC)-2&amp;","&amp;COLUMN('2'!$AD:$AD)-2&amp;"])?'':`${l"&amp;$A$200&amp;"}-left-radius:"</f>
        <v>${!l8([27,28])?'':`${l25}-left-radius:</v>
      </c>
      <c r="C227" s="1" t="s">
        <v>1</v>
      </c>
      <c r="D227" s="1"/>
      <c r="E227" s="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B228" s="2" t="str">
        <f>"${h"&amp;$A$39&amp;"([i,"&amp;COLUMN('2'!$AC:$AC)-2&amp;",0])}${''}${h"&amp;$A$39&amp;"([i,"&amp;COLUMN('2'!$AC:$AC)-2&amp;",1])};`}"</f>
        <v>${h16([i,27,0])}${''}${h16([i,27,1])};`}</v>
      </c>
      <c r="C228" s="1"/>
      <c r="D228" s="1"/>
      <c r="E228" s="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B229" s="2" t="str">
        <f>"${!l"&amp;$A$183&amp;"(["&amp;COLUMN('2'!$AE:$AE)-2&amp;","&amp;COLUMN('2'!$AF:$AF)-2&amp;"])?'':`${l"&amp;$A$200&amp;"}-right-radius:"</f>
        <v>${!l8([29,30])?'':`${l25}-right-radius:</v>
      </c>
      <c r="C229" s="1" t="s">
        <v>1</v>
      </c>
      <c r="D229" s="1"/>
      <c r="E229" s="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B230" s="2" t="str">
        <f>"${h"&amp;$A$39&amp;"([i,"&amp;COLUMN('2'!$AE:$AE)-2&amp;",0])}${''}${h"&amp;$A$39&amp;"([i,"&amp;COLUMN('2'!$AE:$AE)-2&amp;",1])};`}"</f>
        <v>${h16([i,29,0])}${''}${h16([i,29,1])};`}</v>
      </c>
      <c r="C230" s="1"/>
      <c r="D230" s="1"/>
      <c r="E230" s="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B231" s="2" t="str">
        <f>"${l"&amp;$A$179&amp;"("&amp;COLUMN('2'!$AQ:$AQ)-2&amp;")||0?'':`z-index:${l"&amp;$A$180&amp;"("&amp;COLUMN('2'!$AQ:$AQ)-2&amp;")};`}"</f>
        <v>${l4(41)||0?'':`z-index:${l5(41)};`}</v>
      </c>
      <c r="C231" s="1"/>
      <c r="D231" s="1"/>
      <c r="E231" s="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B232" s="3" t="str">
        <f>"${!l"&amp;$A$189&amp;"?'':`translate:${l"&amp;$A$194&amp;"}% ${l"&amp;$A$195&amp;"}%;`}"</f>
        <v>${!l14?'':`translate:${l19}% ${l20}%;`}</v>
      </c>
      <c r="C232" s="1"/>
      <c r="D232" s="1"/>
      <c r="E232" s="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B233" s="3" t="str">
        <f>"${!l"&amp;$A$190&amp;"?'':`scale:${l"&amp;$A$193&amp;"} ${l"&amp;$A$180&amp;"("&amp;COLUMN('2'!$AJ:$AJ)-2&amp;")||1};`}"</f>
        <v>${!l15?'':`scale:${l18} ${l5(34)||1};`}</v>
      </c>
      <c r="C233" s="1"/>
      <c r="D233" s="1"/>
      <c r="E233" s="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B234" s="3" t="str">
        <f>"${l"&amp;$A$179&amp;"("&amp;COLUMN('2'!$AK:$AK)-2&amp;")||0?'':`rotate:${l"&amp;$A$180&amp;"("&amp;COLUMN('2'!$AK:$AK)-2&amp;")}deg;`}"</f>
        <v>${l4(35)||0?'':`rotate:${l5(35)}deg;`}</v>
      </c>
      <c r="C234" s="1"/>
      <c r="D234" s="1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B235" s="3" t="str">
        <f>"${!l"&amp;$A$180&amp;"("&amp;COLUMN('2'!$AL:$AL)-2&amp;")?'':`${l"&amp;$A$203&amp;"}:${l"&amp;$A$176&amp;"[l"&amp;$A$180&amp;"("&amp;COLUMN('2'!$AL:$AL)-2&amp;")]};`}"</f>
        <v>${!l5(36)?'':`${l28}:${l1[l5(36)]};`}</v>
      </c>
      <c r="C235" s="1"/>
      <c r="D235" s="1"/>
      <c r="E235" s="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B236" s="2" t="str">
        <f>"${!l"&amp;$A$180&amp;"("&amp;COLUMN('2'!$F:$F)-2&amp;")?'':`${l"&amp;$A$201&amp;"}:${l"&amp;$A$180&amp;"("&amp;COLUMN('2'!$F:$F)-2&amp;")}-box;`}"</f>
        <v>${!l5(4)?'':`${l26}:${l5(4)}-box;`}</v>
      </c>
      <c r="C236" s="1"/>
      <c r="D236" s="1"/>
      <c r="E236" s="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B237" s="2" t="str">
        <f>"${!l"&amp;$A$180&amp;"("&amp;COLUMN('2'!$F:$F)-2&amp;")?'':`${l"&amp;$A$204&amp;"}:${l"&amp;$A$180&amp;"("&amp;COLUMN('2'!$F:$F)-2&amp;")}-box;`}"</f>
        <v>${!l5(4)?'':`${l29}:${l5(4)}-box;`}</v>
      </c>
      <c r="C237" s="1"/>
      <c r="D237" s="1"/>
      <c r="E237" s="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B238" s="2" t="str">
        <f>"${!l"&amp;$A$183&amp;"(["&amp;COLUMN('2'!$B:$B)-2&amp;","&amp;COLUMN('2'!$D:$D)-2&amp;"])?'':`${l"&amp;$A$205&amp;"}:${''}"</f>
        <v>${!l8([0,2])?'':`${l30}:${''}</v>
      </c>
      <c r="C238" s="1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B239" s="2" t="str">
        <f>"${l"&amp;$A$181&amp;"("&amp;COLUMN('2'!$B:$B)-2&amp;")}px ${l"&amp;$A$181&amp;"("&amp;COLUMN('2'!$D:$D)-2&amp;")}px;`}"</f>
        <v>${l6(0)}px ${l6(2)}px;`}</v>
      </c>
      <c r="C239" s="1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B240" s="2" t="str">
        <f>"${!l"&amp;$A$184&amp;"(["&amp;COLUMN('2'!$B:$B)-2&amp;","&amp;COLUMN('2'!$E:$E)-COLUMN('2'!$B:$B)&amp;"])?'':`${l"&amp;$A$202&amp;"}:"</f>
        <v>${!l9([0,3])?'':`${l27}:</v>
      </c>
      <c r="C240" s="1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B241" s="2" t="str">
        <f>"calc(100% - ${l"&amp;$A$187&amp;"}px) "</f>
        <v>calc(100% - ${l12}px) </v>
      </c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B242" s="2" t="str">
        <f>"calc(100% - ${l"&amp;$A$188&amp;"}px);`}}`;}"</f>
        <v>calc(100% - ${l13}px);`}}`;}</v>
      </c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B243" s="2" t="str">
        <f>"if(h"&amp;$A$28&amp;"(['2',i,"&amp;COLUMN('2'!$AM:$AM)-2&amp;","&amp;COLUMN('2'!$AP:$AP)-COLUMN('2'!$AM:$AM)&amp;"])){"</f>
        <v>if(h5(['2',i,37,3])){</v>
      </c>
      <c r="C243" s="1"/>
      <c r="D243" s="2"/>
      <c r="E243" s="1"/>
      <c r="F243" s="5"/>
      <c r="G243" s="5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B244" s="2" t="str">
        <f>"let l"&amp;$A$206&amp;"=_=&gt;l"&amp;$A$177&amp;"[l"&amp;$A$208&amp;"(_)];"</f>
        <v>let l31=_=&gt;l2[l33(_)];</v>
      </c>
      <c r="C244" s="1"/>
      <c r="D244" s="1"/>
      <c r="E244" s="1"/>
      <c r="F244" s="1"/>
      <c r="G244" s="5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B245" s="2" t="str">
        <f>"let l"&amp;$A$207&amp;"=_=&gt;l"&amp;$A$178&amp;"[l"&amp;$A$208&amp;"(_)];"</f>
        <v>let l32=_=&gt;l3[l33(_)];</v>
      </c>
      <c r="C245" s="1"/>
      <c r="D245" s="1"/>
      <c r="E245" s="1"/>
      <c r="F245" s="1"/>
      <c r="G245" s="5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B246" s="2" t="str">
        <f>"let l"&amp;$A$208&amp;"=_=&gt;k['2'][i][_];"</f>
        <v>let l33=_=&gt;k['2'][i][_];</v>
      </c>
      <c r="C246" s="1"/>
      <c r="D246" s="2"/>
      <c r="E246" s="1"/>
      <c r="F246" s="2"/>
      <c r="G246" s="5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B247" s="2" t="str">
        <f>"let l"&amp;$A$209&amp;"=_=&gt;l"&amp;$A$208&amp;"(_)=='true';"</f>
        <v>let l34=_=&gt;l33(_)=='true';</v>
      </c>
      <c r="C247" s="1"/>
      <c r="D247" s="1"/>
      <c r="E247" s="1"/>
      <c r="F247" s="5"/>
      <c r="G247" s="5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0" customHeight="1">
      <c r="B248" s="2" t="str">
        <f>"let l"&amp;$A$210&amp;"='flex-wrap:nowrap';"</f>
        <v>let l35='flex-wrap:nowrap';</v>
      </c>
      <c r="C248" s="1"/>
      <c r="D248" s="1"/>
      <c r="E248" s="1"/>
      <c r="F248" s="5"/>
      <c r="G248" s="5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0" customHeight="1">
      <c r="B249" s="2" t="str">
        <f>"let l"&amp;$A$211&amp;"='justify-content';"</f>
        <v>let l36='justify-content';</v>
      </c>
      <c r="C249" s="1"/>
      <c r="D249" s="1"/>
      <c r="E249" s="1"/>
      <c r="F249" s="5"/>
      <c r="G249" s="5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B250" s="2" t="str">
        <f>"let l"&amp;$A$212&amp;"='flex-direction';"</f>
        <v>let l37='flex-direction';</v>
      </c>
      <c r="C250" s="1"/>
      <c r="D250" s="1"/>
      <c r="E250" s="1"/>
      <c r="F250" s="5"/>
      <c r="G250" s="5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B251" s="2" t="str">
        <f>"let l"&amp;$A$213&amp;"='align-content';"</f>
        <v>let l38='align-content';</v>
      </c>
      <c r="C251" s="1"/>
      <c r="D251" s="1"/>
      <c r="E251" s="1"/>
      <c r="F251" s="5"/>
      <c r="G251" s="5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B252" s="2" t="str">
        <f>"let l"&amp;$A$214&amp;"='align-items';"</f>
        <v>let l39='align-items';</v>
      </c>
      <c r="C252" s="1"/>
      <c r="D252" s="1"/>
      <c r="E252" s="1"/>
      <c r="F252" s="5"/>
      <c r="G252" s="5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B253" s="2" t="str">
        <f>"let l"&amp;$A$215&amp;"=i==0?'':'#';"</f>
        <v>let l40=i==0?'':'#';</v>
      </c>
      <c r="C253" s="1"/>
      <c r="D253" s="1"/>
      <c r="E253" s="1"/>
      <c r="F253" s="5"/>
      <c r="G253" s="5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0" customHeight="1">
      <c r="B254" s="2" t="str">
        <f>"h[2]+=`${l"&amp;$A$215&amp;"}${h"&amp;$A$42&amp;"[i]}&gt;nav{"</f>
        <v>h[2]+=`${l40}${h19[i]}&gt;nav{</v>
      </c>
      <c r="C254" s="1"/>
      <c r="D254" s="1"/>
      <c r="E254" s="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B255" s="2" t="str">
        <f>"${!l"&amp;$A$208&amp;"("&amp;COLUMN('2'!$AM:$AM)-2&amp;")?'':`${l"&amp;$A$211&amp;"}:${l"&amp;$A$206&amp;"("&amp;COLUMN('2'!$AM:$AM)-2&amp;")};`}"</f>
        <v>${!l33(37)?'':`${l36}:${l31(37)};`}</v>
      </c>
      <c r="C255" s="1"/>
      <c r="D255" s="1"/>
      <c r="E255" s="1"/>
      <c r="F255" s="1"/>
      <c r="G255" s="5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B256" s="2" t="str">
        <f>"${!l"&amp;$A$208&amp;"("&amp;COLUMN('2'!$AN:$AN)-2&amp;")?'':`${l"&amp;$A$213&amp;"}:${l"&amp;$A$206&amp;"("&amp;COLUMN('2'!AN:AN)-2&amp;")};`}"</f>
        <v>${!l33(38)?'':`${l38}:${l31(38)};`}</v>
      </c>
      <c r="C256" s="1"/>
      <c r="D256" s="1"/>
      <c r="E256" s="1"/>
      <c r="F256" s="1"/>
      <c r="G256" s="5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B257" s="2" t="str">
        <f>"${!l"&amp;$A$208&amp;"("&amp;COLUMN('2'!$AN:$AN)-2&amp;")?'':`${l"&amp;$A$214&amp;"}:${l"&amp;$A$207&amp;"("&amp;COLUMN('2'!$AN:$AN)-2&amp;")};`}"</f>
        <v>${!l33(38)?'':`${l39}:${l32(38)};`}</v>
      </c>
      <c r="C257" s="1"/>
      <c r="D257" s="1"/>
      <c r="E257" s="1"/>
      <c r="F257" s="1"/>
      <c r="G257" s="5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B258" s="2" t="str">
        <f>"${!l"&amp;$A$209&amp;"("&amp;COLUMN('2'!$AO:$AO)-2&amp;")?'':`${l"&amp;$A$212&amp;"}:column;`}"</f>
        <v>${!l34(39)?'':`${l37}:column;`}</v>
      </c>
      <c r="C258" s="1"/>
      <c r="D258" s="1"/>
      <c r="E258" s="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B259" s="2" t="str">
        <f>"${!l"&amp;$A$209&amp;"("&amp;COLUMN('2'!$AP:$AP)-2&amp;")?'':`${l"&amp;$A$210&amp;"};`}}`;}}};"</f>
        <v>${!l34(40)?'':`${l35};`}}`;}}};</v>
      </c>
      <c r="C259" s="1"/>
      <c r="D259" s="1"/>
      <c r="E259" s="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1"/>
      <c r="B260" s="3" t="str">
        <f>""</f>
        <v/>
      </c>
      <c r="C260" s="1"/>
      <c r="D260" s="1"/>
      <c r="E260" s="1"/>
      <c r="F260" s="3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1">
        <v>0.0</v>
      </c>
      <c r="B261" s="3" t="str">
        <f>"const h"&amp;$A$53&amp;"=l=&gt;{"</f>
        <v>const h29=l=&gt;{</v>
      </c>
      <c r="C261" s="1"/>
      <c r="D261" s="2"/>
      <c r="E261" s="1"/>
      <c r="F261" s="3"/>
      <c r="G261" s="15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1">
        <v>1.0</v>
      </c>
      <c r="B262" s="2" t="str">
        <f>"let l"&amp;$A$261&amp;"=h"&amp;$A$38&amp;"(l);"</f>
        <v>let l0=h15(l);</v>
      </c>
      <c r="C262" s="1"/>
      <c r="D262" s="2"/>
      <c r="E262" s="1"/>
      <c r="F262" s="3"/>
      <c r="G262" s="15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1">
        <v>2.0</v>
      </c>
      <c r="B263" s="2" t="str">
        <f>"let l"&amp;$A$262&amp;"={linear:"</f>
        <v>let l1={linear:</v>
      </c>
      <c r="C263" s="1"/>
      <c r="D263" s="2"/>
      <c r="E263" s="1"/>
      <c r="F263" s="3"/>
      <c r="G263" s="15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6">
        <v>3.0</v>
      </c>
      <c r="B264" s="2" t="str">
        <f>"'1%',radial:'49%'};"</f>
        <v>'1%',radial:'49%'};</v>
      </c>
      <c r="C264" s="1"/>
      <c r="D264" s="1"/>
      <c r="E264" s="1"/>
      <c r="F264" s="3"/>
      <c r="G264" s="15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6">
        <v>4.0</v>
      </c>
      <c r="B265" s="2" t="str">
        <f>"let l"&amp;$A$263&amp;"=h"&amp;$A$46&amp;"['0-0'];"</f>
        <v>let l2=h23['0-0'];</v>
      </c>
      <c r="C265" s="1"/>
      <c r="D265" s="2"/>
      <c r="E265" s="1"/>
      <c r="F265" s="3"/>
      <c r="G265" s="15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6">
        <v>5.0</v>
      </c>
      <c r="B266" s="2" t="str">
        <f>"let l"&amp;$A$264&amp;"=h"&amp;$A$46&amp;"['3-1'];"</f>
        <v>let l3=h23['3-1'];</v>
      </c>
      <c r="C266" s="1"/>
      <c r="D266" s="2"/>
      <c r="E266" s="1"/>
      <c r="F266" s="3"/>
      <c r="G266" s="15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6">
        <v>6.0</v>
      </c>
      <c r="B267" s="2" t="str">
        <f>"let l"&amp;$A$265&amp;"=h"&amp;$A$46&amp;"['3-2'];"</f>
        <v>let l4=h23['3-2'];</v>
      </c>
      <c r="C267" s="1"/>
      <c r="D267" s="1"/>
      <c r="E267" s="1"/>
      <c r="F267" s="3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6">
        <v>7.0</v>
      </c>
      <c r="B268" s="2" t="str">
        <f>"for(let i of l"&amp;$A$261&amp;"){"</f>
        <v>for(let i of l0){</v>
      </c>
      <c r="C268" s="1"/>
      <c r="D268" s="1"/>
      <c r="E268" s="2"/>
      <c r="F268" s="5"/>
      <c r="G268" s="5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6">
        <v>8.0</v>
      </c>
      <c r="B269" s="2" t="str">
        <f>"if(h"&amp;$A$28&amp;"(['3',i,"&amp;COLUMN('3'!$B:$B)-2&amp;","&amp;COLUMN('3'!$AN:$AN)-COLUMN('3'!$B:$B)&amp;"])){"</f>
        <v>if(h5(['3',i,0,38])){</v>
      </c>
      <c r="C269" s="1"/>
      <c r="D269" s="1"/>
      <c r="E269" s="1"/>
      <c r="F269" s="5"/>
      <c r="G269" s="5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0" customHeight="1">
      <c r="A270" s="6">
        <v>9.0</v>
      </c>
      <c r="B270" s="2" t="str">
        <f>"let l"&amp;$A$266&amp;"=h"&amp;$A$36&amp;"([0,i]);"</f>
        <v>let l5=h13([0,i]);</v>
      </c>
      <c r="C270" s="1"/>
      <c r="D270" s="1"/>
      <c r="E270" s="1"/>
      <c r="F270" s="5"/>
      <c r="G270" s="5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6">
        <v>10.0</v>
      </c>
      <c r="B271" s="2" t="str">
        <f>"let l"&amp;$A$267&amp;"=h"&amp;$A$36&amp;"([1,i]);"</f>
        <v>let l6=h13([1,i]);</v>
      </c>
      <c r="C271" s="1"/>
      <c r="D271" s="2"/>
      <c r="E271" s="2"/>
      <c r="F271" s="2"/>
      <c r="G271" s="5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0" customHeight="1">
      <c r="A272" s="6">
        <v>11.0</v>
      </c>
      <c r="B272" s="2" t="str">
        <f>"let l"&amp;$A$268&amp;"=h"&amp;$A$26&amp;"(['3',"&amp;COLUMN('3'!$AP:$AP)-2&amp;",i]);"</f>
        <v>let l7=h3(['3',40,i]);</v>
      </c>
      <c r="C272" s="1"/>
      <c r="D272" s="2"/>
      <c r="E272" s="2"/>
      <c r="F272" s="2"/>
      <c r="G272" s="5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6">
        <v>12.0</v>
      </c>
      <c r="B273" s="2" t="str">
        <f>"let l"&amp;$A$269&amp;"=h"&amp;$A$26&amp;"(['3',"&amp;COLUMN('3'!$AO:$AO)-2&amp;",i]);"</f>
        <v>let l8=h3(['3',39,i]);</v>
      </c>
      <c r="C273" s="1"/>
      <c r="D273" s="1"/>
      <c r="E273" s="1"/>
      <c r="F273" s="5"/>
      <c r="G273" s="5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6">
        <v>13.0</v>
      </c>
      <c r="B274" s="2" t="str">
        <f>"let l"&amp;$A$270&amp;"=k"&amp;$A$17&amp;"(['3',i,"&amp;COLUMN('3'!$AN:$AN)-2&amp;"]);"</f>
        <v>let l9=k12(['3',i,38]);</v>
      </c>
      <c r="C274" s="1"/>
      <c r="D274" s="1"/>
      <c r="E274" s="1"/>
      <c r="F274" s="5"/>
      <c r="G274" s="5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0" customHeight="1">
      <c r="A275" s="6">
        <v>14.0</v>
      </c>
      <c r="B275" s="2" t="str">
        <f>"let l"&amp;$A$271&amp;"=k"&amp;$A$17&amp;"(['2',i,"&amp;COLUMN('2'!$V:$V)-2&amp;"]);"</f>
        <v>let l10=k12(['2',i,20]);</v>
      </c>
      <c r="C275" s="1"/>
      <c r="D275" s="1"/>
      <c r="E275" s="1"/>
      <c r="F275" s="5"/>
      <c r="G275" s="5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6">
        <v>15.0</v>
      </c>
      <c r="B276" s="2" t="str">
        <f>"let l"&amp;$A$272&amp;"=_=&gt;k['3'][i][_];"</f>
        <v>let l11=_=&gt;k['3'][i][_];</v>
      </c>
      <c r="C276" s="1"/>
      <c r="D276" s="1"/>
      <c r="E276" s="2"/>
      <c r="F276" s="2"/>
      <c r="G276" s="5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6">
        <v>16.0</v>
      </c>
      <c r="B277" s="2" t="str">
        <f>"let l"&amp;$A$273&amp;"=_=&gt;l"&amp;$A$272&amp;"(_)==null;"</f>
        <v>let l12=_=&gt;l11(_)==null;</v>
      </c>
      <c r="C277" s="1"/>
      <c r="D277" s="2"/>
      <c r="E277" s="2"/>
      <c r="F277" s="5"/>
      <c r="G277" s="5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6">
        <v>17.0</v>
      </c>
      <c r="B278" s="2" t="str">
        <f>"let l"&amp;$A$274&amp;"=_=&gt;l"&amp;$A$272&amp;"(_)=='true';"</f>
        <v>let l13=_=&gt;l11(_)=='true';</v>
      </c>
      <c r="C278" s="1"/>
      <c r="D278" s="1"/>
      <c r="E278" s="2"/>
      <c r="F278" s="2"/>
      <c r="G278" s="2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6">
        <v>18.0</v>
      </c>
      <c r="B279" s="2" t="str">
        <f>"let l"&amp;$A$275&amp;"=_=&gt;l"&amp;$A$272&amp;"(_)=='circle';"</f>
        <v>let l14=_=&gt;l11(_)=='circle';</v>
      </c>
      <c r="C279" s="1"/>
      <c r="D279" s="1"/>
      <c r="E279" s="2"/>
      <c r="F279" s="2"/>
      <c r="G279" s="5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6">
        <v>19.0</v>
      </c>
      <c r="B280" s="2" t="str">
        <f>"let l"&amp;$A$276&amp;"=_=&gt;l"&amp;$A$272&amp;"(_)=='ellipse';"</f>
        <v>let l15=_=&gt;l11(_)=='ellipse';</v>
      </c>
      <c r="C280" s="1"/>
      <c r="D280" s="1"/>
      <c r="E280" s="2"/>
      <c r="F280" s="5"/>
      <c r="G280" s="5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0" customHeight="1">
      <c r="A281" s="6">
        <v>20.0</v>
      </c>
      <c r="B281" s="2" t="str">
        <f>"let l"&amp;$A$277&amp;"=_=&gt;l"&amp;$A$272&amp;"(_)=='conical';"</f>
        <v>let l16=_=&gt;l11(_)=='conical';</v>
      </c>
      <c r="C281" s="1"/>
      <c r="D281" s="1"/>
      <c r="E281" s="2"/>
      <c r="F281" s="5"/>
      <c r="G281" s="5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0" customHeight="1">
      <c r="A282" s="6">
        <v>21.0</v>
      </c>
      <c r="B282" s="2" t="str">
        <f>"let l"&amp;$A$278&amp;"=_=&gt;l"&amp;$A$272&amp;"(_)=='Transparent';"</f>
        <v>let l17=_=&gt;l11(_)=='Transparent';</v>
      </c>
      <c r="C282" s="1"/>
      <c r="D282" s="1"/>
      <c r="E282" s="2"/>
      <c r="F282" s="2"/>
      <c r="G282" s="5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0" customHeight="1">
      <c r="A283" s="6">
        <v>22.0</v>
      </c>
      <c r="B283" s="2" t="str">
        <f>"let l"&amp;$A$279&amp;"=`rgba(${l"&amp;$A$272&amp;"("&amp;COLUMN('3'!$N:$N)-2&amp;")||l"&amp;$A$267&amp;"})`;"</f>
        <v>let l18=`rgba(${l11(12)||l6})`;</v>
      </c>
      <c r="C283" s="1"/>
      <c r="D283" s="2"/>
      <c r="E283" s="2"/>
      <c r="F283" s="2"/>
      <c r="G283" s="5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0" customHeight="1">
      <c r="A284" s="6">
        <v>23.0</v>
      </c>
      <c r="B284" s="2" t="str">
        <f>"let l"&amp;$A$280&amp;"=`rgba(${l"&amp;$A$272&amp;"("&amp;COLUMN('3'!$O:$O)-2&amp;")||l"&amp;$A$267&amp;"})`;"</f>
        <v>let l19=`rgba(${l11(13)||l6})`;</v>
      </c>
      <c r="C284" s="1"/>
      <c r="D284" s="2"/>
      <c r="E284" s="3"/>
      <c r="F284" s="5"/>
      <c r="G284" s="5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0" customHeight="1">
      <c r="A285" s="6">
        <v>24.0</v>
      </c>
      <c r="B285" s="2" t="str">
        <f>"let l"&amp;$A$281&amp;"=_=&gt;_.replace(' ','-');"</f>
        <v>let l20=_=&gt;_.replace(' ','-');</v>
      </c>
      <c r="C285" s="1"/>
      <c r="D285" s="1"/>
      <c r="E285" s="1"/>
      <c r="F285" s="5"/>
      <c r="G285" s="5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0" customHeight="1">
      <c r="A286" s="6">
        <v>25.0</v>
      </c>
      <c r="B286" s="2" t="str">
        <f>"let l"&amp;$A$282&amp;"=_=&gt;`rgba(${l"&amp;$A$272&amp;"(_)})`;"</f>
        <v>let l21=_=&gt;`rgba(${l11(_)})`;</v>
      </c>
      <c r="C286" s="1"/>
      <c r="D286" s="1"/>
      <c r="E286" s="2"/>
      <c r="F286" s="5"/>
      <c r="G286" s="5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0" customHeight="1">
      <c r="A287" s="6">
        <v>26.0</v>
      </c>
      <c r="B287" s="2" t="str">
        <f>"let l"&amp;$A$283&amp;"=_=&gt;h"&amp;$A$28&amp;"(['3',i,..._]);"</f>
        <v>let l22=_=&gt;h5(['3',i,..._]);</v>
      </c>
      <c r="C287" s="1"/>
      <c r="D287" s="1"/>
      <c r="E287" s="2"/>
      <c r="F287" s="2"/>
      <c r="G287" s="5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0" customHeight="1">
      <c r="A288" s="6">
        <v>27.0</v>
      </c>
      <c r="B288" s="2" t="str">
        <f>"let l"&amp;$A$284&amp;"=_=&gt;h"&amp;$A$29&amp;"(['3',i,..._]);"</f>
        <v>let l23=_=&gt;h6(['3',i,..._]);</v>
      </c>
      <c r="C288" s="1"/>
      <c r="D288" s="1"/>
      <c r="E288" s="2"/>
      <c r="F288" s="5"/>
      <c r="G288" s="5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0" customHeight="1">
      <c r="A289" s="6">
        <v>28.0</v>
      </c>
      <c r="B289" s="2" t="str">
        <f>"let l"&amp;$A$285&amp;"=_=&gt;l"&amp;$A$278&amp;"(_)&amp;&amp;l"&amp;$A$278&amp;"(_+1);"</f>
        <v>let l24=_=&gt;l17(_)&amp;&amp;l17(_+1);</v>
      </c>
      <c r="C289" s="1"/>
      <c r="D289" s="1"/>
      <c r="E289" s="2"/>
      <c r="F289" s="2"/>
      <c r="G289" s="5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6">
        <v>29.0</v>
      </c>
      <c r="B290" s="2" t="str">
        <f>"let l"&amp;$A$286&amp;"=l"&amp;$A$276&amp;"("&amp;COLUMN('3'!$AM:$AM)-2&amp;")||l"&amp;$A$275&amp;"("&amp;COLUMN('3'!$AM:$AM)-2&amp;")?1:0;"</f>
        <v>let l25=l15(37)||l14(37)?1:0;</v>
      </c>
      <c r="C290" s="1"/>
      <c r="D290" s="1"/>
      <c r="E290" s="1"/>
      <c r="F290" s="5"/>
      <c r="G290" s="5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6">
        <v>30.0</v>
      </c>
      <c r="B291" s="2" t="str">
        <f>"let l"&amp;$A$287&amp;"=h"&amp;A43&amp;"[l"&amp;$A$272&amp;"("&amp;COLUMN('3'!$Y:$Y)-2&amp;")]||String();"</f>
        <v>let l26=h20[l11(23)]||String();</v>
      </c>
      <c r="C291" s="1"/>
      <c r="D291" s="1"/>
      <c r="E291" s="1"/>
      <c r="F291" s="5"/>
      <c r="G291" s="5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0" customHeight="1">
      <c r="A292" s="6">
        <v>31.0</v>
      </c>
      <c r="B292" s="2" t="str">
        <f>"let l"&amp;$A$289&amp;"=l"&amp;$A$272&amp;"("&amp;COLUMN('3'!$R:$R)-2&amp;")?`#${l"&amp;$A$272&amp;"("&amp;COLUMN('3'!$R:$R)-2&amp;")}`:'';"</f>
        <v>let l28=l11(16)?`#${l11(16)}`:'';</v>
      </c>
      <c r="C292" s="1"/>
      <c r="D292" s="1"/>
      <c r="E292" s="2"/>
      <c r="F292" s="2"/>
      <c r="G292" s="5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0" customHeight="1">
      <c r="A293" s="6">
        <v>32.0</v>
      </c>
      <c r="B293" s="2" t="str">
        <f>"let l"&amp;$A$290&amp;"=l"&amp;$A$272&amp;"("&amp;COLUMN('3'!$K:$K)-2&amp;")?`rgba(${l"&amp;$A$272&amp;"("&amp;COLUMN('3'!$K:$K)-2&amp;")}`:'';"</f>
        <v>let l29=l11(9)?`rgba(${l11(9)}`:'';</v>
      </c>
      <c r="C293" s="1"/>
      <c r="D293" s="1"/>
      <c r="E293" s="2"/>
      <c r="F293" s="2"/>
      <c r="G293" s="5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6">
        <v>33.0</v>
      </c>
      <c r="B294" s="2" t="str">
        <f>"let l"&amp;$A$291&amp;"=`#${l"&amp;$A$272&amp;"("&amp;COLUMN('3'!$U:$U)-2&amp;")||h"&amp;$A$36&amp;"([2,i])}`;"</f>
        <v>let l30=`#${l11(19)||h13([2,i])}`;</v>
      </c>
      <c r="C294" s="1"/>
      <c r="D294" s="1"/>
      <c r="E294" s="1"/>
      <c r="F294" s="5"/>
      <c r="G294" s="5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6">
        <v>34.0</v>
      </c>
      <c r="B295" s="2" t="str">
        <f>"let l"&amp;$A$292&amp;"=`#${l"&amp;$A$272&amp;"("&amp;COLUMN('3'!$V:$V)-2&amp;")||h"&amp;$A$36&amp;"([2,i])}`;"</f>
        <v>let l31=`#${l11(20)||h13([2,i])}`;</v>
      </c>
      <c r="C295" s="1"/>
      <c r="D295" s="1"/>
      <c r="E295" s="1"/>
      <c r="F295" s="5"/>
      <c r="G295" s="5"/>
      <c r="H295" s="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6">
        <v>35.0</v>
      </c>
      <c r="B296" s="2" t="str">
        <f>"let l"&amp;$A$293&amp;"=['background','border'];"</f>
        <v>let l32=['background','border'];</v>
      </c>
      <c r="C296" s="1"/>
      <c r="D296" s="1"/>
      <c r="E296" s="2"/>
      <c r="F296" s="2"/>
      <c r="G296" s="5"/>
      <c r="H296" s="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6">
        <v>36.0</v>
      </c>
      <c r="B297" s="2" t="str">
        <f>"let l"&amp;$A$294&amp;"='background-blend-mode';"</f>
        <v>let l33='background-blend-mode';</v>
      </c>
      <c r="C297" s="1"/>
      <c r="D297" s="1"/>
      <c r="E297" s="1"/>
      <c r="F297" s="5"/>
      <c r="G297" s="5"/>
      <c r="H297" s="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6">
        <v>37.0</v>
      </c>
      <c r="B298" s="2" t="str">
        <f>"let l"&amp;$A$295&amp;"=!l"&amp;$A$283&amp;"(["&amp;COLUMN('3'!$AC:$AC)-2&amp;","&amp;COLUMN('3'!$AD:$AD)-COLUMN('3'!$AC:$AC)&amp;"])?'0':'0px';"</f>
        <v>let l34=!l22([27,1])?'0':'0px';</v>
      </c>
      <c r="C298" s="1"/>
      <c r="D298" s="1"/>
      <c r="E298" s="2"/>
      <c r="F298" s="2"/>
      <c r="G298" s="2"/>
      <c r="H298" s="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6">
        <v>38.0</v>
      </c>
      <c r="B299" s="2" t="str">
        <f>"let l"&amp;$A$296&amp;"=l"&amp;$A$268&amp;"[0]?` ${l"&amp;$A$268&amp;"[0]}%`:'';"</f>
        <v>let l35=l7[0]?` ${l7[0]}%`:'';</v>
      </c>
      <c r="C299" s="1"/>
      <c r="D299" s="1"/>
      <c r="E299" s="1"/>
      <c r="F299" s="5"/>
      <c r="G299" s="5"/>
      <c r="H299" s="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6">
        <v>39.0</v>
      </c>
      <c r="B300" s="2" t="str">
        <f>"let l"&amp;$A$297&amp;"=l"&amp;$A$268&amp;"[1]?` ${l"&amp;$A$268&amp;"[1]}%`:'';"</f>
        <v>let l36=l7[1]?` ${l7[1]}%`:'';</v>
      </c>
      <c r="C300" s="1"/>
      <c r="D300" s="1"/>
      <c r="E300" s="1"/>
      <c r="F300" s="5"/>
      <c r="G300" s="5"/>
      <c r="H300" s="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6">
        <v>40.0</v>
      </c>
      <c r="B301" s="2" t="str">
        <f>"let l"&amp;$A$298&amp;"=`${l"&amp;$A$272&amp;"("&amp;COLUMN('3'!$G:$G)-2&amp;")||l"&amp;$A$266&amp;"}${l"&amp;$A$296&amp;"}`;"</f>
        <v>let l37=`${l11(5)||l5}${l35}`;</v>
      </c>
      <c r="C301" s="1"/>
      <c r="D301" s="1"/>
      <c r="E301" s="1"/>
      <c r="F301" s="5"/>
      <c r="G301" s="5"/>
      <c r="H301" s="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6">
        <v>41.0</v>
      </c>
      <c r="B302" s="2" t="str">
        <f>"let l"&amp;$A$299&amp;"=`${l"&amp;$A$272&amp;"("&amp;COLUMN('3'!$H:$H)-2&amp;")||l"&amp;$A$266&amp;"}${l"&amp;$A$297&amp;"}`;"</f>
        <v>let l38=`${l11(6)||l5}${l36}`;</v>
      </c>
      <c r="C302" s="1"/>
      <c r="D302" s="1"/>
      <c r="E302" s="1"/>
      <c r="F302" s="5"/>
      <c r="G302" s="5"/>
      <c r="H302" s="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6">
        <v>42.0</v>
      </c>
      <c r="B303" s="2" t="str">
        <f>"let l"&amp;$A$300&amp;"=l"&amp;$A$262&amp;"[l"&amp;$A$270&amp;"]?'-source':'';"</f>
        <v>let l39=l1[l9]?'-source':'';</v>
      </c>
      <c r="C303" s="1"/>
      <c r="D303" s="1"/>
      <c r="E303" s="1"/>
      <c r="F303" s="5"/>
      <c r="G303" s="5"/>
      <c r="H303" s="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0" customHeight="1">
      <c r="A304" s="6">
        <v>43.0</v>
      </c>
      <c r="B304" s="2" t="str">
        <f>"let l"&amp;$A$301&amp;"=l"&amp;$A$275&amp;"("&amp;COLUMN('3'!$AM:$AM)-2&amp;")?'circle':'';"</f>
        <v>let l40=l14(37)?'circle':'';</v>
      </c>
      <c r="C304" s="1"/>
      <c r="D304" s="1"/>
      <c r="E304" s="1"/>
      <c r="F304" s="5"/>
      <c r="G304" s="5"/>
      <c r="H304" s="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6">
        <v>44.0</v>
      </c>
      <c r="B305" s="2" t="str">
        <f>"let l"&amp;$A$302&amp;"=!l"&amp;$A$272&amp;"("&amp;COLUMN('3'!$AM:$AM)-2&amp;")?'to':'at';"</f>
        <v>let l41=!l11(37)?'to':'at';</v>
      </c>
      <c r="C305" s="1"/>
      <c r="D305" s="1"/>
      <c r="E305" s="1"/>
      <c r="F305" s="5"/>
      <c r="G305" s="5"/>
      <c r="H305" s="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6">
        <v>45.0</v>
      </c>
      <c r="B306" s="2" t="str">
        <f>"let l"&amp;$A$303&amp;"=`${l"&amp;$A$293&amp;"[0]}-image`;"</f>
        <v>let l42=`${l32[0]}-image`;</v>
      </c>
      <c r="C306" s="1"/>
      <c r="D306" s="1"/>
      <c r="E306" s="1"/>
      <c r="F306" s="5"/>
      <c r="G306" s="5"/>
      <c r="H306" s="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0" customHeight="1">
      <c r="A307" s="6">
        <v>46.0</v>
      </c>
      <c r="B307" s="2" t="str">
        <f>"let l"&amp;$A$304&amp;"='mix-blend-mode';"</f>
        <v>let l43='mix-blend-mode';</v>
      </c>
      <c r="C307" s="1"/>
      <c r="D307" s="1"/>
      <c r="E307" s="1"/>
      <c r="F307" s="5"/>
      <c r="G307" s="5"/>
      <c r="H307" s="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6">
        <v>47.0</v>
      </c>
      <c r="B308" s="2" t="str">
        <f>"let l"&amp;$A$305&amp;"='border-image';"</f>
        <v>let l44='border-image';</v>
      </c>
      <c r="C308" s="1"/>
      <c r="D308" s="1"/>
      <c r="E308" s="1"/>
      <c r="F308" s="5"/>
      <c r="G308" s="5"/>
      <c r="H308" s="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6">
        <v>48.0</v>
      </c>
      <c r="B309" s="2" t="str">
        <f>"let l"&amp;$A$306&amp;"='drop-shadow';"</f>
        <v>let l45='drop-shadow';</v>
      </c>
      <c r="C309" s="1"/>
      <c r="D309" s="1"/>
      <c r="E309" s="2"/>
      <c r="F309" s="5"/>
      <c r="G309" s="5"/>
      <c r="H309" s="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6">
        <v>49.0</v>
      </c>
      <c r="B310" s="2" t="str">
        <f>"let l"&amp;$A$307&amp;"=`${l"&amp;$A$279&amp;"}${l"&amp;$A$296&amp;"}`;"</f>
        <v>let l46=`${l18}${l35}`;</v>
      </c>
      <c r="C310" s="1"/>
      <c r="D310" s="1"/>
      <c r="E310" s="1"/>
      <c r="F310" s="5"/>
      <c r="G310" s="5"/>
      <c r="H310" s="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6">
        <v>50.0</v>
      </c>
      <c r="B311" s="2" t="str">
        <f>"let l"&amp;$A$308&amp;"=`${l"&amp;$A$280&amp;"}${l"&amp;$A$297&amp;"}`;"</f>
        <v>let l47=`${l19}${l36}`;</v>
      </c>
      <c r="C311" s="1"/>
      <c r="D311" s="1"/>
      <c r="E311" s="1"/>
      <c r="F311" s="5"/>
      <c r="G311" s="5"/>
      <c r="H311" s="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0" customHeight="1">
      <c r="A312" s="6">
        <v>51.0</v>
      </c>
      <c r="B312" s="2" t="str">
        <f>"let l"&amp;$A$309&amp;"=`${l"&amp;$A$291&amp;"}${l"&amp;$A$296&amp;"}`;"</f>
        <v>let l48=`${l30}${l35}`;</v>
      </c>
      <c r="C312" s="1"/>
      <c r="D312" s="1"/>
      <c r="E312" s="1"/>
      <c r="F312" s="5"/>
      <c r="G312" s="5"/>
      <c r="H312" s="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0" customHeight="1">
      <c r="A313" s="6">
        <v>52.0</v>
      </c>
      <c r="B313" s="2" t="str">
        <f>"let l"&amp;$A$310&amp;"=`${l"&amp;$A$292&amp;"}${l"&amp;$A$297&amp;"}`;"</f>
        <v>let l49=`${l31}${l36}`;</v>
      </c>
      <c r="C313" s="1"/>
      <c r="D313" s="1"/>
      <c r="E313" s="1"/>
      <c r="F313" s="5"/>
      <c r="G313" s="5"/>
      <c r="H313" s="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0" customHeight="1">
      <c r="A314" s="6">
        <v>53.0</v>
      </c>
      <c r="B314" s="2" t="str">
        <f>"let l"&amp;$A$311&amp;"=l"&amp;$A$272&amp;"("&amp;COLUMN('3'!$AG:$AG)-2&amp;")/100;"</f>
        <v>let l50=l11(31)/100;</v>
      </c>
      <c r="C314" s="1"/>
      <c r="D314" s="1"/>
      <c r="E314" s="1"/>
      <c r="F314" s="5"/>
      <c r="G314" s="5"/>
      <c r="H314" s="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0" customHeight="1">
      <c r="A315" s="6">
        <v>54.0</v>
      </c>
      <c r="B315" s="2" t="str">
        <f>"let l"&amp;$A$312&amp;"=l"&amp;$A$272&amp;"("&amp;COLUMN('3'!$AH:$AH)-2&amp;")/100;"</f>
        <v>let l51=l11(32)/100;</v>
      </c>
      <c r="C315" s="1"/>
      <c r="D315" s="1"/>
      <c r="E315" s="1"/>
      <c r="F315" s="5"/>
      <c r="G315" s="5"/>
      <c r="H315" s="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0" customHeight="1">
      <c r="A316" s="6">
        <v>55.0</v>
      </c>
      <c r="B316" s="2" t="str">
        <f>"let l"&amp;$A$313&amp;"=l"&amp;$A$272&amp;"("&amp;COLUMN('3'!$AF:$AF)-2&amp;")/100;"</f>
        <v>let l52=l11(30)/100;</v>
      </c>
      <c r="C316" s="1"/>
      <c r="D316" s="1"/>
      <c r="E316" s="1"/>
      <c r="F316" s="5"/>
      <c r="G316" s="5"/>
      <c r="H316" s="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0" customHeight="1">
      <c r="A317" s="6">
        <v>56.0</v>
      </c>
      <c r="B317" s="2" t="str">
        <f>"let l"&amp;$A$314&amp;"=l"&amp;$A$272&amp;"("&amp;COLUMN('3'!$AE:$AE)-2&amp;")/100;"</f>
        <v>let l53=l11(29)/100;</v>
      </c>
      <c r="C317" s="1"/>
      <c r="D317" s="1"/>
      <c r="E317" s="1"/>
      <c r="F317" s="5"/>
      <c r="G317" s="5"/>
      <c r="H317" s="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0" customHeight="1">
      <c r="A318" s="6">
        <v>57.0</v>
      </c>
      <c r="B318" s="2" t="str">
        <f>"let l"&amp;$A$315&amp;"=l"&amp;$A$272&amp;"("&amp;COLUMN('3'!$AJ:$AJ)-2&amp;")/100;"</f>
        <v>let l54=l11(34)/100;</v>
      </c>
      <c r="C318" s="1"/>
      <c r="D318" s="1"/>
      <c r="E318" s="1"/>
      <c r="F318" s="5"/>
      <c r="G318" s="5"/>
      <c r="H318" s="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0" customHeight="1">
      <c r="A319" s="6">
        <v>58.0</v>
      </c>
      <c r="B319" s="2" t="str">
        <f>"let l"&amp;$A$316&amp;"=l"&amp;$A$272&amp;"("&amp;COLUMN('3'!$AI:$AI)-2&amp;")/100;"</f>
        <v>let l55=l11(33)/100;</v>
      </c>
      <c r="C319" s="1"/>
      <c r="D319" s="1"/>
      <c r="E319" s="1"/>
      <c r="F319" s="5"/>
      <c r="G319" s="5"/>
      <c r="H319" s="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0" customHeight="1">
      <c r="A320" s="6">
        <v>59.0</v>
      </c>
      <c r="B320" s="2" t="str">
        <f>"let l"&amp;$A$317&amp;"=l"&amp;$A$290&amp;"||l"&amp;$A$272&amp;"("&amp;COLUMN('3'!$D:$D)-2&amp;");"</f>
        <v>let l56=l29||l11(2);</v>
      </c>
      <c r="C320" s="1"/>
      <c r="D320" s="1"/>
      <c r="E320" s="1"/>
      <c r="F320" s="5"/>
      <c r="G320" s="5"/>
      <c r="H320" s="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0" customHeight="1">
      <c r="A321" s="6">
        <v>60.0</v>
      </c>
      <c r="B321" s="2" t="str">
        <f>"let l"&amp;$A$318&amp;"=l"&amp;$A$263&amp;"[l"&amp;$A$272&amp;"("&amp;COLUMN('3'!$W:$W)-2&amp;")];"</f>
        <v>let l57=l2[l11(21)];</v>
      </c>
      <c r="C321" s="1"/>
      <c r="D321" s="1"/>
      <c r="E321" s="1"/>
      <c r="F321" s="5"/>
      <c r="G321" s="5"/>
      <c r="H321" s="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0" customHeight="1">
      <c r="A322" s="6">
        <v>61.0</v>
      </c>
      <c r="B322" s="2" t="str">
        <f>"let l"&amp;$A$319&amp;"=l"&amp;$A$264&amp;"[l"&amp;$A$272&amp;"("&amp;COLUMN('3'!$X:$X)-2&amp;")];"</f>
        <v>let l58=l3[l11(22)];</v>
      </c>
      <c r="C322" s="1"/>
      <c r="D322" s="1"/>
      <c r="E322" s="1"/>
      <c r="F322" s="5"/>
      <c r="G322" s="5"/>
      <c r="H322" s="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0" customHeight="1">
      <c r="A323" s="6">
        <v>62.0</v>
      </c>
      <c r="B323" s="2" t="str">
        <f>"let l"&amp;$A$320&amp;"=l"&amp;$A$262&amp;"[l"&amp;$A$270&amp;"]?1:0;"</f>
        <v>let l59=l1[l9]?1:0;</v>
      </c>
      <c r="C323" s="1"/>
      <c r="D323" s="1"/>
      <c r="E323" s="1"/>
      <c r="F323" s="5"/>
      <c r="G323" s="5"/>
      <c r="H323" s="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0" customHeight="1">
      <c r="A324" s="6">
        <v>63.0</v>
      </c>
      <c r="B324" s="2" t="str">
        <f>"let l"&amp;$A$321&amp;"=l"&amp;$A$293&amp;"[l"&amp;$A$320&amp;"||0];"</f>
        <v>let l60=l32[l59||0];</v>
      </c>
      <c r="C324" s="1"/>
      <c r="D324" s="1"/>
      <c r="E324" s="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1" t="s">
        <v>0</v>
      </c>
      <c r="B325" s="2" t="str">
        <f>"let l"&amp;$A$322&amp;"='isolation';"</f>
        <v>let l61='isolation';</v>
      </c>
      <c r="C325" s="1"/>
      <c r="D325" s="1"/>
      <c r="E325" s="1"/>
      <c r="F325" s="5"/>
      <c r="G325" s="5"/>
      <c r="H325" s="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0" customHeight="1">
      <c r="A326" s="1"/>
      <c r="B326" s="2" t="str">
        <f>"let l"&amp;$A$323&amp;"=`${l"&amp;$A$321&amp;"||0}-"</f>
        <v>let l62=`${l60||0}-</v>
      </c>
      <c r="C326" s="1"/>
      <c r="D326" s="1"/>
      <c r="E326" s="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B327" s="2" t="str">
        <f>"image${l"&amp;$A$300&amp;"}:${l"&amp;$A$277&amp;"("&amp;COLUMN('3'!$AM:$AM)-2&amp;")?"</f>
        <v>image${l39}:${l16(37)?</v>
      </c>
      <c r="C327" s="1"/>
      <c r="D327" s="3"/>
      <c r="E327" s="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B328" s="2" t="str">
        <f>"'conic':`${l"&amp;$A$286&amp;"?'radial':"</f>
        <v>'conic':`${l25?'radial':</v>
      </c>
      <c r="C328" s="1"/>
      <c r="D328" s="3"/>
      <c r="E328" s="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B329" s="2" t="str">
        <f>"'linear'}`}-gradient("</f>
        <v>'linear'}`}-gradient(</v>
      </c>
      <c r="C329" s="1"/>
      <c r="D329" s="3"/>
      <c r="E329" s="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B330" s="2" t="str">
        <f>"${!l"&amp;$A$275&amp;"("&amp;COLUMN('3'!$AM:$AM)-2&amp;")?'':`${l"&amp;$A$301&amp;"}"</f>
        <v>${!l14(37)?'':`${l40}</v>
      </c>
      <c r="C330" s="1"/>
      <c r="D330" s="1"/>
      <c r="E330" s="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B331" s="2" t="str">
        <f>"${!l"&amp;$A$272&amp;"("&amp;COLUMN('3'!$AL:$AL)-2&amp;")?',':' '}`}"</f>
        <v>${!l11(36)?',':' '}`}</v>
      </c>
      <c r="C331" s="1"/>
      <c r="D331" s="1"/>
      <c r="E331" s="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B332" s="2" t="str">
        <f>"${!l"&amp;$A$272&amp;"("&amp;COLUMN('3'!$AL:$AL)-2&amp;")?'':`${l"&amp;$A$302&amp;"} "</f>
        <v>${!l11(36)?'':`${l41} </v>
      </c>
      <c r="C332" s="1"/>
      <c r="D332" s="1"/>
      <c r="E332" s="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B333" s="2" t="str">
        <f>"${l"&amp;$A$265&amp;"[l"&amp;$A$272&amp;"("&amp;COLUMN('3'!$AL:$AL)-2&amp;")]},`}`;"</f>
        <v>${l4[l11(36)]},`}`;</v>
      </c>
      <c r="C333" s="1"/>
      <c r="D333" s="1"/>
      <c r="E333" s="1"/>
      <c r="F333" s="5"/>
      <c r="G333" s="5"/>
      <c r="H333" s="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0" customHeight="1">
      <c r="B334" s="2" t="str">
        <f>"let l"&amp;$A$324&amp;"=i==0?'':'#';"</f>
        <v>let l63=i==0?'':'#';</v>
      </c>
      <c r="C334" s="1"/>
      <c r="D334" s="1"/>
      <c r="E334" s="1"/>
      <c r="F334" s="5"/>
      <c r="G334" s="5"/>
      <c r="H334" s="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0" customHeight="1">
      <c r="B335" s="2" t="str">
        <f>"h[2]+=`${l"&amp;$A$324&amp;"}${h"&amp;$A$42&amp;"[i]}{"</f>
        <v>h[2]+=`${l63}${h19[i]}{</v>
      </c>
      <c r="C335" s="1"/>
      <c r="D335" s="1"/>
      <c r="E335" s="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B336" s="2" t="str">
        <f>"${!l"&amp;$A$272&amp;"("&amp;COLUMN('3'!$W:$W)-2&amp;")?'':`${l"&amp;$A$318&amp;"};`}"</f>
        <v>${!l11(21)?'':`${l57};`}</v>
      </c>
      <c r="C336" s="1"/>
      <c r="D336" s="1"/>
      <c r="E336" s="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B337" s="2" t="str">
        <f>"${!l"&amp;$A$272&amp;"("&amp;COLUMN('3'!$X:$X)-2&amp;")?'':`${l"&amp;$A$319&amp;"};`}"</f>
        <v>${!l11(22)?'':`${l58};`}</v>
      </c>
      <c r="C337" s="1" t="s">
        <v>1</v>
      </c>
      <c r="D337" s="1"/>
      <c r="E337" s="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B338" s="2" t="str">
        <f>"${!l"&amp;$A$272&amp;"("&amp;COLUMN('3'!$Y:$Y)-2&amp;")?'':`${l"&amp;$A$304&amp;"}:${l"&amp;$A$287&amp;"};`}"</f>
        <v>${!l11(23)?'':`${l43}:${l26};`}</v>
      </c>
      <c r="C338" s="1"/>
      <c r="D338" s="1"/>
      <c r="E338" s="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B339" s="2" t="str">
        <f>"${!l"&amp;$A$272&amp;"("&amp;COLUMN('3'!$Y:$Y)-2&amp;")?'':`${l"&amp;$A$294&amp;"}:${l"&amp;$A$287&amp;"};`}"</f>
        <v>${!l11(23)?'':`${l33}:${l26};`}</v>
      </c>
      <c r="C339" s="1"/>
      <c r="D339" s="1"/>
      <c r="E339" s="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B340" s="2" t="str">
        <f>"${!l"&amp;$A$274&amp;"("&amp;COLUMN('3'!$Z:$Z)-2&amp;")?'':`${l"&amp;$A$322&amp;"}:isolate;`}"</f>
        <v>${!l13(24)?'':`${l61}:isolate;`}</v>
      </c>
      <c r="C340" s="1" t="s">
        <v>1</v>
      </c>
      <c r="D340" s="1"/>
      <c r="E340" s="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B341" s="2" t="str">
        <f>"${!l"&amp;$A$283&amp;"(["&amp;COLUMN('3'!$AB:$AW)-2&amp;","&amp;COLUMN('3'!$AK:$AK)-COLUMN('3'!$AB:$AB)&amp;"])?'':`${!l"&amp;$A$274&amp;"("&amp;COLUMN('3'!$AA:$AA)-2&amp;")?'':"</f>
        <v>${!l22([26,9])?'':`${!l13(25)?'':</v>
      </c>
      <c r="C341" s="1" t="s">
        <v>1</v>
      </c>
      <c r="D341" s="1"/>
      <c r="E341" s="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B342" s="2" t="str">
        <f>"'backdrop-'}filter:${!l"&amp;$A$283&amp;"(["&amp;COLUMN('3'!$AB:$AB)-2&amp;","&amp;COLUMN('3'!$AD:$AD)-COLUMN('3'!$AB:$AB)&amp;"])?'':`"</f>
        <v>'backdrop-'}filter:${!l22([26,2])?'':`</v>
      </c>
      <c r="C342" s="1"/>
      <c r="D342" s="1"/>
      <c r="E342" s="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B343" s="2" t="str">
        <f>"${l"&amp;$A$306&amp;"}(${l"&amp;$A$273&amp;"("&amp;COLUMN('3'!$AC:$AC)-2&amp;")?l"&amp;$A$295&amp;":`${l"&amp;$A$272&amp;"("&amp;COLUMN('3'!$AC:$AC)-2&amp;")}px`} "</f>
        <v>${l45}(${l12(27)?l34:`${l11(27)}px`} </v>
      </c>
      <c r="C343" s="1"/>
      <c r="D343" s="1"/>
      <c r="E343" s="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B344" s="2" t="str">
        <f>"${l"&amp;$A$273&amp;"("&amp;COLUMN('3'!$AD:$AD)-2&amp;")||0?l"&amp;$A$295&amp;":`${''}${l"&amp;$A$272&amp;"("&amp;COLUMN('3'!$AD:$AD)-2&amp;")}px`} "</f>
        <v>${l12(28)||0?l34:`${''}${l11(28)}px`} </v>
      </c>
      <c r="C344" s="1"/>
      <c r="D344" s="1"/>
      <c r="E344" s="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B345" s="2" t="str">
        <f>"${l"&amp;$A$272&amp;"("&amp;COLUMN('3'!$AB:$AB)-2&amp;")||0}px ${l"&amp;$A$289&amp;"||l"&amp;$A$317&amp;"||'Black'})`}"</f>
        <v>${l11(26)||0}px ${l28||l56||'Black'})`}</v>
      </c>
      <c r="C345" s="1"/>
      <c r="D345" s="1"/>
      <c r="E345" s="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B346" s="2" t="str">
        <f>"${l"&amp;$A$273&amp;"("&amp;COLUMN('3'!$AE:$AE)-2&amp;")?'':` brightness(${k"&amp;$A$10&amp;"(1+l"&amp;$A$314&amp;")})`}"</f>
        <v>${l12(29)?'':` brightness(${k5(1+l53)})`}</v>
      </c>
      <c r="C346" s="1" t="s">
        <v>1</v>
      </c>
      <c r="D346" s="1"/>
      <c r="E346" s="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B347" s="2" t="str">
        <f>"${l"&amp;$A$273&amp;"("&amp;COLUMN('3'!$AF:$AF)-2&amp;")?'':` opacity(${k"&amp;$A$10&amp;"(1-l"&amp;$A$313&amp;")})`}"</f>
        <v>${l12(30)?'':` opacity(${k5(1-l52)})`}</v>
      </c>
      <c r="C347" s="1" t="s">
        <v>1</v>
      </c>
      <c r="D347" s="1"/>
      <c r="E347" s="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B348" s="2" t="str">
        <f>"${l"&amp;$A$273&amp;"("&amp;COLUMN('3'!$AG:$AG)-2&amp;")?'':` sepia(${k"&amp;$A$10&amp;"(l"&amp;$A$311&amp;"||0)})`}"</f>
        <v>${l12(31)?'':` sepia(${k5(l50||0)})`}</v>
      </c>
      <c r="C348" s="1" t="s">
        <v>1</v>
      </c>
      <c r="D348" s="1"/>
      <c r="E348" s="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B349" s="2" t="str">
        <f>"${l"&amp;$A$273&amp;"("&amp;COLUMN('3'!$AH:$AH)-2&amp;")?'':` grayscale(${k"&amp;$A$10&amp;"(l"&amp;$A$312&amp;")})`}"</f>
        <v>${l12(32)?'':` grayscale(${k5(l51)})`}</v>
      </c>
      <c r="C349" s="1" t="s">
        <v>1</v>
      </c>
      <c r="D349" s="1"/>
      <c r="E349" s="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B350" s="2" t="str">
        <f>"${l"&amp;$A$273&amp;"("&amp;COLUMN('3'!$AI:$AI)-2&amp;")?'':` saturate(${k"&amp;$A$10&amp;"(1+l"&amp;$A$316&amp;")})`}"</f>
        <v>${l12(33)?'':` saturate(${k5(1+l55)})`}</v>
      </c>
      <c r="C350" s="1" t="s">
        <v>1</v>
      </c>
      <c r="D350" s="1"/>
      <c r="E350" s="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B351" s="2" t="str">
        <f>"${l"&amp;$A$273&amp;"("&amp;COLUMN('3'!$AJ:$AJ)-2&amp;")||0?'':` contrast(${k"&amp;$A$10&amp;"(1+l"&amp;$A$315&amp;")})`}"</f>
        <v>${l12(34)||0?'':` contrast(${k5(1+l54)})`}</v>
      </c>
      <c r="C351" s="1" t="s">
        <v>1</v>
      </c>
      <c r="D351" s="1"/>
      <c r="E351" s="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B352" s="2" t="str">
        <f>"${l"&amp;$A$273&amp;"("&amp;COLUMN('3'!$AK:$AK)-2&amp;")?'':` hue-rotate(${l"&amp;$A$272&amp;"("&amp;COLUMN('3'!$AK:$AK)-2&amp;")}deg)`};`}"</f>
        <v>${l12(35)?'':` hue-rotate(${l11(35)}deg)`};`}</v>
      </c>
      <c r="C352" s="1"/>
      <c r="D352" s="1"/>
      <c r="E352" s="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B353" s="2" t="str">
        <f>"${!l"&amp;$A$272&amp;"("&amp;COLUMN('3'!$E:$E)-2&amp;")||0?'':`border-color:${l"&amp;$A$272&amp;"("&amp;COLUMN('3'!$E:$E)-2&amp;")};`}"</f>
        <v>${!l11(3)||0?'':`border-color:${l11(3)};`}</v>
      </c>
      <c r="C353" s="1" t="s">
        <v>1</v>
      </c>
      <c r="D353" s="1"/>
      <c r="E353" s="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B354" s="2" t="str">
        <f>"${!l"&amp;$A$272&amp;"("&amp;COLUMN('3'!$L:$L)-2&amp;")?'':`border-color:${l"&amp;$A$282&amp;"("&amp;COLUMN('3'!$L:$L)-2&amp;")};`}"</f>
        <v>${!l11(10)?'':`border-color:${l21(10)};`}</v>
      </c>
      <c r="C354" s="1" t="s">
        <v>1</v>
      </c>
      <c r="D354" s="1"/>
      <c r="E354" s="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B355" s="2" t="str">
        <f>"${!l"&amp;$A$272&amp;"("&amp;COLUMN('3'!$S:$S)-2&amp;")?'':`border-color:#${l"&amp;$A$272&amp;"("&amp;COLUMN('3'!$S:$S)-2&amp;")};`}"</f>
        <v>${!l11(17)?'':`border-color:#${l11(17)};`}</v>
      </c>
      <c r="C355" s="1" t="s">
        <v>1</v>
      </c>
      <c r="D355" s="1"/>
      <c r="E355" s="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B356" s="2" t="str">
        <f>"${!l"&amp;$A$272&amp;"("&amp;COLUMN('3'!$F:$F)-2&amp;")||0?'':`outline-color:${l"&amp;$A$272&amp;"("&amp;COLUMN('3'!$F:$F)-2&amp;")};`}"</f>
        <v>${!l11(4)||0?'':`outline-color:${l11(4)};`}</v>
      </c>
      <c r="C356" s="1" t="s">
        <v>1</v>
      </c>
      <c r="D356" s="1"/>
      <c r="E356" s="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B357" s="2" t="str">
        <f>"${!l"&amp;$A$272&amp;"("&amp;COLUMN('3'!$M:$M)-2&amp;")?'':`outline-color:${l"&amp;$A$282&amp;"("&amp;COLUMN('3'!$M:$M)-2&amp;")};`}"</f>
        <v>${!l11(11)?'':`outline-color:${l21(11)};`}</v>
      </c>
      <c r="C357" s="1" t="s">
        <v>1</v>
      </c>
      <c r="D357" s="1"/>
      <c r="E357" s="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B358" s="2" t="str">
        <f>"${!l"&amp;$A$272&amp;"("&amp;COLUMN('3'!$T:$T)-2&amp;")?'':`outline-color:#${l"&amp;$A$272&amp;"("&amp;COLUMN('3'!$T:$T)-2&amp;")};`}"</f>
        <v>${!l11(18)?'':`outline-color:#${l11(18)};`}</v>
      </c>
      <c r="C358" s="1"/>
      <c r="D358" s="1"/>
      <c r="E358" s="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B359" s="2" t="str">
        <f>"${!l"&amp;$A$272&amp;"("&amp;COLUMN('3'!$B:$B)-2&amp;")||0?'':`background-color:${l"&amp;$A$272&amp;"("&amp;COLUMN('3'!$B:$B)-2&amp;")};`}"</f>
        <v>${!l11(0)||0?'':`background-color:${l11(0)};`}</v>
      </c>
      <c r="C359" s="1"/>
      <c r="D359" s="1"/>
      <c r="E359" s="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B360" s="2" t="str">
        <f>"${!l"&amp;$A$272&amp;"("&amp;COLUMN('3'!$I:$I)-2&amp;")||0?'':`background-color:${l"&amp;$A$282&amp;"("&amp;COLUMN('3'!$I:$I)-2&amp;")};`}"</f>
        <v>${!l11(7)||0?'':`background-color:${l21(7)};`}</v>
      </c>
      <c r="C360" s="1"/>
      <c r="D360" s="1"/>
      <c r="E360" s="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B361" s="2" t="str">
        <f>"${!l"&amp;$A$272&amp;"("&amp;COLUMN('3'!$P:$P)-2&amp;")?'':`background-color:#${l"&amp;$A$272&amp;"("&amp;COLUMN('3'!$P:$P)-2&amp;")};`}"</f>
        <v>${!l11(14)?'':`background-color:#${l11(14)};`}</v>
      </c>
      <c r="C361" s="1" t="s">
        <v>1</v>
      </c>
      <c r="D361" s="1"/>
      <c r="E361" s="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B362" s="2" t="str">
        <f>"${!l"&amp;$A$270&amp;"||0?'':`border-image-slice:${l"&amp;$A$262&amp;"[l"&amp;$A$270&amp;"]};`}"</f>
        <v>${!l9||0?'':`border-image-slice:${l1[l9]};`}</v>
      </c>
      <c r="C362" s="1"/>
      <c r="D362" s="1"/>
      <c r="E362" s="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B363" s="2" t="str">
        <f>"${!l"&amp;$A$270&amp;"||l"&amp;$A$271&amp;"&lt;0||0?'':`${l"&amp;$A$305&amp;"}-outset:${l"&amp;$A$271&amp;"||0}px;`}"</f>
        <v>${!l9||l10&lt;0||0?'':`${l44}-outset:${l10||0}px;`}</v>
      </c>
      <c r="C363" s="1"/>
      <c r="D363" s="1"/>
      <c r="E363" s="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B364" s="2" t="str">
        <f>"${!l"&amp;$A$278&amp;"("&amp;COLUMN('3'!$G:$G)-2&amp;")||!l"&amp;$A$278&amp;"("&amp;COLUMN('3'!$H:$H)-2&amp;")?'':`${l"&amp;$A$321&amp;"}-image${l"&amp;$A$300&amp;"}:none;`}"</f>
        <v>${!l17(5)||!l17(6)?'':`${l60}-image${l39}:none;`}</v>
      </c>
      <c r="C364" s="1"/>
      <c r="D364" s="1"/>
      <c r="E364" s="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B365" s="2" t="str">
        <f>"${!l"&amp;$A$278&amp;"("&amp;COLUMN('3'!$N:$N)-2&amp;")||!l"&amp;$A$278&amp;"("&amp;COLUMN('3'!$O:$O)-2&amp;")?'':`${l"&amp;$A$321&amp;"}-image${l"&amp;$A$300&amp;"}:none;`}"</f>
        <v>${!l17(12)||!l17(13)?'':`${l60}-image${l39}:none;`}</v>
      </c>
      <c r="C365" s="1"/>
      <c r="D365" s="1"/>
      <c r="E365" s="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B366" s="2" t="str">
        <f>"${!l"&amp;$A$278&amp;"("&amp;COLUMN('3'!$U:$U)-2&amp;")||!l"&amp;$A$278&amp;"("&amp;COLUMN('3'!$V:$V)-2&amp;")?'':`${l"&amp;$A$321&amp;"}-image${l"&amp;$A$300&amp;"}:none;`}"</f>
        <v>${!l17(19)||!l17(20)?'':`${l60}-image${l39}:none;`}</v>
      </c>
      <c r="C366" s="1"/>
      <c r="D366" s="1"/>
      <c r="E366" s="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B367" s="2" t="str">
        <f>"${l"&amp;$A$285&amp;"("&amp;COLUMN('3'!$G:$G)-2&amp;")||!l"&amp;$A$284&amp;"(["&amp;COLUMN('3'!$G:$G)-2&amp;","&amp;COLUMN('3'!$H:$H)-2&amp;"])||0?'':`${l"&amp;$A$323&amp;"}${l"&amp;$A$298&amp;"},${l"&amp;$A$299&amp;"});`}"</f>
        <v>${l24(5)||!l23([5,6])||0?'':`${l62}${l37},${l38});`}</v>
      </c>
      <c r="C367" s="1"/>
      <c r="D367" s="1"/>
      <c r="E367" s="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0" customHeight="1">
      <c r="B368" s="2" t="str">
        <f>"${l"&amp;$A$285&amp;"("&amp;COLUMN('3'!$N:$N)-2&amp;")||!l"&amp;$A$284&amp;"(["&amp;COLUMN('3'!$N:$N)-2&amp;","&amp;COLUMN('3'!$O:$O)-2&amp;"])?'':`${l"&amp;$A$323&amp;"}${l"&amp;$A$307&amp;"},${l"&amp;$A$308&amp;"});`}"</f>
        <v>${l24(12)||!l23([12,13])?'':`${l62}${l46},${l47});`}</v>
      </c>
      <c r="C368" s="1"/>
      <c r="D368" s="1"/>
      <c r="E368" s="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0" customHeight="1">
      <c r="B369" s="2" t="str">
        <f>"${l"&amp;$A$285&amp;"("&amp;COLUMN('3'!$U:$U)-2&amp;")||!l"&amp;$A$284&amp;"(["&amp;COLUMN('3'!$U:$U)-2&amp;","&amp;COLUMN('3'!$V:$V)-2&amp;"])?'':`${l"&amp;$A$323&amp;"}${l"&amp;$A$309&amp;"},${l"&amp;$A$310&amp;"});`}"</f>
        <v>${l24(19)||!l23([19,20])?'':`${l62}${l48},${l49});`}</v>
      </c>
      <c r="C369" s="1" t="s">
        <v>1</v>
      </c>
      <c r="D369" s="1"/>
      <c r="E369" s="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0" customHeight="1">
      <c r="B370" s="2" t="str">
        <f>"${!l"&amp;$A$272&amp;"("&amp;COLUMN('3'!$AO:$AO)-2&amp;")?'':`${l"&amp;$A$305&amp;"}-width:${l"&amp;$A$269&amp;"[0]}px ${l"&amp;$A$269&amp;"[1]}px;`}"</f>
        <v>${!l11(39)?'':`${l44}-width:${l8[0]}px ${l8[1]}px;`}</v>
      </c>
      <c r="C370" s="1"/>
      <c r="D370" s="1"/>
      <c r="E370" s="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0" customHeight="1">
      <c r="B371" s="2" t="str">
        <f>"${!l"&amp;$A$284&amp;"(["&amp;COLUMN('3'!$G:$G)-2&amp;","&amp;COLUMN('3'!$H:$H)-2&amp;","&amp;COLUMN('3'!$N:$N)-2&amp;","&amp;COLUMN('3'!$O:$O)-2&amp;","&amp;COLUMN('3'!$U:$U)-2&amp;","&amp;COLUMN('3'!$V:$V)-2&amp;"])||!l"&amp;$A$270&amp;"?'':`${l"&amp;$A$303&amp;"}:none;`}}`;}}};"</f>
        <v>${!l23([5,6,12,13,19,20])||!l9?'':`${l42}:none;`}}`;}}};</v>
      </c>
      <c r="C371" s="1"/>
      <c r="D371" s="1"/>
      <c r="E371" s="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0" customHeight="1">
      <c r="A372" s="12"/>
      <c r="B372" s="13" t="str">
        <f>""</f>
        <v/>
      </c>
      <c r="C372" s="1"/>
      <c r="D372" s="1"/>
      <c r="E372" s="1"/>
      <c r="F372" s="3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0" customHeight="1">
      <c r="A373" s="1"/>
      <c r="B373" s="2"/>
      <c r="C373" s="1"/>
      <c r="D373" s="2"/>
      <c r="E373" s="2"/>
      <c r="F373" s="2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0" customHeight="1">
      <c r="A374" s="1">
        <v>0.0</v>
      </c>
      <c r="B374" s="2" t="str">
        <f>"if(l[0]&gt;=0){"</f>
        <v>if(l[0]&gt;=0){</v>
      </c>
      <c r="C374" s="2"/>
      <c r="D374" s="1"/>
      <c r="E374" s="2"/>
      <c r="F374" s="2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0" customHeight="1">
      <c r="A375" s="1">
        <v>1.0</v>
      </c>
      <c r="B375" s="2" t="str">
        <f>"let l"&amp;$A$374&amp;"=Object();"</f>
        <v>let l0=Object();</v>
      </c>
      <c r="C375" s="2"/>
      <c r="D375" s="1"/>
      <c r="E375" s="2"/>
      <c r="F375" s="2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0" customHeight="1">
      <c r="A376" s="1">
        <v>2.0</v>
      </c>
      <c r="B376" s="3" t="str">
        <f>"let l"&amp;$A$375&amp;"=["&amp;ROW('1'!$2:$2)-2&amp;","&amp;ROW('1'!$21:$21)-2&amp;","&amp;ROW('1'!$39:$39)-2&amp;"];"</f>
        <v>let l1=[0,19,37];</v>
      </c>
      <c r="C376" s="1"/>
      <c r="D376" s="1"/>
      <c r="E376" s="1"/>
      <c r="F376" s="3"/>
      <c r="G376" s="18"/>
      <c r="H376" s="1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0" customHeight="1">
      <c r="A377" s="6">
        <v>3.0</v>
      </c>
      <c r="B377" s="3" t="str">
        <f>"let l"&amp;$A$376&amp;"=[0||"&amp;ROW('1'!$19:$19)-2&amp;","&amp;ROW('1'!$37:$37)-2&amp;","&amp;ROW('1'!$55:$55)-2&amp;"];"</f>
        <v>let l2=[0||17,35,53];</v>
      </c>
      <c r="C377" s="1"/>
      <c r="D377" s="1"/>
      <c r="E377" s="1"/>
      <c r="F377" s="3"/>
      <c r="G377" s="18"/>
      <c r="H377" s="1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0" customHeight="1">
      <c r="A378" s="6">
        <v>4.0</v>
      </c>
      <c r="B378" s="3" t="str">
        <f>"let l"&amp;$A$377&amp;"=_=&gt;['5',..._];"</f>
        <v>let l3=_=&gt;['5',..._];</v>
      </c>
      <c r="C378" s="1"/>
      <c r="D378" s="1"/>
      <c r="E378" s="1"/>
      <c r="F378" s="3"/>
      <c r="G378" s="18"/>
      <c r="H378" s="1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0" customHeight="1">
      <c r="A379" s="6">
        <v>5.0</v>
      </c>
      <c r="B379" s="3" t="str">
        <f>"let l"&amp;$A$378&amp;"=_=&gt;k"&amp;$A$17&amp;"(l"&amp;$A$377&amp;"(_));"</f>
        <v>let l4=_=&gt;k12(l3(_));</v>
      </c>
      <c r="C379" s="1"/>
      <c r="D379" s="1"/>
      <c r="E379" s="1"/>
      <c r="F379" s="3"/>
      <c r="G379" s="18"/>
      <c r="H379" s="1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0" customHeight="1">
      <c r="A380" s="6">
        <v>6.0</v>
      </c>
      <c r="B380" s="3" t="str">
        <f>"for(let i=0;i&lt;3;i++){"</f>
        <v>for(let i=0;i&lt;3;i++){</v>
      </c>
      <c r="C380" s="1"/>
      <c r="D380" s="1"/>
      <c r="E380" s="1"/>
      <c r="F380" s="3"/>
      <c r="G380" s="18"/>
      <c r="H380" s="1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0" customHeight="1">
      <c r="A381" s="6">
        <v>7.0</v>
      </c>
      <c r="B381" s="3" t="str">
        <f>"let l"&amp;$A$379&amp;"=l"&amp;$A$375&amp;"[i||0];"</f>
        <v>let l5=l1[i||0];</v>
      </c>
      <c r="C381" s="1"/>
      <c r="D381" s="1"/>
      <c r="E381" s="1"/>
      <c r="F381" s="3"/>
      <c r="G381" s="18"/>
      <c r="H381" s="1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0" customHeight="1">
      <c r="A382" s="6">
        <v>8.0</v>
      </c>
      <c r="B382" s="3" t="str">
        <f>"let l"&amp;$A$380&amp;"=l"&amp;$A$376&amp;"[i||0];"</f>
        <v>let l6=l2[i||0];</v>
      </c>
      <c r="C382" s="1"/>
      <c r="D382" s="1"/>
      <c r="E382" s="1"/>
      <c r="F382" s="3"/>
      <c r="G382" s="18"/>
      <c r="H382" s="1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0" customHeight="1">
      <c r="A383" s="6">
        <v>9.0</v>
      </c>
      <c r="B383" s="3" t="str">
        <f>"let l"&amp;$A$381&amp;"=[l"&amp;$A$379&amp;",l"&amp;$A$379&amp;"+1];"</f>
        <v>let l7=[l5,l5+1];</v>
      </c>
      <c r="C383" s="1"/>
      <c r="D383" s="1"/>
      <c r="E383" s="1"/>
      <c r="F383" s="3"/>
      <c r="G383" s="18"/>
      <c r="H383" s="1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0" customHeight="1">
      <c r="A384" s="6">
        <v>10.0</v>
      </c>
      <c r="B384" s="3" t="str">
        <f>"let l"&amp;$A$382&amp;"=[...l"&amp;$A$381&amp;",l"&amp;$A$379&amp;"+2];"</f>
        <v>let l8=[...l7,l5+2];</v>
      </c>
      <c r="C384" s="1"/>
      <c r="D384" s="1"/>
      <c r="E384" s="1"/>
      <c r="F384" s="2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0" customHeight="1">
      <c r="A385" s="6">
        <v>11.0</v>
      </c>
      <c r="B385" s="3" t="str">
        <f>"let l"&amp;$A$383&amp;"=i==0? l"&amp;$A$381&amp;": l"&amp;$A$382&amp;";"</f>
        <v>let l9=i==0? l7: l8;</v>
      </c>
      <c r="C385" s="1"/>
      <c r="D385" s="1"/>
      <c r="E385" s="1"/>
      <c r="F385" s="2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0" customHeight="1">
      <c r="A386" s="6">
        <v>12.0</v>
      </c>
      <c r="B386" s="2" t="str">
        <f>"if(h"&amp;$A$27&amp;"(['1',...l"&amp;$A$383&amp;"])){"</f>
        <v>if(h4(['1',...l9])){</v>
      </c>
      <c r="C386" s="1"/>
      <c r="D386" s="1"/>
      <c r="E386" s="1"/>
      <c r="F386" s="5"/>
      <c r="G386" s="5"/>
      <c r="H386" s="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0" customHeight="1">
      <c r="A387" s="6">
        <v>13.0</v>
      </c>
      <c r="B387" s="3" t="str">
        <f>"for(let i0=0;i0&lt;100;i0++){"</f>
        <v>for(let i0=0;i0&lt;100;i0++){</v>
      </c>
      <c r="C387" s="1"/>
      <c r="D387" s="1"/>
      <c r="E387" s="1"/>
      <c r="F387" s="3"/>
      <c r="G387" s="19"/>
      <c r="H387" s="1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0" customHeight="1">
      <c r="A388" s="6">
        <v>14.0</v>
      </c>
      <c r="B388" s="2" t="str">
        <f>"if(h"&amp;$A$41&amp;"(['1',i0,...l"&amp;$A$383&amp;"])){"</f>
        <v>if(h18(['1',i0,...l9])){</v>
      </c>
      <c r="C388" s="1"/>
      <c r="D388" s="1"/>
      <c r="E388" s="1"/>
      <c r="F388" s="5"/>
      <c r="G388" s="5"/>
      <c r="H388" s="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0" customHeight="1">
      <c r="A389" s="6">
        <v>15.0</v>
      </c>
      <c r="B389" s="3" t="str">
        <f>"let l"&amp;$A$384&amp;"=k"&amp;$A$18&amp;"(['1',i0,l"&amp;$A$380&amp;"]);"</f>
        <v>let l10=k13(['1',i0,l6]);</v>
      </c>
      <c r="C389" s="1"/>
      <c r="D389" s="1"/>
      <c r="E389" s="1"/>
      <c r="F389" s="3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0" customHeight="1">
      <c r="A390" s="6">
        <v>16.0</v>
      </c>
      <c r="B390" s="3" t="str">
        <f>"let l"&amp;$A$385&amp;"=`${l"&amp;$A$384&amp;"||'k'}-${i}`;"</f>
        <v>let l11=`${l10||'k'}-${i}`;</v>
      </c>
      <c r="C390" s="1"/>
      <c r="D390" s="1"/>
      <c r="E390" s="1"/>
      <c r="F390" s="3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0" customHeight="1">
      <c r="A391" s="6">
        <v>17.0</v>
      </c>
      <c r="B391" s="3" t="str">
        <f>"l"&amp;$A$374&amp;"[l"&amp;$A$385&amp;"]??=new Array();"</f>
        <v>l0[l11]??=new Array();</v>
      </c>
      <c r="C391" s="1"/>
      <c r="D391" s="1"/>
      <c r="E391" s="1"/>
      <c r="F391" s="3"/>
      <c r="G391" s="18"/>
      <c r="H391" s="1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0" customHeight="1">
      <c r="A392" s="6">
        <v>18.0</v>
      </c>
      <c r="B392" s="3" t="str">
        <f>"l"&amp;$A$374&amp;"[l"&amp;$A$385&amp;"].push(i0);}}}}"</f>
        <v>l0[l11].push(i0);}}}}</v>
      </c>
      <c r="C392" s="1"/>
      <c r="D392" s="1"/>
      <c r="E392" s="1"/>
      <c r="F392" s="3"/>
      <c r="G392" s="18"/>
      <c r="H392" s="1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0" customHeight="1">
      <c r="A393" s="6">
        <v>19.0</v>
      </c>
      <c r="B393" s="3" t="str">
        <f>"for(let i=0;i&lt;10;i++){"</f>
        <v>for(let i=0;i&lt;10;i++){</v>
      </c>
      <c r="C393" s="1"/>
      <c r="D393" s="1"/>
      <c r="E393" s="1"/>
      <c r="F393" s="3"/>
      <c r="G393" s="18"/>
      <c r="H393" s="1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0" customHeight="1">
      <c r="A394" s="6">
        <v>20.0</v>
      </c>
      <c r="B394" s="3" t="str">
        <f>"let l"&amp;$A$386&amp;"=i*100;"</f>
        <v>let l12=i*100;</v>
      </c>
      <c r="C394" s="1"/>
      <c r="D394" s="1"/>
      <c r="E394" s="1"/>
      <c r="F394" s="3"/>
      <c r="G394" s="18"/>
      <c r="H394" s="1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0" customHeight="1">
      <c r="A395" s="6">
        <v>21.0</v>
      </c>
      <c r="B395" s="3" t="str">
        <f>"let l"&amp;$A$387&amp;"=i*"&amp;ROW('1'!$76:$76)-ROW('1'!$57:$57)&amp;"+"&amp;ROW('1'!$57:$57)-2&amp;";"</f>
        <v>let l13=i*19+55;</v>
      </c>
      <c r="C395" s="1"/>
      <c r="D395" s="1"/>
      <c r="E395" s="1"/>
      <c r="F395" s="3"/>
      <c r="G395" s="18"/>
      <c r="H395" s="1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0" customHeight="1">
      <c r="A396" s="6">
        <v>22.0</v>
      </c>
      <c r="B396" s="3" t="str">
        <f>"let l"&amp;$A$388&amp;"=l"&amp;$A$387&amp;"+"&amp;ROW('1'!$74:$74)-ROW('1'!$57:$57)&amp;"||0;"</f>
        <v>let l14=l13+17||0;</v>
      </c>
      <c r="C396" s="1"/>
      <c r="D396" s="1"/>
      <c r="E396" s="1"/>
      <c r="F396" s="3"/>
      <c r="G396" s="18"/>
      <c r="H396" s="1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0" customHeight="1">
      <c r="A397" s="6">
        <v>23.0</v>
      </c>
      <c r="B397" s="3" t="str">
        <f>"let l"&amp;$A$389&amp;"=[l"&amp;$A$387&amp;",l"&amp;$A$387&amp;"+1];"</f>
        <v>let l15=[l13,l13+1];</v>
      </c>
      <c r="C397" s="1"/>
      <c r="D397" s="1"/>
      <c r="E397" s="1"/>
      <c r="F397" s="3"/>
      <c r="G397" s="18"/>
      <c r="H397" s="1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0" customHeight="1">
      <c r="A398" s="6">
        <v>24.0</v>
      </c>
      <c r="B398" s="3" t="str">
        <f>"let l"&amp;$A$390&amp;"=[...l"&amp;$A$389&amp;",l"&amp;$A$387&amp;"+2];"</f>
        <v>let l16=[...l15,l13+2];</v>
      </c>
      <c r="C398" s="1"/>
      <c r="D398" s="1"/>
      <c r="E398" s="1"/>
      <c r="F398" s="2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0" customHeight="1">
      <c r="A399" s="6">
        <v>25.0</v>
      </c>
      <c r="B399" s="2" t="str">
        <f>"if(h"&amp;$A$27&amp;"(['1',...l"&amp;$A$390&amp;"])){"</f>
        <v>if(h4(['1',...l16])){</v>
      </c>
      <c r="C399" s="1"/>
      <c r="D399" s="1"/>
      <c r="E399" s="1"/>
      <c r="F399" s="5"/>
      <c r="G399" s="5"/>
      <c r="H399" s="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0" customHeight="1">
      <c r="A400" s="6">
        <v>26.0</v>
      </c>
      <c r="B400" s="3" t="str">
        <f>"for(let i0=0;i0&lt;100;i0++){"</f>
        <v>for(let i0=0;i0&lt;100;i0++){</v>
      </c>
      <c r="C400" s="1"/>
      <c r="D400" s="1"/>
      <c r="E400" s="1"/>
      <c r="F400" s="3"/>
      <c r="G400" s="19"/>
      <c r="H400" s="1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0" customHeight="1">
      <c r="A401" s="6">
        <v>27.0</v>
      </c>
      <c r="B401" s="2" t="str">
        <f>"if(h"&amp;$A$41&amp;"(['1',i0,...l"&amp;$A$390&amp;"])){"</f>
        <v>if(h18(['1',i0,...l16])){</v>
      </c>
      <c r="C401" s="1"/>
      <c r="D401" s="1"/>
      <c r="E401" s="1"/>
      <c r="F401" s="5"/>
      <c r="G401" s="5"/>
      <c r="H401" s="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0" customHeight="1">
      <c r="A402" s="6">
        <v>28.0</v>
      </c>
      <c r="B402" s="3" t="str">
        <f>"let l"&amp;$A$391&amp;"=k"&amp;$A$18&amp;"(['1',i0,l"&amp;$A$388&amp;"]);"</f>
        <v>let l17=k13(['1',i0,l14]);</v>
      </c>
      <c r="C402" s="1"/>
      <c r="D402" s="1"/>
      <c r="E402" s="1"/>
      <c r="F402" s="3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0" customHeight="1">
      <c r="A403" s="6">
        <v>29.0</v>
      </c>
      <c r="B403" s="3" t="str">
        <f>"let l"&amp;$A$392&amp;"=`${l"&amp;$A$391&amp;"||'k'}-3`;"</f>
        <v>let l18=`${l17||'k'}-3`;</v>
      </c>
      <c r="C403" s="1"/>
      <c r="D403" s="1"/>
      <c r="E403" s="1"/>
      <c r="F403" s="3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0" customHeight="1">
      <c r="A404" s="6">
        <v>30.0</v>
      </c>
      <c r="B404" s="3" t="str">
        <f>"l"&amp;$A$374&amp;"[l"&amp;$A$392&amp;"]??=new Array();"</f>
        <v>l0[l18]??=new Array();</v>
      </c>
      <c r="C404" s="1"/>
      <c r="D404" s="1"/>
      <c r="E404" s="1"/>
      <c r="F404" s="3"/>
      <c r="G404" s="18"/>
      <c r="H404" s="1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0" customHeight="1">
      <c r="A405" s="6">
        <v>31.0</v>
      </c>
      <c r="B405" s="3" t="str">
        <f>"l"&amp;$A$374&amp;"[l"&amp;$A$392&amp;"].push(i0+l"&amp;$A$386&amp;");}}}}"</f>
        <v>l0[l18].push(i0+l12);}}}}</v>
      </c>
      <c r="C405" s="1"/>
      <c r="D405" s="1"/>
      <c r="E405" s="1"/>
      <c r="F405" s="3"/>
      <c r="G405" s="18"/>
      <c r="H405" s="1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0" customHeight="1">
      <c r="A406" s="6">
        <v>32.0</v>
      </c>
      <c r="B406" s="3" t="str">
        <f>"const h"&amp;$A$54&amp;"=_=&gt;{"</f>
        <v>const h30=_=&gt;{</v>
      </c>
      <c r="C406" s="1"/>
      <c r="D406" s="1"/>
      <c r="E406" s="1"/>
      <c r="F406" s="3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0" customHeight="1">
      <c r="A407" s="6">
        <v>33.0</v>
      </c>
      <c r="B407" s="2" t="str">
        <f>"let l"&amp;$A$393&amp;"=[_+"&amp;row('5'!$4:$4)-4&amp;","&amp;COLUMN('2'!$N:$N)-2&amp;"];"</f>
        <v>let l19=[_+0,12];</v>
      </c>
      <c r="C407" s="2"/>
      <c r="D407" s="2"/>
      <c r="E407" s="1"/>
      <c r="F407" s="3"/>
      <c r="G407" s="1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0" customHeight="1">
      <c r="A408" s="6">
        <v>34.0</v>
      </c>
      <c r="B408" s="2" t="str">
        <f>"let l"&amp;$A$394&amp;"=l"&amp;$A$378&amp;"(l"&amp;$A$393&amp;")||'';"</f>
        <v>let l20=l4(l19)||'';</v>
      </c>
      <c r="C408" s="2"/>
      <c r="D408" s="2"/>
      <c r="E408" s="1"/>
      <c r="F408" s="3"/>
      <c r="G408" s="1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0" customHeight="1">
      <c r="A409" s="6">
        <v>35.0</v>
      </c>
      <c r="B409" s="3" t="str">
        <f>"let l"&amp;$A$395&amp;"=`l${k"&amp;$A$12&amp;"(_)}`;"</f>
        <v>let l21=`l${k7(_)}`;</v>
      </c>
      <c r="D409" s="2"/>
      <c r="E409" s="1"/>
      <c r="F409" s="3"/>
      <c r="G409" s="1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0" customHeight="1">
      <c r="A410" s="6">
        <v>36.0</v>
      </c>
      <c r="B410" s="3" t="str">
        <f>"let l"&amp;$A$396&amp;"=`&lt;div id='"</f>
        <v>let l22=`&lt;div id='</v>
      </c>
      <c r="C410" s="1"/>
      <c r="D410" s="1"/>
      <c r="E410" s="1"/>
      <c r="F410" s="3"/>
      <c r="G410" s="18"/>
      <c r="H410" s="1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0" customHeight="1">
      <c r="A411" s="6">
        <v>37.0</v>
      </c>
      <c r="B411" s="3" t="str">
        <f>"${l"&amp;$A$395&amp;"}' class='l00'&gt;"</f>
        <v>${l21}' class='l00'&gt;</v>
      </c>
      <c r="C411" s="1"/>
      <c r="D411" s="1"/>
      <c r="E411" s="1"/>
      <c r="F411" s="3"/>
      <c r="G411" s="1"/>
      <c r="H411" s="1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0" customHeight="1">
      <c r="A412" s="6">
        <v>38.0</v>
      </c>
      <c r="B412" s="3" t="str">
        <f>"&lt;div class='_'&gt;&lt;/div&gt;"</f>
        <v>&lt;div class='_'&gt;&lt;/div&gt;</v>
      </c>
      <c r="C412" s="1"/>
      <c r="D412" s="1"/>
      <c r="E412" s="1"/>
      <c r="F412" s="3"/>
      <c r="G412" s="1"/>
      <c r="H412" s="1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0" customHeight="1">
      <c r="A413" s="6">
        <v>39.0</v>
      </c>
      <c r="B413" s="3" t="str">
        <f>"&lt;div data='_'&gt;${l"&amp;$A$394&amp;"}"</f>
        <v>&lt;div data='_'&gt;${l20}</v>
      </c>
      <c r="C413" s="1"/>
      <c r="D413" s="1"/>
      <c r="E413" s="1"/>
      <c r="F413" s="3"/>
      <c r="G413" s="18"/>
      <c r="H413" s="1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0" customHeight="1">
      <c r="A414" s="6">
        <v>40.0</v>
      </c>
      <c r="B414" s="3" t="str">
        <f>"&lt;/div&gt;${h"&amp;$A$59&amp;"(l"&amp;$A$395&amp;")}"</f>
        <v>&lt;/div&gt;${h35(l21)}</v>
      </c>
      <c r="C414" s="1"/>
      <c r="D414" s="1"/>
      <c r="E414" s="1"/>
      <c r="F414" s="3"/>
      <c r="G414" s="1"/>
      <c r="H414" s="1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0" customHeight="1">
      <c r="A415" s="6">
        <v>41.0</v>
      </c>
      <c r="B415" s="3" t="str">
        <f>"${h"&amp;$A$58&amp;"(l"&amp;$A$395&amp;")}&lt;var&gt;"</f>
        <v>${h34(l21)}&lt;var&gt;</v>
      </c>
      <c r="C415" s="1"/>
      <c r="D415" s="1"/>
      <c r="E415" s="1"/>
      <c r="F415" s="3"/>
      <c r="G415" s="1"/>
      <c r="H415" s="1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0" customHeight="1">
      <c r="A416" s="6">
        <v>42.0</v>
      </c>
      <c r="B416" s="3" t="str">
        <f>"${l[0]?`A${l"&amp;$A$395&amp;"."</f>
        <v>${l[0]?`A${l21.</v>
      </c>
      <c r="C416" s="1"/>
      <c r="D416" s="1"/>
      <c r="E416" s="1"/>
      <c r="F416" s="3"/>
      <c r="G416" s="1"/>
      <c r="H416" s="1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0" customHeight="1">
      <c r="A417" s="6">
        <v>43.0</v>
      </c>
      <c r="B417" s="3" t="str">
        <f>"slice(1)}`:''}"</f>
        <v>slice(1)}`:''}</v>
      </c>
      <c r="C417" s="1"/>
      <c r="D417" s="1"/>
      <c r="E417" s="1"/>
      <c r="F417" s="3"/>
      <c r="G417" s="1"/>
      <c r="H417" s="1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0" customHeight="1">
      <c r="A418" s="6">
        <v>44.0</v>
      </c>
      <c r="B418" s="3" t="str">
        <f>"&lt;/var&gt;&lt;/div&gt;`;"</f>
        <v>&lt;/var&gt;&lt;/div&gt;`;</v>
      </c>
      <c r="C418" s="1"/>
      <c r="D418" s="1"/>
      <c r="E418" s="1"/>
      <c r="F418" s="3"/>
      <c r="G418" s="1"/>
      <c r="H418" s="1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0" customHeight="1">
      <c r="A419" s="6">
        <v>45.0</v>
      </c>
      <c r="B419" s="3" t="str">
        <f>"return l"&amp;$A$396&amp;";};"</f>
        <v>return l22;};</v>
      </c>
      <c r="C419" s="1"/>
      <c r="D419" s="1"/>
      <c r="E419" s="1"/>
      <c r="F419" s="3"/>
      <c r="G419" s="1"/>
      <c r="H419" s="1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1" t="s">
        <v>0</v>
      </c>
      <c r="B420" s="3" t="str">
        <f>"const h"&amp;$A$55&amp;"=_=&gt;{"</f>
        <v>const h31=_=&gt;{</v>
      </c>
      <c r="C420" s="1"/>
      <c r="D420" s="1"/>
      <c r="E420" s="1"/>
      <c r="F420" s="3"/>
      <c r="G420" s="3"/>
      <c r="H420" s="1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0" customHeight="1">
      <c r="B421" s="2" t="str">
        <f>"let l"&amp;$A$397&amp;"=[_+"&amp;row('5'!$104:$104)-4&amp;","&amp;COLUMN('2'!$N:$N)-2&amp;"];"</f>
        <v>let l23=[_+100,12];</v>
      </c>
      <c r="C421" s="1"/>
      <c r="D421" s="1"/>
      <c r="E421" s="1"/>
      <c r="F421" s="3"/>
      <c r="G421" s="1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0" customHeight="1">
      <c r="B422" s="2" t="str">
        <f>"let l"&amp;$A$398&amp;"=l"&amp;$A$378&amp;"(l"&amp;$A$397&amp;")||'';"</f>
        <v>let l24=l4(l23)||'';</v>
      </c>
      <c r="C422" s="1"/>
      <c r="D422" s="1"/>
      <c r="E422" s="1"/>
      <c r="F422" s="3"/>
      <c r="G422" s="1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0" customHeight="1">
      <c r="B423" s="3" t="str">
        <f>"let l"&amp;$A$399&amp;"=`k${k"&amp;$A$12&amp;"(_)}`;"</f>
        <v>let l25=`k${k7(_)}`;</v>
      </c>
      <c r="C423" s="1"/>
      <c r="D423" s="1"/>
      <c r="E423" s="1"/>
      <c r="F423" s="3"/>
      <c r="G423" s="1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0" customHeight="1">
      <c r="B424" s="3" t="str">
        <f>"let l"&amp;$A$400&amp;"=`&lt;div&gt;&lt;div id="</f>
        <v>let l26=`&lt;div&gt;&lt;div id=</v>
      </c>
      <c r="C424" s="1"/>
      <c r="D424" s="1"/>
      <c r="E424" s="1"/>
      <c r="F424" s="2"/>
      <c r="G424" s="3"/>
      <c r="H424" s="1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0" customHeight="1">
      <c r="B425" s="3" t="str">
        <f>"'${l"&amp;$A$399&amp;"}' class='k00'&gt;"</f>
        <v>'${l25}' class='k00'&gt;</v>
      </c>
      <c r="C425" s="1"/>
      <c r="D425" s="1"/>
      <c r="E425" s="1"/>
      <c r="F425" s="3"/>
      <c r="G425" s="1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0" customHeight="1">
      <c r="B426" s="3" t="str">
        <f>"&lt;div class='_'&gt;&lt;/div&gt;"</f>
        <v>&lt;div class='_'&gt;&lt;/div&gt;</v>
      </c>
      <c r="C426" s="1"/>
      <c r="D426" s="1"/>
      <c r="E426" s="1"/>
      <c r="F426" s="3"/>
      <c r="G426" s="18"/>
      <c r="H426" s="1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0" customHeight="1">
      <c r="B427" s="3" t="str">
        <f>"&lt;div data='_'&gt;${l"&amp;$A$398&amp;"}"</f>
        <v>&lt;div data='_'&gt;${l24}</v>
      </c>
      <c r="C427" s="1"/>
      <c r="D427" s="1"/>
      <c r="E427" s="1"/>
      <c r="F427" s="3"/>
      <c r="G427" s="18"/>
      <c r="H427" s="1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0" customHeight="1">
      <c r="B428" s="3" t="str">
        <f>"&lt;/div&gt;${h"&amp;$A$59&amp;"(l"&amp;$A$399&amp;")}"</f>
        <v>&lt;/div&gt;${h35(l25)}</v>
      </c>
      <c r="C428" s="1"/>
      <c r="D428" s="1"/>
      <c r="E428" s="1"/>
      <c r="F428" s="3"/>
      <c r="G428" s="18"/>
      <c r="H428" s="1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0" customHeight="1">
      <c r="B429" s="3" t="str">
        <f>"${h"&amp;$A$58&amp;"(l"&amp;$A$399&amp;")}&lt;var&gt;"</f>
        <v>${h34(l25)}&lt;var&gt;</v>
      </c>
      <c r="C429" s="1"/>
      <c r="D429" s="1"/>
      <c r="E429" s="1"/>
      <c r="F429" s="3"/>
      <c r="G429" s="1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0" customHeight="1">
      <c r="B430" s="3" t="str">
        <f>"${l[0]?`B${l"&amp;$A$399&amp;"."</f>
        <v>${l[0]?`B${l25.</v>
      </c>
      <c r="C430" s="1"/>
      <c r="D430" s="1"/>
      <c r="E430" s="1"/>
      <c r="F430" s="3"/>
      <c r="G430" s="1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0" customHeight="1">
      <c r="B431" s="3" t="str">
        <f>"slice(1)}`:''}"</f>
        <v>slice(1)}`:''}</v>
      </c>
      <c r="C431" s="1"/>
      <c r="D431" s="1"/>
      <c r="E431" s="1"/>
      <c r="F431" s="3"/>
      <c r="G431" s="1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0" customHeight="1">
      <c r="B432" s="3" t="str">
        <f>"&lt;/var&gt;&lt;/div&gt;"</f>
        <v>&lt;/var&gt;&lt;/div&gt;</v>
      </c>
      <c r="C432" s="1"/>
      <c r="D432" s="1"/>
      <c r="E432" s="1"/>
      <c r="F432" s="3"/>
      <c r="G432" s="1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0" customHeight="1">
      <c r="B433" s="3" t="str">
        <f>"&lt;/div&gt;${''}`;"</f>
        <v>&lt;/div&gt;${''}`;</v>
      </c>
      <c r="C433" s="1"/>
      <c r="D433" s="1"/>
      <c r="E433" s="1"/>
      <c r="F433" s="3"/>
      <c r="G433" s="1"/>
      <c r="H433" s="1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0" customHeight="1">
      <c r="B434" s="3" t="str">
        <f>"return l"&amp;$A$400&amp;";};"</f>
        <v>return l26;};</v>
      </c>
      <c r="C434" s="1"/>
      <c r="D434" s="1"/>
      <c r="E434" s="1"/>
      <c r="F434" s="3"/>
      <c r="G434" s="1"/>
      <c r="H434" s="1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0" customHeight="1">
      <c r="B435" s="3" t="str">
        <f>"const h"&amp;$A$56&amp;"=_=&gt;{"</f>
        <v>const h32=_=&gt;{</v>
      </c>
      <c r="C435" s="1"/>
      <c r="D435" s="1"/>
      <c r="E435" s="1"/>
      <c r="F435" s="3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0" customHeight="1">
      <c r="B436" s="2" t="str">
        <f>"let l"&amp;$A$401&amp;"=[_+"&amp;row('5'!$204:$204)-4&amp;","&amp;COLUMN('2'!$N:$N)-2&amp;"];"</f>
        <v>let l27=[_+200,12];</v>
      </c>
      <c r="C436" s="1"/>
      <c r="D436" s="2"/>
      <c r="E436" s="1"/>
      <c r="F436" s="3"/>
      <c r="G436" s="1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0" customHeight="1">
      <c r="B437" s="2" t="str">
        <f>"let l"&amp;$A$402&amp;"=l"&amp;$A$378&amp;"(l"&amp;$A$401&amp;")||'';"</f>
        <v>let l28=l4(l27)||'';</v>
      </c>
      <c r="C437" s="1"/>
      <c r="D437" s="2"/>
      <c r="E437" s="1"/>
      <c r="F437" s="3"/>
      <c r="G437" s="1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0" customHeight="1">
      <c r="B438" s="3" t="str">
        <f>"let l"&amp;$A$403&amp;"=`t${k"&amp;$A$12&amp;"(_)}`;"</f>
        <v>let l29=`t${k7(_)}`;</v>
      </c>
      <c r="C438" s="1"/>
      <c r="D438" s="2"/>
      <c r="E438" s="1"/>
      <c r="F438" s="3"/>
      <c r="G438" s="1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0" customHeight="1">
      <c r="B439" s="3" t="str">
        <f>"let l"&amp;$A$404&amp;"=`&lt;div&gt;&lt;div id="</f>
        <v>let l30=`&lt;div&gt;&lt;div id=</v>
      </c>
      <c r="C439" s="1"/>
      <c r="D439" s="1"/>
      <c r="E439" s="1"/>
      <c r="F439" s="2"/>
      <c r="G439" s="18"/>
      <c r="H439" s="1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0" customHeight="1">
      <c r="B440" s="3" t="str">
        <f>"'${l"&amp;$A$403&amp;"}' class='t00'&gt;"</f>
        <v>'${l29}' class='t00'&gt;</v>
      </c>
      <c r="C440" s="1"/>
      <c r="D440" s="1"/>
      <c r="E440" s="2"/>
      <c r="F440" s="2"/>
      <c r="G440" s="1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0" customHeight="1">
      <c r="B441" s="3" t="str">
        <f>"&lt;div class='_'&gt;&lt;/div&gt;"</f>
        <v>&lt;div class='_'&gt;&lt;/div&gt;</v>
      </c>
      <c r="C441" s="1"/>
      <c r="D441" s="1"/>
      <c r="E441" s="1"/>
      <c r="F441" s="3"/>
      <c r="G441" s="1"/>
      <c r="H441" s="1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0" customHeight="1">
      <c r="B442" s="3" t="str">
        <f>"&lt;div data='_'&gt;${l"&amp;$A$402&amp;"}"</f>
        <v>&lt;div data='_'&gt;${l28}</v>
      </c>
      <c r="C442" s="1"/>
      <c r="D442" s="1"/>
      <c r="E442" s="1"/>
      <c r="F442" s="3"/>
      <c r="G442" s="1"/>
      <c r="H442" s="1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0" customHeight="1">
      <c r="B443" s="3" t="str">
        <f>"&lt;/div&gt;${h"&amp;$A$59&amp;"(l"&amp;$A$403&amp;")}"</f>
        <v>&lt;/div&gt;${h35(l29)}</v>
      </c>
      <c r="C443" s="1"/>
      <c r="D443" s="1"/>
      <c r="E443" s="1"/>
      <c r="F443" s="3"/>
      <c r="G443" s="1"/>
      <c r="H443" s="1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0" customHeight="1">
      <c r="B444" s="3" t="str">
        <f>"${h"&amp;$A$58&amp;"(l"&amp;$A$403&amp;")}&lt;var&gt;"</f>
        <v>${h34(l29)}&lt;var&gt;</v>
      </c>
      <c r="C444" s="1"/>
      <c r="D444" s="1"/>
      <c r="E444" s="1"/>
      <c r="F444" s="3"/>
      <c r="G444" s="1"/>
      <c r="H444" s="1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0" customHeight="1">
      <c r="B445" s="3" t="str">
        <f>"${l[0]?`C${l"&amp;$A$403&amp;"."</f>
        <v>${l[0]?`C${l29.</v>
      </c>
      <c r="C445" s="1"/>
      <c r="D445" s="1"/>
      <c r="E445" s="1"/>
      <c r="F445" s="3"/>
      <c r="G445" s="1"/>
      <c r="H445" s="1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0" customHeight="1">
      <c r="B446" s="3" t="str">
        <f>"slice(1)}`:''}"</f>
        <v>slice(1)}`:''}</v>
      </c>
      <c r="C446" s="1"/>
      <c r="D446" s="1"/>
      <c r="E446" s="1"/>
      <c r="F446" s="3"/>
      <c r="G446" s="1"/>
      <c r="H446" s="1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0" customHeight="1">
      <c r="B447" s="3" t="str">
        <f>"&lt;/var&gt;&lt;/div&gt;"</f>
        <v>&lt;/var&gt;&lt;/div&gt;</v>
      </c>
      <c r="C447" s="1"/>
      <c r="D447" s="1"/>
      <c r="E447" s="1"/>
      <c r="F447" s="3"/>
      <c r="G447" s="1"/>
      <c r="H447" s="1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0" customHeight="1">
      <c r="B448" s="3" t="str">
        <f>"&lt;/div&gt;${''}`;"</f>
        <v>&lt;/div&gt;${''}`;</v>
      </c>
      <c r="C448" s="1"/>
      <c r="D448" s="1"/>
      <c r="E448" s="1"/>
      <c r="F448" s="3"/>
      <c r="G448" s="1"/>
      <c r="H448" s="1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0" customHeight="1">
      <c r="B449" s="3" t="str">
        <f>"return l"&amp;$A$404&amp;";};"</f>
        <v>return l30;};</v>
      </c>
      <c r="C449" s="1"/>
      <c r="D449" s="1"/>
      <c r="E449" s="1"/>
      <c r="F449" s="3"/>
      <c r="G449" s="1"/>
      <c r="H449" s="1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0" customHeight="1">
      <c r="B450" s="3" t="str">
        <f>"const h"&amp;$A$57&amp;"=_=&gt;{"</f>
        <v>const h33=_=&gt;{</v>
      </c>
      <c r="C450" s="1"/>
      <c r="D450" s="1"/>
      <c r="E450" s="1"/>
      <c r="F450" s="3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0" customHeight="1">
      <c r="B451" s="2" t="str">
        <f>"let l"&amp;$A$405&amp;"=[_+"&amp;row('5'!$304:$304)-4&amp;","&amp;COLUMN('2'!$N:$N)-2&amp;"];"</f>
        <v>let l31=[_+300,12];</v>
      </c>
      <c r="C451" s="1"/>
      <c r="D451" s="1"/>
      <c r="E451" s="1"/>
      <c r="F451" s="3"/>
      <c r="G451" s="1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0" customHeight="1">
      <c r="B452" s="2" t="str">
        <f>"let l"&amp;$A$406&amp;"=l"&amp;$A$378&amp;"(l"&amp;$A$405&amp;")||'';"</f>
        <v>let l32=l4(l31)||'';</v>
      </c>
      <c r="C452" s="1"/>
      <c r="D452" s="1"/>
      <c r="E452" s="1"/>
      <c r="F452" s="3"/>
      <c r="G452" s="1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0" customHeight="1">
      <c r="B453" s="3" t="str">
        <f>"let l"&amp;$A$407&amp;"=`t${k"&amp;$A$13&amp;"(_)}`;"</f>
        <v>let l33=`t${k8(_)}`;</v>
      </c>
      <c r="C453" s="1"/>
      <c r="D453" s="1"/>
      <c r="E453" s="1"/>
      <c r="F453" s="3"/>
      <c r="G453" s="1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0" customHeight="1">
      <c r="B454" s="3" t="str">
        <f>"let l"&amp;$A$408&amp;"=`&lt;div id='"</f>
        <v>let l34=`&lt;div id='</v>
      </c>
      <c r="C454" s="1"/>
      <c r="D454" s="1"/>
      <c r="E454" s="1"/>
      <c r="F454" s="3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0" customHeight="1">
      <c r="B455" s="3" t="str">
        <f>"${l"&amp;$A$407&amp;"}' class='t000'&gt;"</f>
        <v>${l33}' class='t000'&gt;</v>
      </c>
      <c r="C455" s="1"/>
      <c r="D455" s="1"/>
      <c r="E455" s="1"/>
      <c r="F455" s="3"/>
      <c r="G455" s="1"/>
      <c r="H455" s="1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0" customHeight="1">
      <c r="B456" s="3" t="str">
        <f>"&lt;div class='_'&gt;&lt;/div&gt;"</f>
        <v>&lt;div class='_'&gt;&lt;/div&gt;</v>
      </c>
      <c r="C456" s="1"/>
      <c r="D456" s="1"/>
      <c r="E456" s="1"/>
      <c r="F456" s="3"/>
      <c r="G456" s="1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0" customHeight="1">
      <c r="B457" s="3" t="str">
        <f>"&lt;div data='_'&gt;${l"&amp;$A$406&amp;"}"</f>
        <v>&lt;div data='_'&gt;${l32}</v>
      </c>
      <c r="C457" s="1"/>
      <c r="D457" s="1"/>
      <c r="E457" s="1"/>
      <c r="F457" s="3"/>
      <c r="G457" s="1"/>
      <c r="H457" s="1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0" customHeight="1">
      <c r="B458" s="3" t="str">
        <f>"&lt;/div&gt;${h"&amp;$A$59&amp;"(l"&amp;$A$407&amp;")}"</f>
        <v>&lt;/div&gt;${h35(l33)}</v>
      </c>
      <c r="C458" s="1"/>
      <c r="D458" s="1"/>
      <c r="E458" s="1"/>
      <c r="F458" s="3"/>
      <c r="G458" s="1"/>
      <c r="H458" s="1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0" customHeight="1">
      <c r="B459" s="3" t="str">
        <f>"${h"&amp;$A$58&amp;"(l"&amp;$A$407&amp;")}&lt;var&gt;"</f>
        <v>${h34(l33)}&lt;var&gt;</v>
      </c>
      <c r="C459" s="1"/>
      <c r="D459" s="1"/>
      <c r="E459" s="1"/>
      <c r="F459" s="3"/>
      <c r="G459" s="1"/>
      <c r="H459" s="1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0" customHeight="1">
      <c r="B460" s="3" t="str">
        <f>"${l[0]?`D${l"&amp;$A$407&amp;"."</f>
        <v>${l[0]?`D${l33.</v>
      </c>
      <c r="C460" s="1"/>
      <c r="D460" s="1"/>
      <c r="E460" s="1"/>
      <c r="F460" s="3"/>
      <c r="G460" s="1"/>
      <c r="H460" s="1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0" customHeight="1">
      <c r="B461" s="3" t="str">
        <f>"slice(1)}`:''}"</f>
        <v>slice(1)}`:''}</v>
      </c>
      <c r="C461" s="1"/>
      <c r="D461" s="1"/>
      <c r="E461" s="1"/>
      <c r="F461" s="3"/>
      <c r="G461" s="1"/>
      <c r="H461" s="1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0" customHeight="1">
      <c r="B462" s="3" t="str">
        <f>"&lt;/var&gt;&lt;/div&gt;`;"</f>
        <v>&lt;/var&gt;&lt;/div&gt;`;</v>
      </c>
      <c r="C462" s="1"/>
      <c r="D462" s="1"/>
      <c r="E462" s="1"/>
      <c r="F462" s="3"/>
      <c r="G462" s="1"/>
      <c r="H462" s="1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0" customHeight="1">
      <c r="B463" s="3" t="str">
        <f>"return l"&amp;$A$408&amp;";};"</f>
        <v>return l34;};</v>
      </c>
      <c r="C463" s="1"/>
      <c r="D463" s="1"/>
      <c r="E463" s="1"/>
      <c r="F463" s="3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0" customHeight="1">
      <c r="B464" s="3" t="str">
        <f>"const h"&amp;$A$58&amp;"=_=&gt;{"</f>
        <v>const h34=_=&gt;{</v>
      </c>
      <c r="C464" s="1"/>
      <c r="D464" s="1"/>
      <c r="E464" s="1"/>
      <c r="F464" s="3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0" customHeight="1">
      <c r="B465" s="3" t="str">
        <f>"let l"&amp;$A$409&amp;"=`${_}-0`;"</f>
        <v>let l35=`${_}-0`;</v>
      </c>
      <c r="C465" s="1"/>
      <c r="D465" s="1"/>
      <c r="E465" s="1"/>
      <c r="F465" s="3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0" customHeight="1">
      <c r="B466" s="3" t="str">
        <f>"let l"&amp;$A$410&amp;"=`${_}-3`;"</f>
        <v>let l36=`${_}-3`;</v>
      </c>
      <c r="C466" s="1"/>
      <c r="D466" s="1"/>
      <c r="E466" s="1"/>
      <c r="F466" s="3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0" customHeight="1">
      <c r="B467" s="3" t="str">
        <f>"let l"&amp;$A$411&amp;"=l"&amp;$A$374&amp;"[l"&amp;$A$409&amp;"];"</f>
        <v>let l37=l0[l35];</v>
      </c>
      <c r="C467" s="1"/>
      <c r="D467" s="1"/>
      <c r="E467" s="1"/>
      <c r="F467" s="3"/>
      <c r="G467" s="3"/>
      <c r="H467" s="1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0" customHeight="1">
      <c r="B468" s="3" t="str">
        <f>"let l"&amp;$A$412&amp;"=l"&amp;$A$374&amp;"[l"&amp;$A$410&amp;"];"</f>
        <v>let l38=l0[l36];</v>
      </c>
      <c r="C468" s="2"/>
      <c r="D468" s="1"/>
      <c r="E468" s="1"/>
      <c r="F468" s="3"/>
      <c r="G468" s="3"/>
      <c r="H468" s="1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0" customHeight="1">
      <c r="B469" s="3" t="str">
        <f>"let l"&amp;$A$413&amp;"=String();"</f>
        <v>let l39=String();</v>
      </c>
      <c r="C469" s="1"/>
      <c r="D469" s="2"/>
      <c r="E469" s="1"/>
      <c r="F469" s="3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0" customHeight="1">
      <c r="B470" s="3" t="str">
        <f>"if(l"&amp;$A$412&amp;"||l"&amp;$A$411&amp;"){"</f>
        <v>if(l38||l37){</v>
      </c>
      <c r="C470" s="1"/>
      <c r="D470" s="1"/>
      <c r="E470" s="1"/>
      <c r="F470" s="3"/>
      <c r="G470" s="3"/>
      <c r="H470" s="1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0" customHeight="1">
      <c r="B471" s="3" t="str">
        <f>"l"&amp;$A$413&amp;"+='&lt;nav&gt;';"</f>
        <v>l39+='&lt;nav&gt;';</v>
      </c>
      <c r="C471" s="1"/>
      <c r="D471" s="1"/>
      <c r="E471" s="1"/>
      <c r="F471" s="3"/>
      <c r="G471" s="3"/>
      <c r="H471" s="1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0" customHeight="1">
      <c r="B472" s="3" t="str">
        <f>"if(l"&amp;$A$412&amp;"!=null){"</f>
        <v>if(l38!=null){</v>
      </c>
      <c r="C472" s="1"/>
      <c r="D472" s="1"/>
      <c r="E472" s="1"/>
      <c r="F472" s="3"/>
      <c r="G472" s="2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0" customHeight="1">
      <c r="B473" s="3" t="str">
        <f>"for(let i of l"&amp;$A$412&amp;"){"</f>
        <v>for(let i of l38){</v>
      </c>
      <c r="C473" s="1"/>
      <c r="D473" s="1"/>
      <c r="E473" s="1"/>
      <c r="F473" s="3"/>
      <c r="G473" s="3"/>
      <c r="H473" s="1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0" customHeight="1">
      <c r="B474" s="3" t="str">
        <f>"l"&amp;$A$413&amp;"+=h"&amp;$A$57&amp;"(i);}}"</f>
        <v>l39+=h33(i);}}</v>
      </c>
      <c r="C474" s="1"/>
      <c r="D474" s="1"/>
      <c r="E474" s="1"/>
      <c r="F474" s="3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0" customHeight="1">
      <c r="B475" s="3" t="str">
        <f>"if(l"&amp;$A$411&amp;"!=null){"</f>
        <v>if(l37!=null){</v>
      </c>
      <c r="C475" s="1"/>
      <c r="D475" s="1"/>
      <c r="E475" s="1"/>
      <c r="F475" s="3"/>
      <c r="G475" s="3"/>
      <c r="H475" s="1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0" customHeight="1">
      <c r="B476" s="3" t="str">
        <f>"for(let i of l"&amp;$A$411&amp;"){"</f>
        <v>for(let i of l37){</v>
      </c>
      <c r="C476" s="1"/>
      <c r="D476" s="1"/>
      <c r="E476" s="1"/>
      <c r="F476" s="3"/>
      <c r="G476" s="3"/>
      <c r="H476" s="1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0" customHeight="1">
      <c r="B477" s="3" t="str">
        <f>"l"&amp;$A$413&amp;"+=h"&amp;$A$54&amp;"(i);}}"</f>
        <v>l39+=h30(i);}}</v>
      </c>
      <c r="C477" s="1"/>
      <c r="D477" s="1"/>
      <c r="E477" s="1"/>
      <c r="F477" s="3"/>
      <c r="G477" s="1"/>
      <c r="H477" s="1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0" customHeight="1">
      <c r="B478" s="3" t="str">
        <f>"l"&amp;$A$413&amp;"+='&lt;/nav&gt;';}"</f>
        <v>l39+='&lt;/nav&gt;';}</v>
      </c>
      <c r="C478" s="1"/>
      <c r="D478" s="1"/>
      <c r="E478" s="1"/>
      <c r="F478" s="3"/>
      <c r="G478" s="3"/>
      <c r="H478" s="1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0" customHeight="1">
      <c r="B479" s="3" t="str">
        <f>"return l"&amp;$A$413&amp;";};"</f>
        <v>return l39;};</v>
      </c>
      <c r="C479" s="1"/>
      <c r="D479" s="1"/>
      <c r="E479" s="1"/>
      <c r="F479" s="3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0" customHeight="1">
      <c r="B480" s="3" t="str">
        <f>"const h"&amp;$A$59&amp;"=_=&gt;{"</f>
        <v>const h35=_=&gt;{</v>
      </c>
      <c r="C480" s="1"/>
      <c r="D480" s="2"/>
      <c r="E480" s="1"/>
      <c r="F480" s="3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0" customHeight="1">
      <c r="B481" s="3" t="str">
        <f>"let l"&amp;$A$414&amp;"=_=='k';"</f>
        <v>let l40=_=='k';</v>
      </c>
      <c r="C481" s="1"/>
      <c r="D481" s="1"/>
      <c r="E481" s="1"/>
      <c r="F481" s="3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0" customHeight="1">
      <c r="B482" s="3" t="str">
        <f>"let l"&amp;$A$415&amp;"=`${_}-2`;"</f>
        <v>let l41=`${_}-2`;</v>
      </c>
      <c r="C482" s="1"/>
      <c r="D482" s="2"/>
      <c r="E482" s="1"/>
      <c r="F482" s="3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0" customHeight="1">
      <c r="B483" s="3" t="str">
        <f>"let l"&amp;$A$416&amp;"=`${_}-1`;"</f>
        <v>let l42=`${_}-1`;</v>
      </c>
      <c r="C483" s="1"/>
      <c r="D483" s="2"/>
      <c r="E483" s="1"/>
      <c r="F483" s="3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0" customHeight="1">
      <c r="B484" s="3" t="str">
        <f>"let l"&amp;$A$417&amp;"=l"&amp;$A$374&amp;"[l"&amp;$A$415&amp;"];"</f>
        <v>let l43=l0[l41];</v>
      </c>
      <c r="C484" s="1"/>
      <c r="D484" s="2"/>
      <c r="E484" s="1"/>
      <c r="F484" s="3"/>
      <c r="G484" s="3"/>
      <c r="H484" s="1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0" customHeight="1">
      <c r="B485" s="3" t="str">
        <f>"let l"&amp;$A$418&amp;"=l"&amp;$A$374&amp;"[l"&amp;$A$416&amp;"];"</f>
        <v>let l44=l0[l42];</v>
      </c>
      <c r="C485" s="1"/>
      <c r="D485" s="1"/>
      <c r="E485" s="1"/>
      <c r="F485" s="3"/>
      <c r="G485" s="3"/>
      <c r="H485" s="1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0" customHeight="1">
      <c r="B486" s="3" t="str">
        <f>"let l"&amp;$A$419&amp;"=String();"</f>
        <v>let l45=String();</v>
      </c>
      <c r="C486" s="1"/>
      <c r="D486" s="2"/>
      <c r="E486" s="1"/>
      <c r="F486" s="3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0" customHeight="1">
      <c r="B487" s="3" t="str">
        <f>"if(l"&amp;$A$417&amp;"||l"&amp;$A$418&amp;"||l"&amp;$A$414&amp;"){"</f>
        <v>if(l43||l44||l40){</v>
      </c>
      <c r="C487" s="1"/>
      <c r="D487" s="1"/>
      <c r="E487" s="1"/>
      <c r="F487" s="3"/>
      <c r="G487" s="3"/>
      <c r="H487" s="1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0" customHeight="1">
      <c r="B488" s="3" t="str">
        <f>"l"&amp;$A$419&amp;"+=`&lt;div&gt;`;"</f>
        <v>l45+=`&lt;div&gt;`;</v>
      </c>
      <c r="C488" s="1"/>
      <c r="D488" s="1"/>
      <c r="E488" s="1"/>
      <c r="F488" s="3"/>
      <c r="G488" s="3"/>
      <c r="H488" s="1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0" customHeight="1">
      <c r="B489" s="3" t="str">
        <f>"if(l"&amp;$A$417&amp;"!=null){"</f>
        <v>if(l43!=null){</v>
      </c>
      <c r="C489" s="1"/>
      <c r="D489" s="1"/>
      <c r="E489" s="1"/>
      <c r="F489" s="3"/>
      <c r="G489" s="3"/>
      <c r="H489" s="1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0" customHeight="1">
      <c r="B490" s="3" t="str">
        <f>"for(let i of l"&amp;$A$417&amp;"){"</f>
        <v>for(let i of l43){</v>
      </c>
      <c r="C490" s="1"/>
      <c r="D490" s="1"/>
      <c r="E490" s="1"/>
      <c r="F490" s="3"/>
      <c r="G490" s="3"/>
      <c r="H490" s="1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0" customHeight="1">
      <c r="B491" s="3" t="str">
        <f>"l"&amp;$A$419&amp;"+=h"&amp;$A$56&amp;"(i);}}"</f>
        <v>l45+=h32(i);}}</v>
      </c>
      <c r="C491" s="1"/>
      <c r="D491" s="1"/>
      <c r="E491" s="1"/>
      <c r="F491" s="3"/>
      <c r="G491" s="2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0" customHeight="1">
      <c r="B492" s="3" t="str">
        <f>"if(l"&amp;$A$414&amp;"==true){"</f>
        <v>if(l40==true){</v>
      </c>
      <c r="C492" s="1"/>
      <c r="D492" s="1"/>
      <c r="E492" s="1"/>
      <c r="F492" s="3"/>
      <c r="G492" s="2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0" customHeight="1">
      <c r="B493" s="3" t="str">
        <f>"l"&amp;$A$419&amp;"+=`&lt;/div&gt;&lt;div&gt;`;}"</f>
        <v>l45+=`&lt;/div&gt;&lt;div&gt;`;}</v>
      </c>
      <c r="C493" s="1"/>
      <c r="D493" s="1"/>
      <c r="E493" s="1"/>
      <c r="F493" s="3"/>
      <c r="G493" s="2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0" customHeight="1">
      <c r="B494" s="3" t="str">
        <f>"if(l"&amp;$A$418&amp;"!=null){"</f>
        <v>if(l44!=null){</v>
      </c>
      <c r="C494" s="1"/>
      <c r="D494" s="1"/>
      <c r="E494" s="1"/>
      <c r="F494" s="3"/>
      <c r="G494" s="3"/>
      <c r="H494" s="1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0" customHeight="1">
      <c r="B495" s="3" t="str">
        <f>"for(let i of l"&amp;$A$418&amp;"){"</f>
        <v>for(let i of l44){</v>
      </c>
      <c r="C495" s="1"/>
      <c r="D495" s="1"/>
      <c r="E495" s="1"/>
      <c r="F495" s="3"/>
      <c r="G495" s="3"/>
      <c r="H495" s="1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0" customHeight="1">
      <c r="B496" s="3" t="str">
        <f>"l"&amp;$A$419&amp;"+=h"&amp;$A$55&amp;"(i);}}"</f>
        <v>l45+=h31(i);}}</v>
      </c>
      <c r="C496" s="1"/>
      <c r="D496" s="1"/>
      <c r="E496" s="1"/>
      <c r="F496" s="3"/>
      <c r="G496" s="3"/>
      <c r="H496" s="1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0" customHeight="1">
      <c r="B497" s="3" t="str">
        <f>"l"&amp;$A$419&amp;"+='&lt;/div&gt;';}"</f>
        <v>l45+='&lt;/div&gt;';}</v>
      </c>
      <c r="C497" s="1"/>
      <c r="D497" s="1"/>
      <c r="E497" s="1"/>
      <c r="F497" s="3"/>
      <c r="G497" s="3"/>
      <c r="H497" s="1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0" customHeight="1">
      <c r="B498" s="3" t="str">
        <f>"return l"&amp;$A$419&amp;";};"</f>
        <v>return l45;};</v>
      </c>
      <c r="C498" s="1"/>
      <c r="D498" s="1"/>
      <c r="E498" s="1"/>
      <c r="F498" s="3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0" customHeight="1">
      <c r="B499" s="2" t="str">
        <f>"if(h"&amp;$A$27&amp;"(['1',"&amp;ROW('1'!$2:$2)-2&amp;","&amp;ROW('1'!$3:$3)-2&amp;","&amp;ROW('1'!$4:$4)-2&amp;"])"</f>
        <v>if(h4(['1',0,1,2])</v>
      </c>
      <c r="C499" s="1"/>
      <c r="D499" s="2"/>
      <c r="E499" s="1"/>
      <c r="F499" s="5"/>
      <c r="G499" s="5"/>
      <c r="H499" s="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0" customHeight="1">
      <c r="B500" s="2" t="str">
        <f>"||h"&amp;$A$27&amp;"(['1',"&amp;ROW('1'!$21:$21)-2&amp;","&amp;ROW('1'!$22:$22)-2&amp;"])||"</f>
        <v>||h4(['1',19,20])||</v>
      </c>
      <c r="C500" s="1"/>
      <c r="D500" s="2"/>
      <c r="E500" s="1"/>
      <c r="F500" s="5"/>
      <c r="G500" s="5"/>
      <c r="H500" s="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0" customHeight="1">
      <c r="B501" s="2" t="str">
        <f>"h"&amp;$A$27&amp;"(['1',"&amp;ROW('1'!$39:$39)-2&amp;","&amp;ROW('1'!$40:$40)-2&amp;"])||"</f>
        <v>h4(['1',37,38])||</v>
      </c>
      <c r="C501" s="1"/>
      <c r="D501" s="2"/>
      <c r="E501" s="1"/>
      <c r="F501" s="5"/>
      <c r="G501" s="5"/>
      <c r="H501" s="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0" customHeight="1">
      <c r="B502" s="2" t="str">
        <f>"h"&amp;$A$27&amp;"(['1',...h"&amp;$A$34&amp;"])){"</f>
        <v>h4(['1',...h11])){</v>
      </c>
      <c r="C502" s="1"/>
      <c r="D502" s="2"/>
      <c r="E502" s="1"/>
      <c r="F502" s="5"/>
      <c r="G502" s="5"/>
      <c r="H502" s="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0" customHeight="1">
      <c r="B503" s="3" t="str">
        <f>"h[1]+=`${h"&amp;$A$59&amp;"('k')}"</f>
        <v>h[1]+=`${h35('k')}</v>
      </c>
      <c r="C503" s="1"/>
      <c r="D503" s="2"/>
      <c r="E503" s="1"/>
      <c r="F503" s="3"/>
      <c r="G503" s="18"/>
      <c r="H503" s="1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0" customHeight="1">
      <c r="B504" s="3" t="str">
        <f>"${h"&amp;$A$58&amp;"('k')}`;}}"</f>
        <v>${h34('k')}`;}}</v>
      </c>
      <c r="C504" s="1"/>
      <c r="D504" s="1"/>
      <c r="E504" s="1"/>
      <c r="F504" s="3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0" customHeight="1">
      <c r="A505" s="12"/>
      <c r="B505" s="20"/>
      <c r="C505" s="1"/>
      <c r="D505" s="1"/>
      <c r="E505" s="1"/>
      <c r="F505" s="3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0" customHeight="1">
      <c r="A506" s="5"/>
      <c r="B506" s="21"/>
      <c r="C506" s="1"/>
      <c r="D506" s="1"/>
      <c r="E506" s="1"/>
      <c r="F506" s="5"/>
      <c r="G506" s="5"/>
      <c r="H506" s="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0" customHeight="1">
      <c r="A507" s="6">
        <v>0.0</v>
      </c>
      <c r="B507" s="2" t="str">
        <f>"if(l[0]&gt;=0){"</f>
        <v>if(l[0]&gt;=0){</v>
      </c>
      <c r="C507" s="1"/>
      <c r="D507" s="1"/>
      <c r="E507" s="1"/>
      <c r="F507" s="2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0" customHeight="1">
      <c r="A508" s="6">
        <v>1.0</v>
      </c>
      <c r="B508" s="2" t="str">
        <f>"let l"&amp;$A$507&amp;"=["&amp;ROW('5'!$4:$4)-4&amp;","&amp;ROW('5'!$1303:$1303)-4&amp;"];"</f>
        <v>let l0=[0,1299];</v>
      </c>
      <c r="C508" s="1"/>
      <c r="D508" s="1"/>
      <c r="E508" s="1"/>
      <c r="F508" s="2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0" customHeight="1">
      <c r="A509" s="6">
        <v>2.0</v>
      </c>
      <c r="B509" s="2" t="str">
        <f>"h"&amp;$A$49&amp;"(['5',...l"&amp;$A$507&amp;"]);"</f>
        <v>h25(['5',...l0]);</v>
      </c>
      <c r="C509" s="1"/>
      <c r="D509" s="1"/>
      <c r="E509" s="1"/>
      <c r="F509" s="2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0" customHeight="1">
      <c r="A510" s="6">
        <v>3.0</v>
      </c>
      <c r="B510" s="2" t="str">
        <f>"h"&amp;$A$52&amp;"(['2',"&amp;ROW('2'!$4:$4)-4&amp;","&amp;ROW('2'!$4:$4)-4&amp;"]);"</f>
        <v>h28(['2',0,0]);</v>
      </c>
      <c r="C510" s="1"/>
      <c r="D510" s="1"/>
      <c r="E510" s="1"/>
      <c r="F510" s="5"/>
      <c r="G510" s="5"/>
      <c r="H510" s="2"/>
      <c r="I510" s="5"/>
      <c r="J510" s="5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0" customHeight="1">
      <c r="A511" s="6">
        <v>4.0</v>
      </c>
      <c r="B511" s="2" t="str">
        <f>"h"&amp;$A$53&amp;"(['3',"&amp;ROW('3'!$4:$4)-4&amp;","&amp;ROW('3'!$4:$4)-4&amp;"]);"</f>
        <v>h29(['3',0,0]);</v>
      </c>
      <c r="C511" s="1"/>
      <c r="D511" s="1"/>
      <c r="E511" s="1"/>
      <c r="F511" s="5"/>
      <c r="G511" s="5"/>
      <c r="H511" s="2"/>
      <c r="I511" s="5"/>
      <c r="J511" s="5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0" customHeight="1">
      <c r="A512" s="6">
        <v>5.0</v>
      </c>
      <c r="B512" s="2" t="str">
        <f>"let l"&amp;$A$508&amp;"=Date.now();"</f>
        <v>let l1=Date.now();</v>
      </c>
      <c r="C512" s="1"/>
      <c r="D512" s="1"/>
      <c r="E512" s="1"/>
      <c r="F512" s="2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0" customHeight="1">
      <c r="A513" s="6">
        <v>6.0</v>
      </c>
      <c r="B513" s="2" t="str">
        <f>"let l"&amp;$A$509&amp;"=h"&amp;$A$46&amp;"['1-1'];"</f>
        <v>let l2=h23['1-1'];</v>
      </c>
      <c r="C513" s="1"/>
      <c r="D513" s="1"/>
      <c r="E513" s="1"/>
      <c r="F513" s="2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0" customHeight="1">
      <c r="A514" s="6">
        <v>7.0</v>
      </c>
      <c r="B514" s="2" t="str">
        <f>"let l"&amp;$A$510&amp;"=k"&amp;$A$15&amp;"(['0',14]);"</f>
        <v>let l3=k10(['0',14]);</v>
      </c>
      <c r="C514" s="2"/>
      <c r="D514" s="1"/>
      <c r="E514" s="1"/>
      <c r="F514" s="3"/>
      <c r="G514" s="3"/>
      <c r="H514" s="3"/>
      <c r="I514" s="3"/>
      <c r="J514" s="3"/>
      <c r="K514" s="3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3"/>
      <c r="W514" s="1"/>
      <c r="X514" s="1"/>
      <c r="Y514" s="1"/>
      <c r="Z514" s="1"/>
    </row>
    <row r="515" ht="15.0" customHeight="1">
      <c r="A515" s="6">
        <v>8.0</v>
      </c>
      <c r="B515" s="2" t="str">
        <f>"let l"&amp;$A$511&amp;"=k"&amp;$A$15&amp;"(['0',144]);"</f>
        <v>let l4=k10(['0',144]);</v>
      </c>
      <c r="C515" s="2"/>
      <c r="D515" s="1"/>
      <c r="E515" s="1"/>
      <c r="F515" s="3"/>
      <c r="G515" s="3"/>
      <c r="H515" s="3"/>
      <c r="I515" s="3"/>
      <c r="J515" s="3"/>
      <c r="K515" s="3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3"/>
      <c r="W515" s="1"/>
      <c r="X515" s="1"/>
      <c r="Y515" s="1"/>
      <c r="Z515" s="1"/>
    </row>
    <row r="516" ht="15.0" customHeight="1">
      <c r="A516" s="6">
        <v>9.0</v>
      </c>
      <c r="B516" s="2" t="str">
        <f>"let l"&amp;$A$512&amp;"=l"&amp;$A$510&amp;"||100||Number();"</f>
        <v>let l5=l3||100||Number();</v>
      </c>
      <c r="C516" s="2"/>
      <c r="D516" s="1"/>
      <c r="E516" s="1"/>
      <c r="F516" s="3"/>
      <c r="G516" s="3"/>
      <c r="H516" s="3"/>
      <c r="I516" s="3"/>
      <c r="J516" s="3"/>
      <c r="K516" s="3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3"/>
      <c r="W516" s="1"/>
      <c r="X516" s="1"/>
      <c r="Y516" s="1"/>
      <c r="Z516" s="1"/>
    </row>
    <row r="517" ht="15.0" customHeight="1">
      <c r="A517" s="6">
        <v>10.0</v>
      </c>
      <c r="B517" s="2" t="str">
        <f>"if(h"&amp;$A$27&amp;"(['1',"&amp;ROW('1'!$2:$2)-2&amp;","&amp;ROW('1'!$3:$3)-2&amp;","&amp;ROW('1'!$4:$4)-2&amp;"])){"</f>
        <v>if(h4(['1',0,1,2])){</v>
      </c>
      <c r="C517" s="1"/>
      <c r="D517" s="2"/>
      <c r="E517" s="2"/>
      <c r="F517" s="5"/>
      <c r="G517" s="5"/>
      <c r="H517" s="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0" customHeight="1">
      <c r="A518" s="6">
        <v>11.0</v>
      </c>
      <c r="B518" s="2" t="str">
        <f>"let l"&amp;$A$513&amp;"=hh"&amp;$A$32&amp;"(['1',"&amp;ROW('1'!$2:$2)-2&amp;","&amp;ROW('1'!$3:$3)-2&amp;","&amp;ROW('1'!$4:$4)-2&amp;"]);"</f>
        <v>let l6=hh9(['1',0,1,2]);</v>
      </c>
      <c r="C518" s="1"/>
      <c r="D518" s="2"/>
      <c r="E518" s="2"/>
      <c r="F518" s="5"/>
      <c r="G518" s="5"/>
      <c r="H518" s="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0" customHeight="1">
      <c r="A519" s="6">
        <v>12.0</v>
      </c>
      <c r="B519" s="2" t="str">
        <f>"for(let i=0;i&lt;100;i++){"</f>
        <v>for(let i=0;i&lt;100;i++){</v>
      </c>
      <c r="C519" s="1"/>
      <c r="D519" s="2"/>
      <c r="E519" s="1"/>
      <c r="F519" s="5"/>
      <c r="G519" s="5"/>
      <c r="H519" s="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0" customHeight="1">
      <c r="A520" s="6">
        <v>13.0</v>
      </c>
      <c r="B520" s="2" t="str">
        <f>"if(h"&amp;$A$31&amp;"(['1',i,"&amp;ROW('1'!$2:$2)-2&amp;","&amp;ROW('1'!$3:$3)-2&amp;","&amp;ROW('1'!$4:$4)-2&amp;"])){"</f>
        <v>if(h8(['1',i,0,1,2])){</v>
      </c>
      <c r="C520" s="1"/>
      <c r="D520" s="1"/>
      <c r="E520" s="1"/>
      <c r="F520" s="1"/>
      <c r="G520" s="5"/>
      <c r="H520" s="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0" customHeight="1">
      <c r="A521" s="6">
        <v>14.0</v>
      </c>
      <c r="B521" s="2" t="str">
        <f>"let l"&amp;$A$514&amp;"=_=&gt;h"&amp;$A$31&amp;"(['1',i,..._]);"</f>
        <v>let l7=_=&gt;h8(['1',i,..._]);</v>
      </c>
      <c r="C521" s="3"/>
      <c r="D521" s="1"/>
      <c r="E521" s="2"/>
      <c r="F521" s="1"/>
      <c r="G521" s="5"/>
      <c r="H521" s="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0" customHeight="1">
      <c r="A522" s="6">
        <v>15.0</v>
      </c>
      <c r="B522" s="2" t="str">
        <f>"let l"&amp;$A$515&amp;"=_=&gt;k"&amp;$A$20&amp;"(['1',i,..._]);"</f>
        <v>let l8=_=&gt;k15(['1',i,..._]);</v>
      </c>
      <c r="C522" s="1"/>
      <c r="D522" s="1"/>
      <c r="E522" s="1"/>
      <c r="F522" s="5"/>
      <c r="G522" s="2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0" customHeight="1">
      <c r="A523" s="6">
        <v>16.0</v>
      </c>
      <c r="B523" s="2" t="str">
        <f>"let l"&amp;$A$516&amp;"=_=&gt;k"&amp;$A$19&amp;"(['1',i,_]);"</f>
        <v>let l9=_=&gt;k14(['1',i,_]);</v>
      </c>
      <c r="C523" s="3"/>
      <c r="D523" s="1"/>
      <c r="E523" s="1"/>
      <c r="F523" s="5"/>
      <c r="G523" s="5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0" customHeight="1">
      <c r="A524" s="6">
        <v>17.0</v>
      </c>
      <c r="B524" s="2" t="str">
        <f>"let l"&amp;$A$518&amp;"=_=&gt;k"&amp;$A$18&amp;"(['1',i,_]);"</f>
        <v>let l11=_=&gt;k13(['1',i,_]);</v>
      </c>
      <c r="C524" s="3"/>
      <c r="D524" s="1"/>
      <c r="E524" s="1"/>
      <c r="F524" s="5"/>
      <c r="G524" s="5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0" customHeight="1">
      <c r="A525" s="6">
        <v>18.0</v>
      </c>
      <c r="B525" s="2" t="str">
        <f>"let l"&amp;$A$519&amp;"=_=&gt;h"&amp;$A$26&amp;"(['1',i,_]);"</f>
        <v>let l12=_=&gt;h3(['1',i,_]);</v>
      </c>
      <c r="C525" s="2"/>
      <c r="D525" s="1"/>
      <c r="E525" s="1"/>
      <c r="F525" s="5"/>
      <c r="G525" s="5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0" customHeight="1">
      <c r="A526" s="6">
        <v>19.0</v>
      </c>
      <c r="B526" s="2" t="str">
        <f>"let l"&amp;$A$520&amp;"=_=&gt;h"&amp;$A$25&amp;"(['1',i,_]);"</f>
        <v>let l13=_=&gt;h2(['1',i,_]);</v>
      </c>
      <c r="C526" s="2"/>
      <c r="D526" s="1"/>
      <c r="E526" s="1"/>
      <c r="F526" s="5"/>
      <c r="G526" s="5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0" customHeight="1">
      <c r="A527" s="6">
        <v>20.0</v>
      </c>
      <c r="B527" s="2" t="str">
        <f>"let l"&amp;$A$521&amp;"=_=&gt;h"&amp;$A$23&amp;"(['1',i,_]);"</f>
        <v>let l14=_=&gt;h0(['1',i,_]);</v>
      </c>
      <c r="C527" s="2"/>
      <c r="D527" s="2"/>
      <c r="E527" s="1"/>
      <c r="F527" s="5"/>
      <c r="G527" s="5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0" customHeight="1">
      <c r="A528" s="6">
        <v>21.0</v>
      </c>
      <c r="B528" s="2" t="str">
        <f>"let l"&amp;$A$522&amp;"=_=&gt;!l"&amp;$A$516&amp;"(_)||l"&amp;$A$518&amp;"(_)&lt;0;"</f>
        <v>let l15=_=&gt;!l9(_)||l11(_)&lt;0;</v>
      </c>
      <c r="C528" s="2"/>
      <c r="D528" s="2"/>
      <c r="E528" s="2"/>
      <c r="F528" s="2"/>
      <c r="G528" s="5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0" customHeight="1">
      <c r="A529" s="6">
        <v>22.0</v>
      </c>
      <c r="B529" s="2" t="str">
        <f>"let l"&amp;$A$523&amp;"=_=&gt;!l"&amp;$A$516&amp;"(_)||l"&amp;$A$518&amp;"(_)&gt;0;"</f>
        <v>let l16=_=&gt;!l9(_)||l11(_)&gt;0;</v>
      </c>
      <c r="C529" s="2"/>
      <c r="D529" s="2"/>
      <c r="E529" s="2"/>
      <c r="F529" s="2"/>
      <c r="G529" s="5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0" customHeight="1">
      <c r="A530" s="6">
        <v>23.0</v>
      </c>
      <c r="B530" s="2" t="str">
        <f>"let l"&amp;$A$524&amp;"=l"&amp;$A$518&amp;"("&amp;ROW('1'!$12:$12)-2&amp;")*l"&amp;$A$520&amp;"("&amp;ROW('1'!$16:$16)-2&amp;")/100;"</f>
        <v>let l17=l11(10)*l13(14)/100;</v>
      </c>
      <c r="C530" s="1"/>
      <c r="D530" s="1"/>
      <c r="E530" s="1"/>
      <c r="F530" s="5"/>
      <c r="G530" s="5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0" customHeight="1">
      <c r="A531" s="6">
        <v>24.0</v>
      </c>
      <c r="B531" s="2" t="str">
        <f>"let l"&amp;$A$525&amp;"=l"&amp;$A$518&amp;"("&amp;ROW('1'!$11:$11)-2&amp;")*l"&amp;$A$520&amp;"("&amp;ROW('1'!$15:$15)-2&amp;")/100;"</f>
        <v>let l18=l11(9)*l13(13)/100;</v>
      </c>
      <c r="C531" s="1"/>
      <c r="D531" s="1"/>
      <c r="E531" s="1"/>
      <c r="F531" s="5"/>
      <c r="G531" s="5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0" customHeight="1">
      <c r="A532" s="6">
        <v>25.0</v>
      </c>
      <c r="B532" s="2" t="str">
        <f>"let l"&amp;$A$526&amp;"=l"&amp;$A$519&amp;"("&amp;ROW('1'!$13:$13)-2&amp;")[0]-k"&amp;$A$11&amp;"(l"&amp;$A$525&amp;");"</f>
        <v>let l19=l12(11)[0]-k6(l18);</v>
      </c>
      <c r="C532" s="1"/>
      <c r="D532" s="1"/>
      <c r="E532" s="1"/>
      <c r="F532" s="5"/>
      <c r="G532" s="5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0" customHeight="1">
      <c r="A533" s="6">
        <v>26.0</v>
      </c>
      <c r="B533" s="2" t="str">
        <f>"let l"&amp;$A$527&amp;"=l"&amp;$A$519&amp;"("&amp;ROW('1'!$14:$14)-2&amp;")[0]-k"&amp;$A$11&amp;"(l"&amp;$A$524&amp;");"</f>
        <v>let l20=l12(12)[0]-k6(l17);</v>
      </c>
      <c r="C533" s="1"/>
      <c r="D533" s="1"/>
      <c r="E533" s="1"/>
      <c r="F533" s="5"/>
      <c r="G533" s="5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0" customHeight="1">
      <c r="A534" s="6">
        <v>27.0</v>
      </c>
      <c r="B534" s="2" t="str">
        <f>"let l"&amp;$A$528&amp;"=l"&amp;$A$519&amp;"("&amp;ROW('1'!$13:$13)-2&amp;")[1]+l"&amp;$A$520&amp;"("&amp;ROW('1'!$15:$15)-2&amp;");"</f>
        <v>let l21=l12(11)[1]+l13(13);</v>
      </c>
      <c r="C534" s="1"/>
      <c r="D534" s="1"/>
      <c r="E534" s="1"/>
      <c r="F534" s="5"/>
      <c r="G534" s="5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0" customHeight="1">
      <c r="A535" s="6">
        <v>28.0</v>
      </c>
      <c r="B535" s="2" t="str">
        <f>"let l"&amp;$A$529&amp;"=l"&amp;$A$519&amp;"("&amp;ROW('1'!$14:$14)-2&amp;")[1]+l"&amp;$A$520&amp;"("&amp;ROW('1'!$16:$16)-2&amp;");"</f>
        <v>let l22=l12(12)[1]+l13(14);</v>
      </c>
      <c r="C535" s="1"/>
      <c r="D535" s="1"/>
      <c r="E535" s="1"/>
      <c r="F535" s="5"/>
      <c r="G535" s="5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0" customHeight="1">
      <c r="A536" s="6">
        <v>29.0</v>
      </c>
      <c r="B536" s="2" t="str">
        <f>"let l"&amp;$A$530&amp;"=l"&amp;$A$523&amp;"("&amp;ROW('1'!$6:$6)-2&amp;")||l"&amp;$A$518&amp;"("&amp;ROW('1'!$7:$7)-2&amp;")&gt;0;"</f>
        <v>let l23=l16(4)||l11(5)&gt;0;</v>
      </c>
      <c r="C536" s="2"/>
      <c r="D536" s="2"/>
      <c r="E536" s="2"/>
      <c r="F536" s="2"/>
      <c r="G536" s="5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0" customHeight="1">
      <c r="A537" s="6">
        <v>30.0</v>
      </c>
      <c r="B537" s="2" t="str">
        <f>"let l"&amp;$A$531&amp;"=l"&amp;$A$515&amp;"(["&amp;ROW('1'!$7:$7)-2&amp;",100]);"</f>
        <v>let l24=l8([5,100]);</v>
      </c>
      <c r="C537" s="1"/>
      <c r="D537" s="1"/>
      <c r="E537" s="2"/>
      <c r="F537" s="5"/>
      <c r="G537" s="5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0" customHeight="1">
      <c r="A538" s="6">
        <v>31.0</v>
      </c>
      <c r="B538" s="2" t="str">
        <f>"let l"&amp;$A$532&amp;"=l"&amp;$A$514&amp;"(["&amp;ROW('1'!$11:$11)-2&amp;","&amp;ROW('1'!$12:$12)-2&amp;"]);"</f>
        <v>let l25=l7([9,10]);</v>
      </c>
      <c r="C538" s="1"/>
      <c r="D538" s="1"/>
      <c r="E538" s="1"/>
      <c r="F538" s="5"/>
      <c r="G538" s="5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0" customHeight="1">
      <c r="A539" s="6">
        <v>32.0</v>
      </c>
      <c r="B539" s="2" t="str">
        <f>"let l"&amp;$A$533&amp;"=l"&amp;$A$509&amp;"[l"&amp;$A$518&amp;"("&amp;ROW('1'!$8:$8)-2&amp;")];"</f>
        <v>let l26=l2[l11(6)];</v>
      </c>
      <c r="C539" s="1"/>
      <c r="D539" s="1"/>
      <c r="E539" s="1"/>
      <c r="F539" s="5"/>
      <c r="G539" s="5"/>
      <c r="H539" s="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0" customHeight="1">
      <c r="A540" s="6">
        <v>33.0</v>
      </c>
      <c r="B540" s="2" t="str">
        <f>"let l"&amp;$A$534&amp;"=k"&amp;$A$6&amp;"(l"&amp;$A$518&amp;"("&amp;ROW('1'!$3:$3)-2&amp;"));"</f>
        <v>let l27=k1(l11(1));</v>
      </c>
      <c r="C540" s="2"/>
      <c r="D540" s="2"/>
      <c r="E540" s="2"/>
      <c r="F540" s="2"/>
      <c r="G540" s="5"/>
      <c r="H540" s="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0" customHeight="1">
      <c r="A541" s="6">
        <v>34.0</v>
      </c>
      <c r="B541" s="2" t="str">
        <f>"let l"&amp;$A$535&amp;"=k"&amp;$A$6&amp;"(l"&amp;$A$518&amp;"("&amp;ROW('1'!$4:$4)-2&amp;"));"</f>
        <v>let l28=k1(l11(2));</v>
      </c>
      <c r="C541" s="2"/>
      <c r="D541" s="2"/>
      <c r="E541" s="2"/>
      <c r="F541" s="2"/>
      <c r="G541" s="5"/>
      <c r="H541" s="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0" customHeight="1">
      <c r="A542" s="6">
        <v>35.0</v>
      </c>
      <c r="B542" s="2" t="str">
        <f>"let l"&amp;$A$536&amp;"=k"&amp;$A$6&amp;"(l"&amp;$A$518&amp;"("&amp;ROW('1'!$5:$5)-2&amp;"));"</f>
        <v>let l29=k1(l11(3));</v>
      </c>
      <c r="C542" s="1"/>
      <c r="D542" s="1"/>
      <c r="E542" s="2"/>
      <c r="F542" s="5"/>
      <c r="G542" s="5"/>
      <c r="H542" s="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0" customHeight="1">
      <c r="A543" s="6">
        <v>36.0</v>
      </c>
      <c r="B543" s="2" t="str">
        <f>"let l"&amp;$A$537&amp;"=k"&amp;$A$6&amp;"(l"&amp;$A$518&amp;"("&amp;ROW('1'!$6:$6)-2&amp;"));"</f>
        <v>let l30=k1(l11(4));</v>
      </c>
      <c r="C543" s="1"/>
      <c r="D543" s="1"/>
      <c r="E543" s="2"/>
      <c r="F543" s="5"/>
      <c r="G543" s="5"/>
      <c r="H543" s="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0" customHeight="1">
      <c r="A544" s="6">
        <v>37.0</v>
      </c>
      <c r="B544" s="2" t="str">
        <f>"let l"&amp;$A$538&amp;"=k"&amp;$A$6&amp;"(l"&amp;$A$518&amp;"("&amp;ROW('1'!$7:$7)-2&amp;"));"</f>
        <v>let l31=k1(l11(5));</v>
      </c>
      <c r="C544" s="1"/>
      <c r="D544" s="1"/>
      <c r="E544" s="1"/>
      <c r="F544" s="5"/>
      <c r="G544" s="5"/>
      <c r="H544" s="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0" customHeight="1">
      <c r="A545" s="6">
        <v>38.0</v>
      </c>
      <c r="B545" s="2" t="str">
        <f>"let l"&amp;$A$539&amp;"=l"&amp;$A$519&amp;"("&amp;ROW('1'!$17:$17)-2&amp;")[0];"</f>
        <v>let l32=l12(15)[0];</v>
      </c>
      <c r="C545" s="1"/>
      <c r="D545" s="1"/>
      <c r="E545" s="1"/>
      <c r="F545" s="1"/>
      <c r="G545" s="5"/>
      <c r="H545" s="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0" customHeight="1">
      <c r="A546" s="6">
        <v>39.0</v>
      </c>
      <c r="B546" s="2" t="str">
        <f>"let l"&amp;$A$540&amp;"=l"&amp;$A$519&amp;"("&amp;ROW('1'!$17:$17)-2&amp;")[1];"</f>
        <v>let l33=l12(15)[1];</v>
      </c>
      <c r="C546" s="1"/>
      <c r="D546" s="1"/>
      <c r="E546" s="1"/>
      <c r="F546" s="1"/>
      <c r="G546" s="5"/>
      <c r="H546" s="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0" customHeight="1">
      <c r="A547" s="6">
        <v>40.0</v>
      </c>
      <c r="B547" s="2" t="str">
        <f>"let l"&amp;$A$541&amp;"=l"&amp;$A$519&amp;"("&amp;ROW('1'!$18:$18)-2&amp;")[0];"</f>
        <v>let l34=l12(16)[0];</v>
      </c>
      <c r="C547" s="1"/>
      <c r="D547" s="1"/>
      <c r="E547" s="1"/>
      <c r="F547" s="1"/>
      <c r="G547" s="5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0" customHeight="1">
      <c r="A548" s="6">
        <v>41.0</v>
      </c>
      <c r="B548" s="2" t="str">
        <f>"let l"&amp;$A$542&amp;"=l"&amp;$A$519&amp;"("&amp;ROW('1'!$18:$18)-2&amp;")[0||1];"</f>
        <v>let l35=l12(16)[0||1];</v>
      </c>
      <c r="C548" s="1"/>
      <c r="D548" s="1"/>
      <c r="E548" s="1"/>
      <c r="F548" s="1"/>
      <c r="G548" s="5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0" customHeight="1">
      <c r="A549" s="6">
        <v>42.0</v>
      </c>
      <c r="B549" s="2" t="str">
        <f>"let l"&amp;$A$543&amp;"=l"&amp;$A$539&amp;"&lt;0?'%':'px';"</f>
        <v>let l36=l32&lt;0?'%':'px';</v>
      </c>
      <c r="C549" s="1"/>
      <c r="D549" s="1"/>
      <c r="E549" s="1"/>
      <c r="F549" s="1"/>
      <c r="G549" s="5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0" customHeight="1">
      <c r="A550" s="6">
        <v>43.0</v>
      </c>
      <c r="B550" s="2" t="str">
        <f>"let l"&amp;$A$544&amp;"=l"&amp;$A$540&amp;"&lt;0?'%':'px';"</f>
        <v>let l37=l33&lt;0?'%':'px';</v>
      </c>
      <c r="C550" s="1"/>
      <c r="D550" s="1"/>
      <c r="E550" s="1"/>
      <c r="F550" s="1"/>
      <c r="G550" s="5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0" customHeight="1">
      <c r="A551" s="6">
        <v>44.0</v>
      </c>
      <c r="B551" s="2" t="str">
        <f>"let l"&amp;$A$545&amp;"=l"&amp;$A$541&amp;"&lt;0?'%':'px';"</f>
        <v>let l38=l34&lt;0?'%':'px';</v>
      </c>
      <c r="C551" s="1"/>
      <c r="D551" s="1"/>
      <c r="E551" s="1"/>
      <c r="F551" s="1"/>
      <c r="G551" s="5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0" customHeight="1">
      <c r="A552" s="6">
        <v>45.0</v>
      </c>
      <c r="B552" s="2" t="str">
        <f>"let l"&amp;$A$546&amp;"=l"&amp;$A$542&amp;"&lt;0?'%':'px';"</f>
        <v>let l39=l35&lt;0?'%':'px';</v>
      </c>
      <c r="C552" s="1"/>
      <c r="D552" s="1"/>
      <c r="E552" s="1"/>
      <c r="F552" s="1"/>
      <c r="G552" s="5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0" customHeight="1">
      <c r="A553" s="6">
        <v>46.0</v>
      </c>
      <c r="B553" s="2" t="str">
        <f>"let l"&amp;$A$547&amp;"='margin-top';"</f>
        <v>let l40='margin-top';</v>
      </c>
      <c r="C553" s="1"/>
      <c r="D553" s="1"/>
      <c r="E553" s="1"/>
      <c r="F553" s="5"/>
      <c r="G553" s="5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0" customHeight="1">
      <c r="A554" s="6">
        <v>47.0</v>
      </c>
      <c r="B554" s="2" t="str">
        <f>"let l"&amp;$A$548&amp;"='margin-left';"</f>
        <v>let l41='margin-left';</v>
      </c>
      <c r="C554" s="1"/>
      <c r="D554" s="1"/>
      <c r="E554" s="1"/>
      <c r="F554" s="5"/>
      <c r="G554" s="5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0" customHeight="1">
      <c r="A555" s="6">
        <v>48.0</v>
      </c>
      <c r="B555" s="2" t="str">
        <f>"let l"&amp;$A$549&amp;"='margin-right';"</f>
        <v>let l42='margin-right';</v>
      </c>
      <c r="C555" s="1"/>
      <c r="D555" s="1"/>
      <c r="E555" s="1"/>
      <c r="F555" s="5"/>
      <c r="G555" s="5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0" customHeight="1">
      <c r="A556" s="6">
        <v>49.0</v>
      </c>
      <c r="B556" s="2" t="str">
        <f>"let l"&amp;$A$550&amp;"='margin-bottom';"</f>
        <v>let l43='margin-bottom';</v>
      </c>
      <c r="C556" s="1"/>
      <c r="D556" s="1"/>
      <c r="E556" s="1"/>
      <c r="F556" s="5"/>
      <c r="G556" s="5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0" customHeight="1">
      <c r="A557" s="5" t="s">
        <v>0</v>
      </c>
      <c r="B557" s="2" t="str">
        <f>"let l"&amp;$A$551&amp;"='padding-top';"</f>
        <v>let l44='padding-top';</v>
      </c>
      <c r="C557" s="1"/>
      <c r="D557" s="1"/>
      <c r="E557" s="1"/>
      <c r="F557" s="5"/>
      <c r="G557" s="2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0" customHeight="1">
      <c r="B558" s="2" t="str">
        <f>"let l"&amp;$A$552&amp;"='padding-left';"</f>
        <v>let l45='padding-left';</v>
      </c>
      <c r="C558" s="1"/>
      <c r="D558" s="1"/>
      <c r="E558" s="1"/>
      <c r="F558" s="5"/>
      <c r="G558" s="2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0" customHeight="1">
      <c r="B559" s="2" t="str">
        <f>"let l"&amp;$A$553&amp;"='padding-right';"</f>
        <v>let l46='padding-right';</v>
      </c>
      <c r="C559" s="1"/>
      <c r="D559" s="1"/>
      <c r="E559" s="1"/>
      <c r="F559" s="5"/>
      <c r="G559" s="2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0" customHeight="1">
      <c r="B560" s="2" t="str">
        <f>"let l"&amp;$A$554&amp;"='padding-bottom';"</f>
        <v>let l47='padding-bottom';</v>
      </c>
      <c r="C560" s="1"/>
      <c r="D560" s="1"/>
      <c r="E560" s="1"/>
      <c r="F560" s="5"/>
      <c r="G560" s="2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0" customHeight="1">
      <c r="B561" s="2" t="str">
        <f>"let l"&amp;$A$555&amp;"='background-image';"</f>
        <v>let l48='background-image';</v>
      </c>
      <c r="C561" s="1"/>
      <c r="D561" s="1"/>
      <c r="E561" s="1"/>
      <c r="F561" s="5"/>
      <c r="G561" s="2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0" customHeight="1">
      <c r="B562" s="2" t="str">
        <f>"let l"&amp;$A$556&amp;"=`${l"&amp;$A$531&amp;"}% - ${l"&amp;$A$529&amp;"}px`;"</f>
        <v>let l49=`${l24}% - ${l22}px`;</v>
      </c>
      <c r="C562" s="1"/>
      <c r="D562" s="1"/>
      <c r="E562" s="1"/>
      <c r="F562" s="5"/>
      <c r="G562" s="5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B563" s="2" t="str">
        <f>"h[2]+=`#l${k"&amp;$A$12&amp;"(i)}{"</f>
        <v>h[2]+=`#l${k7(i)}{</v>
      </c>
      <c r="C563" s="1"/>
      <c r="D563" s="1"/>
      <c r="E563" s="1"/>
      <c r="F563" s="5"/>
      <c r="G563" s="5"/>
      <c r="H563" s="2"/>
      <c r="I563" s="5"/>
      <c r="J563" s="5"/>
      <c r="K563" s="3"/>
      <c r="L563" s="5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0" customHeight="1">
      <c r="B564" s="2" t="str">
        <f>"${!l"&amp;$A$516&amp;"("&amp;ROW('1'!$10:$10)-2&amp;")?'':`order:${l"&amp;$A$515&amp;"(["&amp;ROW('1'!$10:$10)-2&amp;",0])};`}"</f>
        <v>${!l9(8)?'':`order:${l8([8,0])};`}</v>
      </c>
      <c r="C564" s="1"/>
      <c r="D564" s="1"/>
      <c r="E564" s="1"/>
      <c r="F564" s="18"/>
      <c r="G564" s="5"/>
      <c r="H564" s="2"/>
      <c r="I564" s="5"/>
      <c r="J564" s="5"/>
      <c r="K564" s="3"/>
      <c r="L564" s="5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B565" s="2" t="str">
        <f>"${l"&amp;$A$522&amp;"("&amp;ROW('1'!$2:$2)-2&amp;")?'':`flex-grow:${k"&amp;$A$6&amp;"(l"&amp;$A$518&amp;"("&amp;ROW('1'!$2:$2)-2&amp;"))};`}"</f>
        <v>${l15(0)?'':`flex-grow:${k1(l11(0))};`}</v>
      </c>
      <c r="C565" s="1"/>
      <c r="D565" s="1"/>
      <c r="E565" s="1"/>
      <c r="F565" s="5"/>
      <c r="G565" s="5"/>
      <c r="H565" s="2"/>
      <c r="I565" s="5"/>
      <c r="J565" s="5"/>
      <c r="K565" s="3"/>
      <c r="L565" s="5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B566" s="2" t="str">
        <f>"${l"&amp;$A$518&amp;"("&amp;ROW('1'!$2:$2)-2&amp;")&gt;=0?'':`flex-shrink:${k"&amp;$A$6&amp;"(l"&amp;$A$518&amp;"("&amp;ROW('1'!$2:$2)-2&amp;"))};`}"</f>
        <v>${l11(0)&gt;=0?'':`flex-shrink:${k1(l11(0))};`}</v>
      </c>
      <c r="C566" s="1"/>
      <c r="D566" s="1"/>
      <c r="E566" s="1"/>
      <c r="F566" s="5"/>
      <c r="G566" s="5"/>
      <c r="H566" s="2"/>
      <c r="I566" s="5"/>
      <c r="J566" s="5"/>
      <c r="K566" s="3"/>
      <c r="L566" s="5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0" customHeight="1">
      <c r="B567" s="2" t="str">
        <f>"${l"&amp;$A$532&amp;"||!l"&amp;$A$521&amp;"("&amp;ROW('1'!$13:$13)-2&amp;")[0]?'':`left:${l"&amp;$A$519&amp;"("&amp;ROW('1'!$13:$13)-2&amp;")[0]}px;`}"</f>
        <v>${l25||!l14(11)[0]?'':`left:${l12(11)[0]}px;`}</v>
      </c>
      <c r="C567" s="1"/>
      <c r="D567" s="1"/>
      <c r="E567" s="1"/>
      <c r="F567" s="5"/>
      <c r="G567" s="5"/>
      <c r="H567" s="2"/>
      <c r="I567" s="5"/>
      <c r="J567" s="5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0" customHeight="1">
      <c r="B568" s="2" t="str">
        <f>"${l"&amp;$A$532&amp;"||!l"&amp;$A$521&amp;"("&amp;ROW('1'!$14:$14)-2&amp;")[0]||0?'':`top:${l"&amp;$A$519&amp;"("&amp;ROW('1'!$14:$14)-2&amp;")[0]}px;`}"</f>
        <v>${l25||!l14(12)[0]||0?'':`top:${l12(12)[0]}px;`}</v>
      </c>
      <c r="C568" s="1"/>
      <c r="D568" s="1"/>
      <c r="E568" s="1"/>
      <c r="F568" s="5"/>
      <c r="G568" s="5"/>
      <c r="H568" s="2"/>
      <c r="I568" s="5"/>
      <c r="J568" s="5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0" customHeight="1">
      <c r="B569" s="2" t="str">
        <f>"${!l"&amp;$A$532&amp;"?'':`left:calc(${l"&amp;$A$515&amp;"(["&amp;ROW('1'!$11:$11)-2&amp;",0])}% + ${l"&amp;$A$526&amp;"}px);`}"</f>
        <v>${!l25?'':`left:calc(${l8([9,0])}% + ${l19}px);`}</v>
      </c>
      <c r="C569" s="1"/>
      <c r="D569" s="1"/>
      <c r="E569" s="1"/>
      <c r="F569" s="5"/>
      <c r="G569" s="5"/>
      <c r="H569" s="2"/>
      <c r="I569" s="5"/>
      <c r="J569" s="5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0" customHeight="1">
      <c r="B570" s="2" t="str">
        <f>"${!l"&amp;$A$532&amp;"?'':`top:calc(${l"&amp;$A$515&amp;"(["&amp;ROW('1'!$12:$12)-2&amp;",0])}% + ${l"&amp;$A$527&amp;"}px);`}"</f>
        <v>${!l25?'':`top:calc(${l8([10,0])}% + ${l20}px);`}</v>
      </c>
      <c r="C570" s="1"/>
      <c r="D570" s="1"/>
      <c r="E570" s="1"/>
      <c r="F570" s="18"/>
      <c r="G570" s="5"/>
      <c r="H570" s="2"/>
      <c r="I570" s="5"/>
      <c r="J570" s="5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B571" s="2" t="str">
        <f>"${l"&amp;$A$518&amp;"("&amp;ROW('1'!$3:$3)-2&amp;")&lt;=0?'':`width:calc(${l"&amp;$A$534&amp;"}% - ${l"&amp;$A$528&amp;"}px);`}"</f>
        <v>${l11(1)&lt;=0?'':`width:calc(${l27}% - ${l21}px);`}</v>
      </c>
      <c r="C571" s="1"/>
      <c r="D571" s="1"/>
      <c r="E571" s="1"/>
      <c r="F571" s="5"/>
      <c r="G571" s="5"/>
      <c r="H571" s="2"/>
      <c r="I571" s="5"/>
      <c r="J571" s="5"/>
      <c r="K571" s="3"/>
      <c r="L571" s="5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B572" s="2" t="str">
        <f>"${!l"&amp;$A$516&amp;"("&amp;ROW('1'!$3:$3)-2&amp;")||l"&amp;$A$518&amp;"("&amp;ROW('1'!$3:$3)-2&amp;")&gt;0||0?'':`width:${l"&amp;$A$534&amp;"-l"&amp;$A$528&amp;"}px;`}"</f>
        <v>${!l9(1)||l11(1)&gt;0||0?'':`width:${l27-l21}px;`}</v>
      </c>
      <c r="C572" s="1"/>
      <c r="D572" s="1"/>
      <c r="E572" s="1"/>
      <c r="F572" s="5"/>
      <c r="G572" s="5"/>
      <c r="H572" s="2"/>
      <c r="I572" s="5"/>
      <c r="J572" s="5"/>
      <c r="K572" s="3"/>
      <c r="L572" s="5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0" customHeight="1">
      <c r="B573" s="2" t="str">
        <f>"${!l"&amp;$A$516&amp;"("&amp;ROW('1'!$4:$4)-2&amp;")||l"&amp;$A$518&amp;"("&amp;ROW('1'!$4:$4)-2&amp;")&lt;=0?'':`max-width:${l"&amp;$A$535&amp;"-l"&amp;$A$528&amp;"}px;`}"</f>
        <v>${!l9(2)||l11(2)&lt;=0?'':`max-width:${l28-l21}px;`}</v>
      </c>
      <c r="C573" s="1"/>
      <c r="D573" s="1"/>
      <c r="E573" s="1"/>
      <c r="F573" s="18"/>
      <c r="G573" s="5"/>
      <c r="H573" s="2"/>
      <c r="I573" s="5"/>
      <c r="J573" s="5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0" customHeight="1">
      <c r="B574" s="2" t="str">
        <f>"${!l"&amp;$A$516&amp;"("&amp;ROW('1'!$4:$4)-2&amp;")||l"&amp;$A$518&amp;"("&amp;ROW('1'!$4:$4)-2&amp;")&gt;0?'':`min-width:${l"&amp;$A$535&amp;"-l"&amp;$A$528&amp;"}px;`}"</f>
        <v>${!l9(2)||l11(2)&gt;0?'':`min-width:${l28-l21}px;`}</v>
      </c>
      <c r="C574" s="1"/>
      <c r="D574" s="1"/>
      <c r="E574" s="1"/>
      <c r="F574" s="18"/>
      <c r="G574" s="5"/>
      <c r="H574" s="2"/>
      <c r="I574" s="5"/>
      <c r="J574" s="5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0" customHeight="1">
      <c r="B575" s="2" t="str">
        <f>"${l"&amp;$A$518&amp;"("&amp;ROW('1'!$5:$5)-2&amp;")&lt;=0?'':`height:calc(${l"&amp;$A$536&amp;"}% - ${l"&amp;$A$529&amp;"}px);`}"</f>
        <v>${l11(3)&lt;=0?'':`height:calc(${l29}% - ${l22}px);`}</v>
      </c>
      <c r="C575" s="1"/>
      <c r="D575" s="1"/>
      <c r="E575" s="1"/>
      <c r="F575" s="18"/>
      <c r="G575" s="5"/>
      <c r="H575" s="2"/>
      <c r="I575" s="5"/>
      <c r="J575" s="5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B576" s="2" t="str">
        <f>"${!l"&amp;$A$516&amp;"("&amp;ROW('1'!$5:$5)-2&amp;")||l"&amp;$A$518&amp;"("&amp;ROW('1'!$5:$5)-2&amp;")&gt;0||0?'':`height:${k"&amp;$A$5&amp;"(l"&amp;$A$536&amp;"-l"&amp;$A$529&amp;")}px;`}"</f>
        <v>${!l9(3)||l11(3)&gt;0||0?'':`height:${k0(l29-l22)}px;`}</v>
      </c>
      <c r="C576" s="1"/>
      <c r="D576" s="1"/>
      <c r="E576" s="1"/>
      <c r="F576" s="5"/>
      <c r="G576" s="5"/>
      <c r="H576" s="2"/>
      <c r="I576" s="5"/>
      <c r="J576" s="5"/>
      <c r="K576" s="3"/>
      <c r="L576" s="5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0" customHeight="1">
      <c r="B577" s="2" t="str">
        <f>"${!l"&amp;$A$516&amp;"("&amp;ROW('1'!$6:$6)-2&amp;")||l"&amp;$A$518&amp;"("&amp;ROW('1'!$6:$6)-2&amp;")&lt;=0?'':`max-height:${k"&amp;$A$5&amp;"(l"&amp;$A$537&amp;"-l"&amp;$A$529&amp;")}px;`}"</f>
        <v>${!l9(4)||l11(4)&lt;=0?'':`max-height:${k0(l30-l22)}px;`}</v>
      </c>
      <c r="C577" s="1"/>
      <c r="D577" s="1"/>
      <c r="E577" s="1"/>
      <c r="F577" s="18"/>
      <c r="G577" s="5"/>
      <c r="H577" s="2"/>
      <c r="I577" s="5"/>
      <c r="J577" s="5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0" customHeight="1">
      <c r="B578" s="2" t="str">
        <f>"${!l"&amp;$A$516&amp;"("&amp;ROW('1'!$6:$6)-2&amp;")||l"&amp;$A$518&amp;"("&amp;ROW('1'!$6:$6)-2&amp;")&gt;0?'':`min-height:${k"&amp;$A$5&amp;"(l"&amp;$A$537&amp;"-l"&amp;$A$529&amp;")}px;`}"</f>
        <v>${!l9(4)||l11(4)&gt;0?'':`min-height:${k0(l30-l22)}px;`}</v>
      </c>
      <c r="C578" s="1"/>
      <c r="D578" s="1"/>
      <c r="E578" s="1"/>
      <c r="F578" s="18"/>
      <c r="G578" s="5"/>
      <c r="H578" s="2"/>
      <c r="I578" s="5"/>
      <c r="J578" s="5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0" customHeight="1">
      <c r="B579" s="2" t="str">
        <f>"${!l"&amp;$A$530&amp;"||!l"&amp;$A$523&amp;"("&amp;ROW('1'!$7:$7)-2&amp;")||0||0?'':`min-height:calc(${l"&amp;$A$556&amp;"});`}"</f>
        <v>${!l23||!l16(5)||0||0?'':`min-height:calc(${l49});`}</v>
      </c>
      <c r="C579" s="1"/>
      <c r="D579" s="1"/>
      <c r="E579" s="1"/>
      <c r="F579" s="18"/>
      <c r="G579" s="2"/>
      <c r="H579" s="2"/>
      <c r="I579" s="5"/>
      <c r="J579" s="5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0" customHeight="1">
      <c r="B580" s="2" t="str">
        <f>"${!l"&amp;$A$516&amp;"("&amp;ROW('1'!$7:$7)-2&amp;")||l"&amp;$A$518&amp;"("&amp;ROW('1'!$7:$7)-2&amp;")!=0||0?'':`min-height:${l"&amp;$A$531&amp;"}%;`}"</f>
        <v>${!l9(5)||l11(5)!=0||0?'':`min-height:${l24}%;`}</v>
      </c>
      <c r="C580" s="1"/>
      <c r="D580" s="1"/>
      <c r="E580" s="1"/>
      <c r="F580" s="18"/>
      <c r="G580" s="2"/>
      <c r="H580" s="2"/>
      <c r="I580" s="5"/>
      <c r="J580" s="5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0" customHeight="1">
      <c r="B581" s="2" t="str">
        <f>"${l"&amp;$A$518&amp;"("&amp;ROW('1'!$7:$7)-2&amp;")&gt;=0?'':`aspect-ratio:${k"&amp;$A$11&amp;"(100/l"&amp;$A$538&amp;")};`}"</f>
        <v>${l11(5)&gt;=0?'':`aspect-ratio:${k6(100/l31)};`}</v>
      </c>
      <c r="C581" s="1"/>
      <c r="D581" s="1"/>
      <c r="E581" s="1"/>
      <c r="F581" s="18"/>
      <c r="G581" s="2"/>
      <c r="H581" s="2"/>
      <c r="I581" s="5"/>
      <c r="J581" s="5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0" customHeight="1">
      <c r="B582" s="2" t="str">
        <f>"${!l"&amp;$A$521&amp;"("&amp;ROW('1'!$15:$15)-2&amp;")[0]||0?'':`${l"&amp;$A$548&amp;"}:${l"&amp;$A$519&amp;"("&amp;ROW('1'!$15:$15)-2&amp;")[0]}px;`}"</f>
        <v>${!l14(13)[0]||0?'':`${l41}:${l12(13)[0]}px;`}</v>
      </c>
      <c r="C582" s="1"/>
      <c r="D582" s="1"/>
      <c r="E582" s="1"/>
      <c r="F582" s="18"/>
      <c r="G582" s="2"/>
      <c r="H582" s="2"/>
      <c r="I582" s="5"/>
      <c r="J582" s="5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0" customHeight="1">
      <c r="B583" s="2" t="str">
        <f>"${!l"&amp;$A$521&amp;"("&amp;ROW('1'!$15:$15)-2&amp;")[1]||0?'':`${l"&amp;$A$549&amp;"}:${l"&amp;$A$519&amp;"("&amp;ROW('1'!$15:$15)-2&amp;")[1]}px;`}"</f>
        <v>${!l14(13)[1]||0?'':`${l42}:${l12(13)[1]}px;`}</v>
      </c>
      <c r="C583" s="1"/>
      <c r="D583" s="1"/>
      <c r="E583" s="1"/>
      <c r="F583" s="18"/>
      <c r="G583" s="2"/>
      <c r="H583" s="2"/>
      <c r="I583" s="5"/>
      <c r="J583" s="5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0" customHeight="1">
      <c r="B584" s="2" t="str">
        <f>"${!l"&amp;$A$521&amp;"("&amp;ROW('1'!$16:$16)-2&amp;")[0]||0?'':`${l"&amp;$A$547&amp;"}:${l"&amp;$A$519&amp;"("&amp;ROW('1'!$16:$16)-2&amp;")[0]}px;`}"</f>
        <v>${!l14(14)[0]||0?'':`${l40}:${l12(14)[0]}px;`}</v>
      </c>
      <c r="C584" s="1"/>
      <c r="D584" s="1"/>
      <c r="E584" s="1"/>
      <c r="F584" s="18"/>
      <c r="G584" s="2"/>
      <c r="H584" s="2"/>
      <c r="I584" s="5"/>
      <c r="J584" s="5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0" customHeight="1">
      <c r="B585" s="2" t="str">
        <f>"${!l"&amp;$A$521&amp;"("&amp;ROW('1'!$16:$16)-2&amp;")[1]||0?'':`${l"&amp;$A$550&amp;"}:${l"&amp;$A$519&amp;"("&amp;ROW('1'!$16:$16)-2&amp;")[1]}px;`}"</f>
        <v>${!l14(14)[1]||0?'':`${l43}:${l12(14)[1]}px;`}</v>
      </c>
      <c r="C585" s="1"/>
      <c r="D585" s="1"/>
      <c r="E585" s="1"/>
      <c r="F585" s="18"/>
      <c r="G585" s="2"/>
      <c r="H585" s="2"/>
      <c r="I585" s="5"/>
      <c r="J585" s="5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0" customHeight="1">
      <c r="B586" s="2" t="str">
        <f>"${!l"&amp;$A$521&amp;"("&amp;ROW('1'!$17:$17)-2&amp;")[0]?'':`${l"&amp;$A$552&amp;"}:${k"&amp;$A$6&amp;"(l"&amp;$A$539&amp;")}${l"&amp;$A$543&amp;"};`}"</f>
        <v>${!l14(15)[0]?'':`${l45}:${k1(l32)}${l36};`}</v>
      </c>
      <c r="C586" s="1"/>
      <c r="D586" s="1"/>
      <c r="E586" s="1"/>
      <c r="F586" s="18"/>
      <c r="G586" s="2"/>
      <c r="H586" s="2"/>
      <c r="I586" s="5"/>
      <c r="J586" s="5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0" customHeight="1">
      <c r="B587" s="2" t="str">
        <f>"${!l"&amp;$A$521&amp;"("&amp;ROW('1'!$17:$17)-2&amp;")[1]?'':`${l"&amp;$A$553&amp;"}:${k"&amp;$A$6&amp;"(l"&amp;$A$540&amp;")}${l"&amp;$A$544&amp;"};`}"</f>
        <v>${!l14(15)[1]?'':`${l46}:${k1(l33)}${l37};`}</v>
      </c>
      <c r="C587" s="1"/>
      <c r="D587" s="1"/>
      <c r="E587" s="1"/>
      <c r="F587" s="18"/>
      <c r="G587" s="2"/>
      <c r="H587" s="2"/>
      <c r="I587" s="5"/>
      <c r="J587" s="5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0" customHeight="1">
      <c r="B588" s="2" t="str">
        <f>"${!l"&amp;$A$521&amp;"("&amp;ROW('1'!$18:$18)-2&amp;")[0]?'':`${l"&amp;$A$551&amp;"}:${k"&amp;$A$6&amp;"(l"&amp;$A$541&amp;")}${l"&amp;$A$545&amp;"};`}"</f>
        <v>${!l14(16)[0]?'':`${l44}:${k1(l34)}${l38};`}</v>
      </c>
      <c r="C588" s="1"/>
      <c r="D588" s="1"/>
      <c r="E588" s="1"/>
      <c r="F588" s="18"/>
      <c r="G588" s="2"/>
      <c r="H588" s="2"/>
      <c r="I588" s="5"/>
      <c r="J588" s="5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0" customHeight="1">
      <c r="B589" s="2" t="str">
        <f>"${!l"&amp;$A$521&amp;"("&amp;ROW('1'!$18:$18)-2&amp;")[1]?'':`${l"&amp;$A$554&amp;"}:${k"&amp;$A$6&amp;"(l"&amp;$A$542&amp;")}${l"&amp;$A$546&amp;"};`}"</f>
        <v>${!l14(16)[1]?'':`${l47}:${k1(l35)}${l39};`}</v>
      </c>
      <c r="C589" s="1"/>
      <c r="D589" s="1"/>
      <c r="E589" s="1"/>
      <c r="F589" s="18"/>
      <c r="G589" s="2"/>
      <c r="H589" s="2"/>
      <c r="I589" s="5"/>
      <c r="J589" s="5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0" customHeight="1">
      <c r="B590" s="2" t="str">
        <f>"${!l"&amp;$A$518&amp;"("&amp;ROW('1'!$9:$9)-2&amp;")||0||0?'':`${h"&amp;$A$48&amp;"([0,l"&amp;$A$518&amp;"("&amp;ROW('1'!$9:$9)-2&amp;")])}`}"</f>
        <v>${!l11(7)||0||0?'':`${h24([0,l11(7)])}`}</v>
      </c>
      <c r="C590" s="1"/>
      <c r="D590" s="1"/>
      <c r="E590" s="1"/>
      <c r="F590" s="5"/>
      <c r="G590" s="5"/>
      <c r="H590" s="2"/>
      <c r="I590" s="5"/>
      <c r="J590" s="5"/>
      <c r="K590" s="3"/>
      <c r="L590" s="5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0" customHeight="1">
      <c r="B591" s="2" t="str">
        <f>"${!l"&amp;$A$518&amp;"("&amp;ROW('1'!$8:$8)-2&amp;")?'':`align-self:${l"&amp;$A$533&amp;"};`}"</f>
        <v>${!l11(6)?'':`align-self:${l26};`}</v>
      </c>
      <c r="C591" s="1"/>
      <c r="D591" s="1"/>
      <c r="E591" s="1"/>
      <c r="F591" s="18"/>
      <c r="G591" s="2"/>
      <c r="H591" s="2"/>
      <c r="I591" s="5"/>
      <c r="J591" s="5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0" customHeight="1">
      <c r="B592" s="2" t="str">
        <f>"${!l"&amp;$A$532&amp;"||0||0?'':`translate:"</f>
        <v>${!l25||0||0?'':`translate:</v>
      </c>
      <c r="C592" s="1"/>
      <c r="D592" s="1"/>
      <c r="E592" s="1"/>
      <c r="F592" s="5"/>
      <c r="G592" s="5"/>
      <c r="H592" s="2"/>
      <c r="I592" s="5"/>
      <c r="J592" s="5"/>
      <c r="K592" s="3"/>
      <c r="L592" s="5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0" customHeight="1">
      <c r="B593" s="2" t="str">
        <f>"${!l"&amp;$A$518&amp;"("&amp;ROW('1'!$11:$11)-2&amp;")?'0':`${l"&amp;$A$518&amp;"("&amp;ROW('1'!$11:$11)-2&amp;")/-1}%`} "</f>
        <v>${!l11(9)?'0':`${l11(9)/-1}%`} </v>
      </c>
      <c r="C593" s="1"/>
      <c r="D593" s="1"/>
      <c r="E593" s="1"/>
      <c r="F593" s="5"/>
      <c r="G593" s="5"/>
      <c r="H593" s="2"/>
      <c r="I593" s="5"/>
      <c r="J593" s="5"/>
      <c r="K593" s="3"/>
      <c r="L593" s="5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0" customHeight="1">
      <c r="B594" s="2" t="str">
        <f>"${!l"&amp;$A$518&amp;"("&amp;ROW('1'!$12:$12)-2&amp;")?'0':`${l"&amp;$A$518&amp;"("&amp;ROW('1'!$12:$12)-2&amp;")/-1}%`};`}"</f>
        <v>${!l11(10)?'0':`${l11(10)/-1}%`};`}</v>
      </c>
      <c r="C594" s="1"/>
      <c r="D594" s="1"/>
      <c r="E594" s="1"/>
      <c r="F594" s="5"/>
      <c r="G594" s="5"/>
      <c r="H594" s="2"/>
      <c r="I594" s="5"/>
      <c r="J594" s="5"/>
      <c r="K594" s="3"/>
      <c r="L594" s="5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0" customHeight="1">
      <c r="B595" s="2" t="str">
        <f>"${!l"&amp;$A$532&amp;"?'':'position:absolute;'}}"</f>
        <v>${!l25?'':'position:absolute;'}}</v>
      </c>
      <c r="C595" s="1"/>
      <c r="D595" s="1"/>
      <c r="E595" s="1"/>
      <c r="F595" s="18"/>
      <c r="G595" s="5"/>
      <c r="H595" s="2"/>
      <c r="I595" s="5"/>
      <c r="J595" s="5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0" customHeight="1">
      <c r="B596" s="2" t="str">
        <f>"${l"&amp;$A$513&amp;"-l"&amp;$A$512&amp;"&gt;i||!l"&amp;$A$511&amp;"?'':`#l${k"&amp;$A$12&amp;"(i)}&gt;"</f>
        <v>${l6-l5&gt;i||!l4?'':`#l${k7(i)}&gt;</v>
      </c>
      <c r="C596" s="1"/>
      <c r="D596" s="1"/>
      <c r="E596" s="1"/>
      <c r="F596" s="18"/>
      <c r="G596" s="2"/>
      <c r="H596" s="2"/>
      <c r="I596" s="5"/>
      <c r="J596" s="5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0" customHeight="1">
      <c r="B597" s="2" t="str">
        <f>"[class]{${l"&amp;$A$555&amp;"}:url('${l"&amp;$A$511&amp;"}"</f>
        <v>[class]{${l48}:url('${l4}</v>
      </c>
      <c r="C597" s="1"/>
      <c r="D597" s="1"/>
      <c r="E597" s="1"/>
      <c r="F597" s="18"/>
      <c r="G597" s="5"/>
      <c r="H597" s="2"/>
      <c r="I597" s="5"/>
      <c r="J597" s="5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2" t="str">
        <f>".png?t=${l"&amp;$A$508&amp;"}');}`}`;}}"</f>
        <v>.png?t=${l1}');}`}`;}}</v>
      </c>
    </row>
    <row r="599" ht="15.0" customHeight="1">
      <c r="B599" s="2" t="str">
        <f>"h"&amp;$A$52&amp;"(['2',"&amp;ROW('2'!$5:$5)-4&amp;","&amp;ROW('2'!$104:$104)-4&amp;"]);"</f>
        <v>h28(['2',1,100]);</v>
      </c>
      <c r="C599" s="1"/>
      <c r="D599" s="1"/>
      <c r="E599" s="1"/>
      <c r="F599" s="5"/>
      <c r="G599" s="5"/>
      <c r="H599" s="2"/>
      <c r="I599" s="5"/>
      <c r="J599" s="5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0" customHeight="1">
      <c r="B600" s="2" t="str">
        <f>"h"&amp;$A$53&amp;"(['3',"&amp;ROW('3'!$5:$5)-4&amp;","&amp;ROW('3'!$104:$104)-4&amp;"]);"</f>
        <v>h29(['3',1,100]);</v>
      </c>
      <c r="C600" s="1"/>
      <c r="D600" s="1"/>
      <c r="E600" s="1"/>
      <c r="F600" s="5"/>
      <c r="G600" s="5"/>
      <c r="H600" s="2"/>
      <c r="I600" s="5"/>
      <c r="J600" s="5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0" customHeight="1">
      <c r="B601" s="2" t="str">
        <f>"h"&amp;$A$51&amp;"(['4',"&amp;ROW('2'!$5:$5)-4&amp;","&amp;ROW('2'!$104:$104)-4&amp;"]);"</f>
        <v>h27(['4',1,100]);</v>
      </c>
      <c r="C601" s="1"/>
      <c r="D601" s="1"/>
      <c r="E601" s="1"/>
      <c r="F601" s="5"/>
      <c r="G601" s="5"/>
      <c r="H601" s="2"/>
      <c r="I601" s="5"/>
      <c r="J601" s="5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0" customHeight="1">
      <c r="B602" s="2" t="str">
        <f>"h"&amp;$A$50&amp;"(['5',"&amp;ROW('2'!$5:$5)-4&amp;","&amp;ROW('2'!$104:$104)-4&amp;"]);}}"</f>
        <v>h26(['5',1,100]);}}</v>
      </c>
      <c r="C602" s="1"/>
      <c r="D602" s="1"/>
      <c r="E602" s="1"/>
      <c r="F602" s="5"/>
      <c r="G602" s="5"/>
      <c r="H602" s="2"/>
      <c r="I602" s="5"/>
      <c r="J602" s="5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0" customHeight="1">
      <c r="A603" s="2"/>
      <c r="B603" s="2"/>
      <c r="C603" s="1"/>
      <c r="D603" s="1"/>
      <c r="E603" s="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0" customHeight="1">
      <c r="A604" s="6">
        <v>0.0</v>
      </c>
      <c r="B604" s="2" t="str">
        <f>$B$507</f>
        <v>if(l[0]&gt;=0){</v>
      </c>
      <c r="C604" s="1"/>
      <c r="D604" s="1"/>
      <c r="E604" s="1"/>
      <c r="F604" s="2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0" customHeight="1">
      <c r="A605" s="6">
        <v>1.0</v>
      </c>
      <c r="B605" s="2" t="str">
        <f>"let l"&amp;$A$604&amp;"=Date.now();"</f>
        <v>let l0=Date.now();</v>
      </c>
      <c r="C605" s="2"/>
      <c r="D605" s="1"/>
      <c r="E605" s="1"/>
      <c r="F605" s="3"/>
      <c r="G605" s="3"/>
      <c r="H605" s="3"/>
      <c r="I605" s="3"/>
      <c r="J605" s="3"/>
      <c r="K605" s="3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3"/>
      <c r="W605" s="1"/>
      <c r="X605" s="1"/>
      <c r="Y605" s="1"/>
      <c r="Z605" s="1"/>
    </row>
    <row r="606" ht="15.0" customHeight="1">
      <c r="A606" s="6">
        <v>2.0</v>
      </c>
      <c r="B606" s="2" t="str">
        <f>"let l"&amp;$A$605&amp;"=k"&amp;$A$15&amp;"(['0',26]);"</f>
        <v>let l1=k10(['0',26]);</v>
      </c>
      <c r="C606" s="2"/>
      <c r="D606" s="1"/>
      <c r="E606" s="1"/>
      <c r="F606" s="3"/>
      <c r="G606" s="3"/>
      <c r="H606" s="3"/>
      <c r="I606" s="3"/>
      <c r="J606" s="3"/>
      <c r="K606" s="3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3"/>
      <c r="W606" s="1"/>
      <c r="X606" s="1"/>
      <c r="Y606" s="1"/>
      <c r="Z606" s="1"/>
    </row>
    <row r="607" ht="15.0" customHeight="1">
      <c r="A607" s="6">
        <v>3.0</v>
      </c>
      <c r="B607" s="2" t="str">
        <f>"let l"&amp;$A$606&amp;"=k"&amp;$A$15&amp;"(['0',38]);"</f>
        <v>let l2=k10(['0',38]);</v>
      </c>
      <c r="C607" s="2"/>
      <c r="D607" s="1"/>
      <c r="E607" s="1"/>
      <c r="F607" s="3"/>
      <c r="G607" s="3"/>
      <c r="H607" s="3"/>
      <c r="I607" s="3"/>
      <c r="J607" s="3"/>
      <c r="K607" s="3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3"/>
      <c r="W607" s="1"/>
      <c r="X607" s="1"/>
      <c r="Y607" s="1"/>
      <c r="Z607" s="1"/>
    </row>
    <row r="608" ht="15.0" customHeight="1">
      <c r="A608" s="6">
        <v>4.0</v>
      </c>
      <c r="B608" s="2" t="str">
        <f>"let l"&amp;$A$607&amp;"=k"&amp;$A$15&amp;"(['0',144]);"</f>
        <v>let l3=k10(['0',144]);</v>
      </c>
      <c r="C608" s="2"/>
      <c r="D608" s="1"/>
      <c r="E608" s="1"/>
      <c r="F608" s="3"/>
      <c r="G608" s="3"/>
      <c r="H608" s="3"/>
      <c r="I608" s="3"/>
      <c r="J608" s="3"/>
      <c r="K608" s="3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3"/>
      <c r="W608" s="1"/>
      <c r="X608" s="1"/>
      <c r="Y608" s="1"/>
      <c r="Z608" s="1"/>
    </row>
    <row r="609" ht="15.0" customHeight="1">
      <c r="A609" s="6">
        <v>5.0</v>
      </c>
      <c r="B609" s="2" t="str">
        <f>"let l"&amp;$A$608&amp;"=l"&amp;$A$606&amp;"||0||Number();"</f>
        <v>let l4=l2||0||Number();</v>
      </c>
      <c r="C609" s="2"/>
      <c r="D609" s="1"/>
      <c r="E609" s="1"/>
      <c r="F609" s="3"/>
      <c r="G609" s="3"/>
      <c r="H609" s="3"/>
      <c r="I609" s="3"/>
      <c r="J609" s="3"/>
      <c r="K609" s="3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3"/>
      <c r="W609" s="1"/>
      <c r="X609" s="1"/>
      <c r="Y609" s="1"/>
      <c r="Z609" s="1"/>
    </row>
    <row r="610" ht="15.0" customHeight="1">
      <c r="A610" s="6">
        <v>6.0</v>
      </c>
      <c r="B610" s="2" t="str">
        <f>"let l"&amp;$A$609&amp;"=l"&amp;$A$605&amp;"||0||Number();"</f>
        <v>let l5=l1||0||Number();</v>
      </c>
      <c r="C610" s="2"/>
      <c r="D610" s="1"/>
      <c r="E610" s="1"/>
      <c r="F610" s="3"/>
      <c r="G610" s="3"/>
      <c r="H610" s="3"/>
      <c r="I610" s="3"/>
      <c r="J610" s="3"/>
      <c r="K610" s="3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3"/>
      <c r="W610" s="1"/>
      <c r="X610" s="1"/>
      <c r="Y610" s="1"/>
      <c r="Z610" s="1"/>
    </row>
    <row r="611" ht="15.0" customHeight="1">
      <c r="A611" s="6">
        <v>7.0</v>
      </c>
      <c r="B611" s="2" t="str">
        <f>"for(let i=0;i&lt;2;i++){"</f>
        <v>for(let i=0;i&lt;2;i++){</v>
      </c>
      <c r="C611" s="1"/>
      <c r="D611" s="1"/>
      <c r="E611" s="2"/>
      <c r="F611" s="5"/>
      <c r="G611" s="5"/>
      <c r="H611" s="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0" customHeight="1">
      <c r="A612" s="6">
        <v>8.0</v>
      </c>
      <c r="B612" s="2" t="str">
        <f>"let l"&amp;$A$610&amp;"=i*"&amp;ROW('1'!$39:$39)-ROW('1'!$21:$21)&amp;";"</f>
        <v>let l6=i*18;</v>
      </c>
      <c r="C612" s="1"/>
      <c r="D612" s="1"/>
      <c r="E612" s="2"/>
      <c r="F612" s="5"/>
      <c r="G612" s="5"/>
      <c r="H612" s="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0" customHeight="1">
      <c r="A613" s="6">
        <v>9.0</v>
      </c>
      <c r="B613" s="2" t="str">
        <f>"let l"&amp;$A$611&amp;"=i*"&amp;ROW('2'!$205:$205)-ROW('2'!$105:$105)&amp;";"</f>
        <v>let l7=i*100;</v>
      </c>
      <c r="C613" s="1"/>
      <c r="D613" s="1"/>
      <c r="E613" s="2"/>
      <c r="F613" s="5"/>
      <c r="G613" s="5"/>
      <c r="H613" s="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0" customHeight="1">
      <c r="A614" s="6">
        <v>10.0</v>
      </c>
      <c r="B614" s="2" t="str">
        <f>"let l"&amp;$A$612&amp;"=[l"&amp;$A$610&amp;"+"&amp;ROW('1'!$21:$21)-2&amp;",l"&amp;$A$610&amp;"+"&amp;ROW('1'!$22:$22)-2&amp;"];"</f>
        <v>let l8=[l6+19,l6+20];</v>
      </c>
      <c r="C614" s="1"/>
      <c r="D614" s="1"/>
      <c r="E614" s="2"/>
      <c r="F614" s="5"/>
      <c r="G614" s="5"/>
      <c r="H614" s="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0" customHeight="1">
      <c r="A615" s="6">
        <v>11.0</v>
      </c>
      <c r="B615" s="2" t="str">
        <f>"if(h"&amp;$A$27&amp;"(['1',...l"&amp;$A$612&amp;"])){"</f>
        <v>if(h4(['1',...l8])){</v>
      </c>
      <c r="C615" s="1"/>
      <c r="D615" s="2"/>
      <c r="E615" s="1"/>
      <c r="F615" s="5"/>
      <c r="G615" s="5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0" customHeight="1">
      <c r="A616" s="6">
        <v>12.0</v>
      </c>
      <c r="B616" s="2" t="str">
        <f>"let l"&amp;$A$613&amp;"=hh"&amp;$A$32&amp;"(['1',...l"&amp;$A$612&amp;"]);"</f>
        <v>let l9=hh9(['1',...l8]);</v>
      </c>
      <c r="C616" s="1"/>
      <c r="D616" s="2"/>
      <c r="E616" s="2"/>
      <c r="F616" s="5"/>
      <c r="G616" s="5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0" customHeight="1">
      <c r="A617" s="6">
        <v>13.0</v>
      </c>
      <c r="B617" s="2" t="str">
        <f>"for(let i0=0;i0&lt;100;i0++){"</f>
        <v>for(let i0=0;i0&lt;100;i0++){</v>
      </c>
      <c r="C617" s="1"/>
      <c r="D617" s="1"/>
      <c r="E617" s="2"/>
      <c r="F617" s="5"/>
      <c r="G617" s="5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0" customHeight="1">
      <c r="A618" s="6">
        <v>14.0</v>
      </c>
      <c r="B618" s="2" t="str">
        <f>"if(h"&amp;$A$31&amp;"(['1',i0,...l"&amp;$A$612&amp;"])){"</f>
        <v>if(h8(['1',i0,...l8])){</v>
      </c>
      <c r="C618" s="1"/>
      <c r="D618" s="1"/>
      <c r="E618" s="2"/>
      <c r="F618" s="2"/>
      <c r="G618" s="5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0" customHeight="1">
      <c r="A619" s="6">
        <v>15.0</v>
      </c>
      <c r="B619" s="2" t="str">
        <f>"let l"&amp;$A$614&amp;"=_=&gt;k"&amp;$A$20&amp;"(['1',i0,..._]);"</f>
        <v>let l10=_=&gt;k15(['1',i0,..._]);</v>
      </c>
      <c r="C619" s="3"/>
      <c r="D619" s="1"/>
      <c r="E619" s="2"/>
      <c r="F619" s="1"/>
      <c r="G619" s="5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0" customHeight="1">
      <c r="A620" s="6">
        <v>16.0</v>
      </c>
      <c r="B620" s="2" t="str">
        <f>"let l"&amp;$A$615&amp;"=_=&gt;k"&amp;$A$19&amp;"(['1',i0,l"&amp;$A$610&amp;"+_]);"</f>
        <v>let l11=_=&gt;k14(['1',i0,l6+_]);</v>
      </c>
      <c r="C620" s="3"/>
      <c r="D620" s="1"/>
      <c r="E620" s="2"/>
      <c r="F620" s="5"/>
      <c r="G620" s="5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0" customHeight="1">
      <c r="A621" s="6">
        <v>17.0</v>
      </c>
      <c r="B621" s="2" t="str">
        <f>"let l"&amp;$A$616&amp;"=_=&gt;k"&amp;$A$18&amp;"(['1',i0,l"&amp;$A$610&amp;"+_]);"</f>
        <v>let l12=_=&gt;k13(['1',i0,l6+_]);</v>
      </c>
      <c r="C621" s="3"/>
      <c r="D621" s="1"/>
      <c r="E621" s="1"/>
      <c r="F621" s="5"/>
      <c r="G621" s="5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0" customHeight="1">
      <c r="A622" s="6">
        <v>18.0</v>
      </c>
      <c r="B622" s="2" t="str">
        <f>"let l"&amp;$A$617&amp;"=_=&gt;h"&amp;$A$26&amp;"(['1',i0,l"&amp;$A$610&amp;"+_]);"</f>
        <v>let l13=_=&gt;h3(['1',i0,l6+_]);</v>
      </c>
      <c r="C622" s="2"/>
      <c r="D622" s="2"/>
      <c r="E622" s="2"/>
      <c r="F622" s="5"/>
      <c r="G622" s="5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0" customHeight="1">
      <c r="A623" s="6">
        <v>19.0</v>
      </c>
      <c r="B623" s="2" t="str">
        <f>"let l"&amp;$A$618&amp;"=_=&gt;h"&amp;$A$25&amp;"(['1',i0,l"&amp;$A$610&amp;"+_]);"</f>
        <v>let l14=_=&gt;h2(['1',i0,l6+_]);</v>
      </c>
      <c r="C623" s="2"/>
      <c r="D623" s="1"/>
      <c r="E623" s="2"/>
      <c r="F623" s="5"/>
      <c r="G623" s="5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0" customHeight="1">
      <c r="A624" s="6">
        <v>20.0</v>
      </c>
      <c r="B624" s="2" t="str">
        <f>"let l"&amp;$A$619&amp;"=_=&gt;h"&amp;$A$23&amp;"(['1',i0,l"&amp;$A$610&amp;"+_]);"</f>
        <v>let l15=_=&gt;h0(['1',i0,l6+_]);</v>
      </c>
      <c r="C624" s="2"/>
      <c r="D624" s="2"/>
      <c r="E624" s="2"/>
      <c r="F624" s="2"/>
      <c r="G624" s="5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0" customHeight="1">
      <c r="A625" s="6">
        <v>21.0</v>
      </c>
      <c r="B625" s="2" t="str">
        <f>"let l"&amp;$A$620&amp;"=_=&gt;!l"&amp;$A$615&amp;"(_)||l"&amp;$A$616&amp;"(_)&gt;0;"</f>
        <v>let l16=_=&gt;!l11(_)||l12(_)&gt;0;</v>
      </c>
      <c r="C625" s="2"/>
      <c r="D625" s="2"/>
      <c r="E625" s="2"/>
      <c r="F625" s="2"/>
      <c r="G625" s="5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0" customHeight="1">
      <c r="A626" s="6">
        <v>22.0</v>
      </c>
      <c r="B626" s="2" t="str">
        <f>"let l"&amp;$A$621&amp;"=l"&amp;$A$620&amp;"("&amp;ROW('1'!$24:$24)-2&amp;")||l"&amp;$A$616&amp;"("&amp;ROW('1'!$25:$25)-2&amp;")&gt;0;"</f>
        <v>let l17=l16(22)||l12(23)&gt;0;</v>
      </c>
      <c r="C626" s="2"/>
      <c r="D626" s="2"/>
      <c r="E626" s="2"/>
      <c r="F626" s="2"/>
      <c r="G626" s="5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0" customHeight="1">
      <c r="A627" s="6">
        <v>23.0</v>
      </c>
      <c r="B627" s="2" t="str">
        <f>"let l"&amp;$A$622&amp;"=l"&amp;$A$615&amp;"("&amp;ROW('1'!$29:$29)-2&amp;")||l"&amp;$A$615&amp;"("&amp;ROW('1'!$30:$30)-2&amp;");"</f>
        <v>let l18=l11(27)||l11(28);</v>
      </c>
      <c r="C627" s="2"/>
      <c r="D627" s="2"/>
      <c r="E627" s="2"/>
      <c r="F627" s="2"/>
      <c r="G627" s="5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0" customHeight="1">
      <c r="A628" s="6">
        <v>24.0</v>
      </c>
      <c r="B628" s="2" t="str">
        <f>"let l"&amp;$A$623&amp;"=l"&amp;$A$617&amp;"("&amp;ROW('1'!$31:$31)-2&amp;")[1]+l"&amp;$A$618&amp;"("&amp;ROW('1'!$33:$33)-2&amp;");"</f>
        <v>let l19=l13(29)[1]+l14(31);</v>
      </c>
      <c r="C628" s="1"/>
      <c r="D628" s="1"/>
      <c r="E628" s="2"/>
      <c r="F628" s="5"/>
      <c r="G628" s="5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0" customHeight="1">
      <c r="A629" s="6">
        <v>25.0</v>
      </c>
      <c r="B629" s="2" t="str">
        <f>"let l"&amp;$A$624&amp;"=l"&amp;$A$617&amp;"("&amp;ROW('1'!$32:$32)-2&amp;")[1]+l"&amp;$A$618&amp;"("&amp;ROW('1'!$34:$34)-2&amp;");"</f>
        <v>let l20=l13(30)[1]+l14(32);</v>
      </c>
      <c r="C629" s="1"/>
      <c r="D629" s="1"/>
      <c r="E629" s="2"/>
      <c r="F629" s="5"/>
      <c r="G629" s="5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0" customHeight="1">
      <c r="A630" s="6">
        <v>26.0</v>
      </c>
      <c r="B630" s="2" t="str">
        <f>"let l"&amp;$A$625&amp;"=l"&amp;$A$614&amp;"([l"&amp;$A$610&amp;"+"&amp;ROW('1'!$25:$25)-2&amp;",100]);"</f>
        <v>let l21=l10([l6+23,100]);</v>
      </c>
      <c r="C630" s="1"/>
      <c r="D630" s="1"/>
      <c r="E630" s="1"/>
      <c r="F630" s="5"/>
      <c r="G630" s="5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0" customHeight="1">
      <c r="A631" s="6">
        <v>27.0</v>
      </c>
      <c r="B631" s="2" t="str">
        <f>"let l"&amp;$A$626&amp;"=l"&amp;$A$614&amp;"([l"&amp;$A$610&amp;"+"&amp;ROW('1'!$29:$29)-2&amp;",50]);"</f>
        <v>let l22=l10([l6+27,50]);</v>
      </c>
      <c r="C631" s="1"/>
      <c r="D631" s="1"/>
      <c r="E631" s="1"/>
      <c r="F631" s="5"/>
      <c r="G631" s="5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0" customHeight="1">
      <c r="A632" s="6">
        <v>28.0</v>
      </c>
      <c r="B632" s="2" t="str">
        <f>"let l"&amp;$A$627&amp;"=l"&amp;$A$614&amp;"([l"&amp;$A$610&amp;"+"&amp;ROW('1'!$30:$30)-2&amp;",0]);"</f>
        <v>let l23=l10([l6+28,0]);</v>
      </c>
      <c r="C632" s="1"/>
      <c r="D632" s="1"/>
      <c r="E632" s="2"/>
      <c r="F632" s="5"/>
      <c r="G632" s="5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0" customHeight="1">
      <c r="A633" s="6">
        <v>29.0</v>
      </c>
      <c r="B633" s="2" t="str">
        <f>"let l"&amp;$A$628&amp;"=k"&amp;$A$6&amp;"(l"&amp;$A$616&amp;"("&amp;ROW('1'!$21:$21)-2&amp;"));"</f>
        <v>let l24=k1(l12(19));</v>
      </c>
      <c r="C633" s="1"/>
      <c r="D633" s="1"/>
      <c r="E633" s="1"/>
      <c r="F633" s="5"/>
      <c r="G633" s="5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0" customHeight="1">
      <c r="A634" s="6">
        <v>30.0</v>
      </c>
      <c r="B634" s="2" t="str">
        <f>"let l"&amp;$A$629&amp;"=k"&amp;$A$6&amp;"(l"&amp;$A$616&amp;"("&amp;ROW('1'!$22:$22)-2&amp;"));"</f>
        <v>let l25=k1(l12(20));</v>
      </c>
      <c r="C634" s="2"/>
      <c r="D634" s="2"/>
      <c r="E634" s="2"/>
      <c r="F634" s="2"/>
      <c r="G634" s="5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0" customHeight="1">
      <c r="A635" s="6">
        <v>31.0</v>
      </c>
      <c r="B635" s="2" t="str">
        <f>"let l"&amp;$A$630&amp;"=k"&amp;$A$6&amp;"(l"&amp;$A$616&amp;"("&amp;ROW('1'!$23:$23)-2&amp;"));"</f>
        <v>let l26=k1(l12(21));</v>
      </c>
      <c r="C635" s="2"/>
      <c r="D635" s="2"/>
      <c r="E635" s="2"/>
      <c r="F635" s="2"/>
      <c r="G635" s="5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0" customHeight="1">
      <c r="A636" s="6">
        <v>32.0</v>
      </c>
      <c r="B636" s="2" t="str">
        <f>"let l"&amp;$A$631&amp;"=k"&amp;$A$6&amp;"(l"&amp;$A$616&amp;"("&amp;ROW('1'!$24:$24)-2&amp;"));"</f>
        <v>let l27=k1(l12(22));</v>
      </c>
      <c r="C636" s="1"/>
      <c r="D636" s="1"/>
      <c r="E636" s="1"/>
      <c r="F636" s="2"/>
      <c r="G636" s="5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0" customHeight="1">
      <c r="A637" s="6">
        <v>33.0</v>
      </c>
      <c r="B637" s="2" t="str">
        <f>"let l"&amp;$A$632&amp;"=k"&amp;$A$6&amp;"(l"&amp;$A$616&amp;"("&amp;ROW('1'!$25:$25)-2&amp;"));"</f>
        <v>let l28=k1(l12(23));</v>
      </c>
      <c r="C637" s="1"/>
      <c r="D637" s="1"/>
      <c r="E637" s="1"/>
      <c r="F637" s="2"/>
      <c r="G637" s="5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0" customHeight="1">
      <c r="A638" s="6">
        <v>34.0</v>
      </c>
      <c r="B638" s="2" t="str">
        <f>"let l"&amp;$A$633&amp;"=l"&amp;$A$616&amp;"("&amp;ROW('1'!$29:$29)-2&amp;")/-1;"</f>
        <v>let l29=l12(27)/-1;</v>
      </c>
      <c r="C638" s="1"/>
      <c r="D638" s="1"/>
      <c r="E638" s="2"/>
      <c r="F638" s="5"/>
      <c r="G638" s="5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0" customHeight="1">
      <c r="A639" s="6">
        <v>35.0</v>
      </c>
      <c r="B639" s="2" t="str">
        <f>"let l"&amp;$A$634&amp;"=l"&amp;$A$616&amp;"("&amp;ROW('1'!$30:$30)-2&amp;")/-1;"</f>
        <v>let l30=l12(28)/-1;</v>
      </c>
      <c r="C639" s="1"/>
      <c r="D639" s="1"/>
      <c r="E639" s="2"/>
      <c r="F639" s="5"/>
      <c r="G639" s="5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0" customHeight="1">
      <c r="A640" s="6">
        <v>36.0</v>
      </c>
      <c r="B640" s="2" t="str">
        <f>"let l"&amp;$A$635&amp;"=l"&amp;$A$617&amp;"("&amp;ROW('1'!$35:$35)-2&amp;")[0];"</f>
        <v>let l31=l13(33)[0];</v>
      </c>
      <c r="C640" s="1"/>
      <c r="D640" s="1"/>
      <c r="E640" s="1"/>
      <c r="F640" s="5"/>
      <c r="G640" s="5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0" customHeight="1">
      <c r="A641" s="6">
        <v>37.0</v>
      </c>
      <c r="B641" s="2" t="str">
        <f>"let l"&amp;$A$636&amp;"=l"&amp;$A$617&amp;"("&amp;ROW('1'!$35:$35)-2&amp;")[1];"</f>
        <v>let l32=l13(33)[1];</v>
      </c>
      <c r="C641" s="1"/>
      <c r="D641" s="1"/>
      <c r="E641" s="1"/>
      <c r="F641" s="5"/>
      <c r="G641" s="5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0" customHeight="1">
      <c r="A642" s="6">
        <v>38.0</v>
      </c>
      <c r="B642" s="2" t="str">
        <f>"let l"&amp;$A$637&amp;"=l"&amp;$A$617&amp;"("&amp;ROW('1'!$36:$36)-2&amp;")[0];"</f>
        <v>let l33=l13(34)[0];</v>
      </c>
      <c r="C642" s="1"/>
      <c r="D642" s="2"/>
      <c r="E642" s="2"/>
      <c r="F642" s="5"/>
      <c r="G642" s="5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0" customHeight="1">
      <c r="A643" s="6">
        <v>39.0</v>
      </c>
      <c r="B643" s="2" t="str">
        <f>"let l"&amp;$A$638&amp;"=l"&amp;$A$617&amp;"("&amp;ROW('1'!$36:$36)-2&amp;")[1];"</f>
        <v>let l34=l13(34)[1];</v>
      </c>
      <c r="C643" s="1"/>
      <c r="D643" s="1"/>
      <c r="E643" s="2"/>
      <c r="F643" s="5"/>
      <c r="G643" s="5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0" customHeight="1">
      <c r="A644" s="6">
        <v>40.0</v>
      </c>
      <c r="B644" s="2" t="str">
        <f>"let l"&amp;$A$639&amp;"=l"&amp;$A$619&amp;"("&amp;ROW('1'!$33:$33)-2&amp;")[0||0];"</f>
        <v>let l35=l15(31)[0||0];</v>
      </c>
      <c r="C644" s="1"/>
      <c r="D644" s="1"/>
      <c r="E644" s="2"/>
      <c r="F644" s="5"/>
      <c r="G644" s="5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0" customHeight="1">
      <c r="A645" s="6">
        <v>41.0</v>
      </c>
      <c r="B645" s="2" t="str">
        <f>"let l"&amp;$A$640&amp;"=l"&amp;$A$619&amp;"("&amp;ROW('1'!$33:$33)-2&amp;")[0||1];"</f>
        <v>let l36=l15(31)[0||1];</v>
      </c>
      <c r="C645" s="1"/>
      <c r="D645" s="1"/>
      <c r="E645" s="2"/>
      <c r="F645" s="5"/>
      <c r="G645" s="5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0" customHeight="1">
      <c r="A646" s="6">
        <v>42.0</v>
      </c>
      <c r="B646" s="2" t="str">
        <f>"let l"&amp;$A$641&amp;"=l"&amp;$A$616&amp;"("&amp;ROW('1'!$26:$26)-2&amp;")=='ends';"</f>
        <v>let l37=l12(24)=='ends';</v>
      </c>
      <c r="C646" s="1"/>
      <c r="D646" s="1"/>
      <c r="E646" s="1"/>
      <c r="F646" s="5"/>
      <c r="G646" s="5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0" customHeight="1">
      <c r="A647" s="6">
        <v>43.0</v>
      </c>
      <c r="B647" s="2" t="str">
        <f>"let l"&amp;$A$642&amp;"=l"&amp;$A$616&amp;"("&amp;ROW('1'!$26:$26)-2&amp;")=='start';"</f>
        <v>let l38=l12(24)=='start';</v>
      </c>
      <c r="C647" s="1"/>
      <c r="D647" s="1"/>
      <c r="E647" s="1"/>
      <c r="F647" s="5"/>
      <c r="G647" s="5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0" customHeight="1">
      <c r="A648" s="6">
        <v>44.0</v>
      </c>
      <c r="B648" s="2" t="str">
        <f>"let l"&amp;$A$643&amp;"=l"&amp;$A$616&amp;"("&amp;ROW('1'!$27:$27)-2&amp;")=='start';"</f>
        <v>let l39=l12(25)=='start';</v>
      </c>
      <c r="C648" s="1"/>
      <c r="D648" s="1"/>
      <c r="E648" s="2"/>
      <c r="F648" s="5"/>
      <c r="G648" s="5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0" customHeight="1">
      <c r="A649" s="6">
        <v>45.0</v>
      </c>
      <c r="B649" s="2" t="str">
        <f>"let l"&amp;$A$644&amp;"=l"&amp;$A$616&amp;"("&amp;ROW('1'!$27:$27)-2&amp;")=='ends';"</f>
        <v>let l40=l12(25)=='ends';</v>
      </c>
      <c r="C649" s="1"/>
      <c r="D649" s="1"/>
      <c r="E649" s="2"/>
      <c r="F649" s="5"/>
      <c r="G649" s="5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0" customHeight="1">
      <c r="A650" s="6">
        <v>46.0</v>
      </c>
      <c r="B650" s="2" t="str">
        <f>"let l"&amp;$A$645&amp;"=l"&amp;$A$635&amp;"&lt;0?'%':'px';"</f>
        <v>let l41=l31&lt;0?'%':'px';</v>
      </c>
      <c r="C650" s="1"/>
      <c r="D650" s="1"/>
      <c r="E650" s="1"/>
      <c r="F650" s="5"/>
      <c r="G650" s="5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0" customHeight="1">
      <c r="A651" s="6">
        <v>47.0</v>
      </c>
      <c r="B651" s="2" t="str">
        <f>"let l"&amp;$A$646&amp;"=l"&amp;$A$636&amp;"&lt;0?'%':'px';"</f>
        <v>let l42=l32&lt;0?'%':'px';</v>
      </c>
      <c r="C651" s="1"/>
      <c r="D651" s="1"/>
      <c r="E651" s="1"/>
      <c r="F651" s="5"/>
      <c r="G651" s="5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0" customHeight="1">
      <c r="A652" s="6">
        <v>48.0</v>
      </c>
      <c r="B652" s="2" t="str">
        <f>"let l"&amp;$A$647&amp;"=l"&amp;$A$637&amp;"&lt;0?'%':'px';"</f>
        <v>let l43=l33&lt;0?'%':'px';</v>
      </c>
      <c r="C652" s="1"/>
      <c r="D652" s="1"/>
      <c r="E652" s="1"/>
      <c r="F652" s="5"/>
      <c r="G652" s="5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0" customHeight="1">
      <c r="A653" s="6">
        <v>49.0</v>
      </c>
      <c r="B653" s="2" t="str">
        <f>"let l"&amp;$A$648&amp;"=l"&amp;$A$638&amp;"&lt;0?'%':'px';"</f>
        <v>let l44=l34&lt;0?'%':'px';</v>
      </c>
      <c r="C653" s="1"/>
      <c r="D653" s="1"/>
      <c r="E653" s="1"/>
      <c r="F653" s="5"/>
      <c r="G653" s="5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0" customHeight="1">
      <c r="A654" s="6">
        <v>50.0</v>
      </c>
      <c r="B654" s="2" t="str">
        <f>"let l"&amp;$A$649&amp;"='margin-top';"</f>
        <v>let l45='margin-top';</v>
      </c>
      <c r="C654" s="1"/>
      <c r="D654" s="1"/>
      <c r="E654" s="1"/>
      <c r="F654" s="5"/>
      <c r="G654" s="5"/>
      <c r="H654" s="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0" customHeight="1">
      <c r="A655" s="6">
        <v>51.0</v>
      </c>
      <c r="B655" s="2" t="str">
        <f>"let l"&amp;$A$650&amp;"='margin-left';"</f>
        <v>let l46='margin-left';</v>
      </c>
      <c r="C655" s="1"/>
      <c r="D655" s="1"/>
      <c r="E655" s="1"/>
      <c r="F655" s="5"/>
      <c r="G655" s="5"/>
      <c r="H655" s="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0" customHeight="1">
      <c r="A656" s="6">
        <v>52.0</v>
      </c>
      <c r="B656" s="2" t="str">
        <f>"let l"&amp;$A$651&amp;"='margin-right';"</f>
        <v>let l47='margin-right';</v>
      </c>
      <c r="C656" s="1"/>
      <c r="D656" s="1"/>
      <c r="E656" s="1"/>
      <c r="F656" s="5"/>
      <c r="G656" s="5"/>
      <c r="H656" s="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0" customHeight="1">
      <c r="A657" s="6">
        <v>53.0</v>
      </c>
      <c r="B657" s="2" t="str">
        <f>"let l"&amp;$A$652&amp;"='margin-bottom';"</f>
        <v>let l48='margin-bottom';</v>
      </c>
      <c r="C657" s="1"/>
      <c r="D657" s="1"/>
      <c r="E657" s="1"/>
      <c r="F657" s="5"/>
      <c r="G657" s="5"/>
      <c r="H657" s="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0" customHeight="1">
      <c r="A658" s="6">
        <v>54.0</v>
      </c>
      <c r="B658" s="2" t="str">
        <f>"let l"&amp;$A$653&amp;"='padding-top';"</f>
        <v>let l49='padding-top';</v>
      </c>
      <c r="C658" s="1"/>
      <c r="D658" s="1"/>
      <c r="E658" s="1"/>
      <c r="F658" s="5"/>
      <c r="G658" s="5"/>
      <c r="H658" s="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0" customHeight="1">
      <c r="A659" s="5" t="s">
        <v>0</v>
      </c>
      <c r="B659" s="2" t="str">
        <f>"let l"&amp;$A$654&amp;"='padding-left';"</f>
        <v>let l50='padding-left';</v>
      </c>
      <c r="C659" s="1"/>
      <c r="D659" s="1"/>
      <c r="E659" s="1"/>
      <c r="F659" s="5"/>
      <c r="G659" s="5"/>
      <c r="H659" s="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0" customHeight="1">
      <c r="B660" s="2" t="str">
        <f>"let l"&amp;$A$655&amp;"='padding-right';"</f>
        <v>let l51='padding-right';</v>
      </c>
      <c r="C660" s="1"/>
      <c r="D660" s="1"/>
      <c r="E660" s="1"/>
      <c r="F660" s="5"/>
      <c r="G660" s="5"/>
      <c r="H660" s="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0" customHeight="1">
      <c r="B661" s="2" t="str">
        <f>"let l"&amp;$A$656&amp;"='padding-bottom';"</f>
        <v>let l52='padding-bottom';</v>
      </c>
      <c r="C661" s="1"/>
      <c r="D661" s="1"/>
      <c r="E661" s="1"/>
      <c r="F661" s="5"/>
      <c r="G661" s="5"/>
      <c r="H661" s="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0" customHeight="1">
      <c r="B662" s="2" t="str">
        <f>"let l"&amp;$A$657&amp;"='background-image';"</f>
        <v>let l53='background-image';</v>
      </c>
      <c r="C662" s="1"/>
      <c r="D662" s="1"/>
      <c r="E662" s="1"/>
      <c r="F662" s="5"/>
      <c r="G662" s="5"/>
      <c r="H662" s="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0" customHeight="1">
      <c r="B663" s="2" t="str">
        <f>"let l"&amp;$A$658&amp;"=`${l"&amp;$A$625&amp;"}% - ${l"&amp;$A$624&amp;"}`;"</f>
        <v>let l54=`${l21}% - ${l20}`;</v>
      </c>
      <c r="C663" s="1"/>
      <c r="D663" s="1"/>
      <c r="E663" s="1"/>
      <c r="F663" s="5"/>
      <c r="G663" s="5"/>
      <c r="H663" s="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B664" s="2" t="str">
        <f>"h[2]+=`#${!i?'k':'t'}${k"&amp;$A$12&amp;"(i0)}{"</f>
        <v>h[2]+=`#${!i?'k':'t'}${k7(i0)}{</v>
      </c>
      <c r="C664" s="1"/>
      <c r="D664" s="1"/>
      <c r="E664" s="1"/>
      <c r="F664" s="5"/>
      <c r="G664" s="5"/>
      <c r="H664" s="2"/>
      <c r="I664" s="5"/>
      <c r="J664" s="5"/>
      <c r="K664" s="3"/>
      <c r="L664" s="5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B665" s="2" t="str">
        <f>"${!l"&amp;$A$615&amp;"("&amp;ROW('1'!$28:$28)-2&amp;")?'':`z-index:${l"&amp;$A$614&amp;"(["&amp;ROW('1'!$28:$28)-2&amp;",0])};`}"</f>
        <v>${!l11(26)?'':`z-index:${l10([26,0])};`}</v>
      </c>
      <c r="C665" s="1"/>
      <c r="D665" s="1"/>
      <c r="E665" s="1"/>
      <c r="F665" s="5"/>
      <c r="G665" s="5"/>
      <c r="H665" s="2"/>
      <c r="I665" s="5"/>
      <c r="J665" s="5"/>
      <c r="K665" s="3"/>
      <c r="L665" s="5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0" customHeight="1">
      <c r="B666" s="2" t="str">
        <f>"${l"&amp;$A$622&amp;"||!l"&amp;$A$619&amp;"("&amp;ROW('1'!$31:$31)-2&amp;")[0]?'':`left:${l"&amp;$A$617&amp;"("&amp;ROW('1'!$31:$31)-2&amp;")[0]}px;`}"</f>
        <v>${l18||!l15(29)[0]?'':`left:${l13(29)[0]}px;`}</v>
      </c>
      <c r="C666" s="1"/>
      <c r="D666" s="1"/>
      <c r="E666" s="1"/>
      <c r="F666" s="5"/>
      <c r="G666" s="5"/>
      <c r="H666" s="2"/>
      <c r="I666" s="5"/>
      <c r="J666" s="5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0" customHeight="1">
      <c r="B667" s="2" t="str">
        <f>"${l"&amp;$A$622&amp;"||!l"&amp;$A$619&amp;"("&amp;ROW('1'!$32:$32)-2&amp;")[0]||0?'':`top:${l"&amp;$A$617&amp;"("&amp;ROW('1'!$32:$32)-2&amp;")[0]}px;`}"</f>
        <v>${l18||!l15(30)[0]||0?'':`top:${l13(30)[0]}px;`}</v>
      </c>
      <c r="C667" s="1"/>
      <c r="D667" s="1"/>
      <c r="E667" s="1"/>
      <c r="F667" s="18"/>
      <c r="G667" s="5"/>
      <c r="H667" s="2"/>
      <c r="I667" s="5"/>
      <c r="J667" s="5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0" customHeight="1">
      <c r="B668" s="2" t="str">
        <f>"${!l"&amp;$A$622&amp;"?'':`left:calc(${l"&amp;$A$626&amp;"}% + ${l"&amp;$A$617&amp;"("&amp;ROW('1'!$31:$31)-2&amp;")[0]}px);`}"</f>
        <v>${!l18?'':`left:calc(${l22}% + ${l13(29)[0]}px);`}</v>
      </c>
      <c r="C668" s="1"/>
      <c r="D668" s="1"/>
      <c r="E668" s="1"/>
      <c r="F668" s="5"/>
      <c r="G668" s="5"/>
      <c r="H668" s="2"/>
      <c r="I668" s="5"/>
      <c r="J668" s="5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0" customHeight="1">
      <c r="B669" s="2" t="str">
        <f>"${!l"&amp;$A$622&amp;"?'':`top:calc(${l"&amp;$A$627&amp;"}% + ${l"&amp;$A$617&amp;"("&amp;ROW('1'!$32:$32)-2&amp;")[0]}px);`}"</f>
        <v>${!l18?'':`top:calc(${l23}% + ${l13(30)[0]}px);`}</v>
      </c>
      <c r="C669" s="1"/>
      <c r="D669" s="1"/>
      <c r="E669" s="1"/>
      <c r="F669" s="18"/>
      <c r="G669" s="5"/>
      <c r="H669" s="2"/>
      <c r="I669" s="5"/>
      <c r="J669" s="5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B670" s="2" t="str">
        <f>"${l"&amp;$A$616&amp;"("&amp;ROW('1'!$21:$21)-2&amp;")&lt;=0?'':`width:calc(${l"&amp;$A$628&amp;"}% - ${l"&amp;$A$623&amp;"}px);`}"</f>
        <v>${l12(19)&lt;=0?'':`width:calc(${l24}% - ${l19}px);`}</v>
      </c>
      <c r="C670" s="1"/>
      <c r="D670" s="1"/>
      <c r="E670" s="1"/>
      <c r="F670" s="5"/>
      <c r="G670" s="5"/>
      <c r="H670" s="2"/>
      <c r="I670" s="5"/>
      <c r="J670" s="5"/>
      <c r="K670" s="3"/>
      <c r="L670" s="5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B671" s="2" t="str">
        <f>"${!l"&amp;$A$615&amp;"("&amp;ROW('1'!$21:$21)-2&amp;")||l"&amp;$A$616&amp;"("&amp;ROW('1'!$21:$21)-2&amp;")&gt;0||0?'':`width:${l"&amp;$A$628&amp;"-l"&amp;$A$623&amp;"}px;`}"</f>
        <v>${!l11(19)||l12(19)&gt;0||0?'':`width:${l24-l19}px;`}</v>
      </c>
      <c r="C671" s="1"/>
      <c r="D671" s="1"/>
      <c r="E671" s="1"/>
      <c r="F671" s="5"/>
      <c r="G671" s="5"/>
      <c r="H671" s="2"/>
      <c r="I671" s="5"/>
      <c r="J671" s="5"/>
      <c r="K671" s="3"/>
      <c r="L671" s="5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0" customHeight="1">
      <c r="B672" s="2" t="str">
        <f>"${!l"&amp;$A$615&amp;"("&amp;ROW('1'!$22:$22)-2&amp;")||l"&amp;$A$616&amp;"("&amp;ROW('1'!$22:$22)-2&amp;")&lt;=0?'':`max-width:${l"&amp;$A$629&amp;"-l"&amp;$A$623&amp;"}px;`}"</f>
        <v>${!l11(20)||l12(20)&lt;=0?'':`max-width:${l25-l19}px;`}</v>
      </c>
      <c r="C672" s="1"/>
      <c r="D672" s="1"/>
      <c r="E672" s="1"/>
      <c r="F672" s="18"/>
      <c r="G672" s="5"/>
      <c r="H672" s="2"/>
      <c r="I672" s="5"/>
      <c r="J672" s="5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0" customHeight="1">
      <c r="B673" s="2" t="str">
        <f>"${!l"&amp;$A$615&amp;"("&amp;ROW('1'!$22:$22)-2&amp;")||l"&amp;$A$616&amp;"("&amp;ROW('1'!$22:$22)-2&amp;")&gt;0?'':`min-width:${l"&amp;$A$629&amp;"-l"&amp;$A$623&amp;"}px;`}"</f>
        <v>${!l11(20)||l12(20)&gt;0?'':`min-width:${l25-l19}px;`}</v>
      </c>
      <c r="C673" s="1"/>
      <c r="D673" s="1"/>
      <c r="E673" s="1"/>
      <c r="F673" s="18"/>
      <c r="G673" s="5"/>
      <c r="H673" s="2"/>
      <c r="I673" s="5"/>
      <c r="J673" s="5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0" customHeight="1">
      <c r="B674" s="2" t="str">
        <f>"${l"&amp;$A$616&amp;"("&amp;ROW('1'!$23:$23)-2&amp;")&lt;=0?'':`height:calc(${l"&amp;$A$630&amp;"}% - ${l"&amp;$A$624&amp;"}px);`}"</f>
        <v>${l12(21)&lt;=0?'':`height:calc(${l26}% - ${l20}px);`}</v>
      </c>
      <c r="C674" s="1"/>
      <c r="D674" s="1"/>
      <c r="E674" s="1"/>
      <c r="F674" s="18"/>
      <c r="G674" s="5"/>
      <c r="H674" s="2"/>
      <c r="I674" s="5"/>
      <c r="J674" s="5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B675" s="2" t="str">
        <f>"${!l"&amp;$A$615&amp;"("&amp;ROW('1'!$23:$23)-2&amp;")||l"&amp;$A$616&amp;"("&amp;ROW('1'!$23:$23)-2&amp;")&gt;0||0?'':`height:${k"&amp;$A$5&amp;"(l"&amp;$A$630&amp;"-l"&amp;$A$624&amp;")}px;`}"</f>
        <v>${!l11(21)||l12(21)&gt;0||0?'':`height:${k0(l26-l20)}px;`}</v>
      </c>
      <c r="C675" s="1"/>
      <c r="D675" s="1"/>
      <c r="E675" s="1"/>
      <c r="F675" s="5"/>
      <c r="G675" s="5"/>
      <c r="H675" s="2"/>
      <c r="I675" s="5"/>
      <c r="J675" s="5"/>
      <c r="K675" s="3"/>
      <c r="L675" s="5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0" customHeight="1">
      <c r="B676" s="2" t="str">
        <f>"${!l"&amp;$A$615&amp;"("&amp;ROW('1'!$24:$24)-2&amp;")||l"&amp;$A$616&amp;"("&amp;ROW('1'!$24:$24)-2&amp;")&lt;=0?'':`max-height:${k"&amp;$A$5&amp;"(l"&amp;$A$631&amp;"-l"&amp;$A$624&amp;")}px;`}"</f>
        <v>${!l11(22)||l12(22)&lt;=0?'':`max-height:${k0(l27-l20)}px;`}</v>
      </c>
      <c r="C676" s="1"/>
      <c r="D676" s="1"/>
      <c r="E676" s="1"/>
      <c r="F676" s="18"/>
      <c r="G676" s="5"/>
      <c r="H676" s="2"/>
      <c r="I676" s="5"/>
      <c r="J676" s="5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0" customHeight="1">
      <c r="B677" s="2" t="str">
        <f>"${!l"&amp;$A$615&amp;"("&amp;ROW('1'!$24:$24)-2&amp;")||l"&amp;$A$616&amp;"("&amp;ROW('1'!$24:$24)-2&amp;")&gt;0?'':`min-height:${k"&amp;$A$5&amp;"(l"&amp;$A$631&amp;"-l"&amp;$A$624&amp;")}px;`}"</f>
        <v>${!l11(22)||l12(22)&gt;0?'':`min-height:${k0(l27-l20)}px;`}</v>
      </c>
      <c r="C677" s="1"/>
      <c r="D677" s="1"/>
      <c r="E677" s="1"/>
      <c r="F677" s="18"/>
      <c r="G677" s="5"/>
      <c r="H677" s="2"/>
      <c r="I677" s="5"/>
      <c r="J677" s="5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0" customHeight="1">
      <c r="B678" s="2" t="str">
        <f>"${!l"&amp;$A$621&amp;"||!l"&amp;$A$620&amp;"("&amp;ROW('1'!$25:$25)-2&amp;")||0?'':`min-height:calc(${l"&amp;$A$658&amp;"}px);`}"</f>
        <v>${!l17||!l16(23)||0?'':`min-height:calc(${l54}px);`}</v>
      </c>
      <c r="C678" s="1"/>
      <c r="D678" s="1"/>
      <c r="E678" s="1"/>
      <c r="F678" s="18"/>
      <c r="G678" s="2"/>
      <c r="H678" s="2"/>
      <c r="I678" s="5"/>
      <c r="J678" s="5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0" customHeight="1">
      <c r="B679" s="2" t="str">
        <f>"${!l"&amp;$A$615&amp;"("&amp;ROW('1'!$25:$25)-2&amp;")||l"&amp;$A$616&amp;"("&amp;ROW('1'!$25:$25)-2&amp;")!=0?'':`min-height:${l"&amp;$A$625&amp;"}%;`}"</f>
        <v>${!l11(23)||l12(23)!=0?'':`min-height:${l21}%;`}</v>
      </c>
      <c r="C679" s="1"/>
      <c r="D679" s="1"/>
      <c r="E679" s="1"/>
      <c r="F679" s="18"/>
      <c r="G679" s="2"/>
      <c r="H679" s="2"/>
      <c r="I679" s="5"/>
      <c r="J679" s="5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0" customHeight="1">
      <c r="B680" s="2" t="str">
        <f>"${l"&amp;$A$616&amp;"("&amp;ROW('1'!$25:$25)-2&amp;")&gt;=0?'':`aspect-ratio:${k"&amp;$A$11&amp;"(100/l"&amp;$A$632&amp;")};`}"</f>
        <v>${l12(23)&gt;=0?'':`aspect-ratio:${k6(100/l28)};`}</v>
      </c>
      <c r="C680" s="1"/>
      <c r="D680" s="1"/>
      <c r="E680" s="1"/>
      <c r="F680" s="18"/>
      <c r="G680" s="2"/>
      <c r="H680" s="2"/>
      <c r="I680" s="5"/>
      <c r="J680" s="5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0" customHeight="1">
      <c r="B681" s="2" t="str">
        <f>"${!l"&amp;$A$643&amp;"&amp;&amp;(!l"&amp;$A$622&amp;"||l"&amp;$A$639&amp;")?'':`margin-left:0px;`}"</f>
        <v>${!l39&amp;&amp;(!l18||l35)?'':`margin-left:0px;`}</v>
      </c>
      <c r="C681" s="1"/>
      <c r="D681" s="1"/>
      <c r="E681" s="1"/>
      <c r="F681" s="18"/>
      <c r="G681" s="2"/>
      <c r="H681" s="2"/>
      <c r="I681" s="5"/>
      <c r="J681" s="5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0" customHeight="1">
      <c r="B682" s="2" t="str">
        <f>"${!l"&amp;$A$644&amp;"&amp;&amp;(!l"&amp;$A$622&amp;"||l"&amp;$A$640&amp;")?'':`margin-right:0px;`}"</f>
        <v>${!l40&amp;&amp;(!l18||l36)?'':`margin-right:0px;`}</v>
      </c>
      <c r="C682" s="1"/>
      <c r="D682" s="1"/>
      <c r="E682" s="1"/>
      <c r="F682" s="18"/>
      <c r="G682" s="2"/>
      <c r="H682" s="2"/>
      <c r="I682" s="5"/>
      <c r="J682" s="5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0" customHeight="1">
      <c r="B683" s="2" t="str">
        <f>"${!l"&amp;$A$642&amp;"&amp;&amp;(!l"&amp;$A$622&amp;"||l"&amp;$A$639&amp;")?'':`margin-top:0px;`}"</f>
        <v>${!l38&amp;&amp;(!l18||l35)?'':`margin-top:0px;`}</v>
      </c>
      <c r="C683" s="1"/>
      <c r="D683" s="1"/>
      <c r="E683" s="1"/>
      <c r="F683" s="18"/>
      <c r="G683" s="2"/>
      <c r="H683" s="2"/>
      <c r="I683" s="5"/>
      <c r="J683" s="5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0" customHeight="1">
      <c r="B684" s="2" t="str">
        <f>"${!l"&amp;$A$641&amp;"&amp;&amp;(!l"&amp;$A$622&amp;"||l"&amp;$A$640&amp;")?'':`margin-bottom:0px;`}"</f>
        <v>${!l37&amp;&amp;(!l18||l36)?'':`margin-bottom:0px;`}</v>
      </c>
      <c r="C684" s="1"/>
      <c r="D684" s="1"/>
      <c r="E684" s="1"/>
      <c r="F684" s="18"/>
      <c r="G684" s="2"/>
      <c r="H684" s="2"/>
      <c r="I684" s="5"/>
      <c r="J684" s="5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0" customHeight="1">
      <c r="B685" s="2" t="str">
        <f>"${!l"&amp;$A$619&amp;"("&amp;ROW('1'!$33:$33)-2&amp;")[0]||0?'':`${l"&amp;$A$650&amp;"}:${l"&amp;$A$617&amp;"("&amp;ROW('1'!$33:$33)-2&amp;")[0]}px;`}"</f>
        <v>${!l15(31)[0]||0?'':`${l46}:${l13(31)[0]}px;`}</v>
      </c>
      <c r="C685" s="1"/>
      <c r="D685" s="1"/>
      <c r="E685" s="1"/>
      <c r="F685" s="18"/>
      <c r="G685" s="2"/>
      <c r="H685" s="2"/>
      <c r="I685" s="5"/>
      <c r="J685" s="5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0" customHeight="1">
      <c r="B686" s="2" t="str">
        <f>"${!l"&amp;$A$619&amp;"("&amp;ROW('1'!$33:$33)-2&amp;")[1]||0?'':`${l"&amp;$A$651&amp;"}:${l"&amp;$A$617&amp;"("&amp;ROW('1'!$33:$33)-2&amp;")[1]}px;`}"</f>
        <v>${!l15(31)[1]||0?'':`${l47}:${l13(31)[1]}px;`}</v>
      </c>
      <c r="C686" s="1"/>
      <c r="D686" s="1"/>
      <c r="E686" s="1"/>
      <c r="F686" s="18"/>
      <c r="G686" s="2"/>
      <c r="H686" s="2"/>
      <c r="I686" s="5"/>
      <c r="J686" s="5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0" customHeight="1">
      <c r="B687" s="2" t="str">
        <f>"${!l"&amp;$A$619&amp;"("&amp;ROW('1'!$34:$34)-2&amp;")[0]||0?'':`${l"&amp;$A$649&amp;"}:${l"&amp;$A$617&amp;"("&amp;ROW('1'!$34:$34)-2&amp;")[0]}px;`}"</f>
        <v>${!l15(32)[0]||0?'':`${l45}:${l13(32)[0]}px;`}</v>
      </c>
      <c r="C687" s="1"/>
      <c r="D687" s="1"/>
      <c r="E687" s="1"/>
      <c r="F687" s="18"/>
      <c r="G687" s="2"/>
      <c r="H687" s="2"/>
      <c r="I687" s="5"/>
      <c r="J687" s="5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0" customHeight="1">
      <c r="B688" s="2" t="str">
        <f>"${!l"&amp;$A$619&amp;"("&amp;ROW('1'!$34:$34)-2&amp;")[1]||0?'':`${l"&amp;$A$652&amp;"}:${l"&amp;$A$617&amp;"("&amp;ROW('1'!$34:$34)-2&amp;")[1]}px;`}"</f>
        <v>${!l15(32)[1]||0?'':`${l48}:${l13(32)[1]}px;`}</v>
      </c>
      <c r="C688" s="1"/>
      <c r="D688" s="1"/>
      <c r="E688" s="1"/>
      <c r="F688" s="18"/>
      <c r="G688" s="2"/>
      <c r="H688" s="2"/>
      <c r="I688" s="5"/>
      <c r="J688" s="5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0" customHeight="1">
      <c r="B689" s="2" t="str">
        <f>"${!l"&amp;$A$619&amp;"("&amp;ROW('1'!$35:$35)-2&amp;")[0]?'':`${l"&amp;$A$654&amp;"}:${k"&amp;$A$6&amp;"(l"&amp;$A$635&amp;")}${l"&amp;$A$645&amp;"};`}"</f>
        <v>${!l15(33)[0]?'':`${l50}:${k1(l31)}${l41};`}</v>
      </c>
      <c r="C689" s="1"/>
      <c r="D689" s="1"/>
      <c r="E689" s="1"/>
      <c r="F689" s="18"/>
      <c r="G689" s="2"/>
      <c r="H689" s="2"/>
      <c r="I689" s="5"/>
      <c r="J689" s="5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0" customHeight="1">
      <c r="B690" s="2" t="str">
        <f>"${!l"&amp;$A$619&amp;"("&amp;ROW('1'!$35:$35)-2&amp;")[1]?'':`${l"&amp;$A$655&amp;"}:${k"&amp;$A$6&amp;"(l"&amp;$A$636&amp;")}${l"&amp;$A$646&amp;"};`}"</f>
        <v>${!l15(33)[1]?'':`${l51}:${k1(l32)}${l42};`}</v>
      </c>
      <c r="C690" s="1"/>
      <c r="D690" s="1"/>
      <c r="E690" s="1"/>
      <c r="F690" s="18"/>
      <c r="G690" s="2"/>
      <c r="H690" s="2"/>
      <c r="I690" s="5"/>
      <c r="J690" s="5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0" customHeight="1">
      <c r="B691" s="2" t="str">
        <f>"${!l"&amp;$A$619&amp;"("&amp;ROW('1'!$36:$36)-2&amp;")[0]?'':`${l"&amp;$A$653&amp;"}:${k"&amp;$A$6&amp;"(l"&amp;$A$637&amp;")}${l"&amp;$A$647&amp;"};`}"</f>
        <v>${!l15(34)[0]?'':`${l49}:${k1(l33)}${l43};`}</v>
      </c>
      <c r="C691" s="1"/>
      <c r="D691" s="1"/>
      <c r="E691" s="1"/>
      <c r="F691" s="18"/>
      <c r="G691" s="2"/>
      <c r="H691" s="2"/>
      <c r="I691" s="5"/>
      <c r="J691" s="5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0" customHeight="1">
      <c r="B692" s="2" t="str">
        <f>"${!l"&amp;$A$619&amp;"("&amp;ROW('1'!$36:$36)-2&amp;")[1]?'':`${l"&amp;$A$656&amp;"}:${k"&amp;$A$6&amp;"(l"&amp;$A$638&amp;")}${l"&amp;$A$648&amp;"};`}"</f>
        <v>${!l15(34)[1]?'':`${l52}:${k1(l34)}${l44};`}</v>
      </c>
      <c r="C692" s="1"/>
      <c r="D692" s="1"/>
      <c r="E692" s="1"/>
      <c r="F692" s="18"/>
      <c r="G692" s="2"/>
      <c r="H692" s="2"/>
      <c r="I692" s="5"/>
      <c r="J692" s="5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0" customHeight="1">
      <c r="B693" s="2" t="str">
        <f>"${!l"&amp;$A$616&amp;"("&amp;ROW('1'!$26:$26)-2&amp;")||0?'':`${h"&amp;$A$48&amp;"([1,l"&amp;$A$616&amp;"("&amp;ROW('1'!$26:$26)-2&amp;")])}`}"</f>
        <v>${!l12(24)||0?'':`${h24([1,l12(24)])}`}</v>
      </c>
      <c r="C693" s="1"/>
      <c r="D693" s="1"/>
      <c r="E693" s="1"/>
      <c r="F693" s="5"/>
      <c r="G693" s="5"/>
      <c r="H693" s="2"/>
      <c r="I693" s="5"/>
      <c r="J693" s="5"/>
      <c r="K693" s="3"/>
      <c r="L693" s="5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0" customHeight="1">
      <c r="B694" s="2" t="str">
        <f>"${!l"&amp;$A$616&amp;"("&amp;ROW('1'!$27:$27)-2&amp;")?'':`${h"&amp;$A$48&amp;"([0,l"&amp;$A$616&amp;"("&amp;ROW('1'!$27:$27)-2&amp;")])}`}"</f>
        <v>${!l12(25)?'':`${h24([0,l12(25)])}`}</v>
      </c>
      <c r="C694" s="1"/>
      <c r="D694" s="1"/>
      <c r="E694" s="1"/>
      <c r="F694" s="5"/>
      <c r="G694" s="5"/>
      <c r="H694" s="2"/>
      <c r="I694" s="5"/>
      <c r="J694" s="5"/>
      <c r="K694" s="3"/>
      <c r="L694" s="5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0" customHeight="1">
      <c r="B695" s="2" t="str">
        <f>"${!l"&amp;$A$622&amp;"||0||0?'':`translate:"</f>
        <v>${!l18||0||0?'':`translate:</v>
      </c>
      <c r="C695" s="1"/>
      <c r="D695" s="1"/>
      <c r="E695" s="1"/>
      <c r="F695" s="5"/>
      <c r="G695" s="5"/>
      <c r="H695" s="2"/>
      <c r="I695" s="5"/>
      <c r="J695" s="5"/>
      <c r="K695" s="3"/>
      <c r="L695" s="5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0" customHeight="1">
      <c r="B696" s="2" t="str">
        <f>"${!l"&amp;$A$615&amp;"("&amp;ROW('1'!$29:$29)-2&amp;")?'-50%':`${l"&amp;$A$633&amp;"}%`} "</f>
        <v>${!l11(27)?'-50%':`${l29}%`} </v>
      </c>
      <c r="C696" s="1"/>
      <c r="D696" s="1"/>
      <c r="E696" s="1"/>
      <c r="F696" s="5"/>
      <c r="G696" s="5"/>
      <c r="H696" s="2"/>
      <c r="I696" s="5"/>
      <c r="J696" s="5"/>
      <c r="K696" s="3"/>
      <c r="L696" s="5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0" customHeight="1">
      <c r="B697" s="2" t="str">
        <f>"${!l"&amp;$A$615&amp;"("&amp;ROW('1'!$30:$30)-2&amp;")?'0':`${l"&amp;$A$634&amp;"}%`};`}}"</f>
        <v>${!l11(28)?'0':`${l30}%`};`}}</v>
      </c>
      <c r="C697" s="1"/>
      <c r="D697" s="1"/>
      <c r="E697" s="1"/>
      <c r="F697" s="5"/>
      <c r="G697" s="5"/>
      <c r="H697" s="2"/>
      <c r="I697" s="5"/>
      <c r="J697" s="5"/>
      <c r="K697" s="3"/>
      <c r="L697" s="5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0" customHeight="1">
      <c r="B698" s="2" t="str">
        <f>"${l"&amp;$A$613&amp;"-(i?l"&amp;$A$608&amp;":l"&amp;$A$609&amp;")&gt;i0||!l"&amp;$A$607&amp;"?'':`"</f>
        <v>${l9-(i?l4:l5)&gt;i0||!l3?'':`</v>
      </c>
      <c r="C698" s="1"/>
      <c r="D698" s="1"/>
      <c r="E698" s="1"/>
      <c r="F698" s="18"/>
      <c r="G698" s="2"/>
      <c r="H698" s="2"/>
      <c r="I698" s="5"/>
      <c r="J698" s="5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0" customHeight="1">
      <c r="B699" s="2" t="str">
        <f>"#${!i?'k':'t'}${k"&amp;$A$12&amp;"(i0)}&gt;"</f>
        <v>#${!i?'k':'t'}${k7(i0)}&gt;</v>
      </c>
      <c r="C699" s="1"/>
      <c r="D699" s="1"/>
      <c r="E699" s="1"/>
      <c r="F699" s="18"/>
      <c r="G699" s="2"/>
      <c r="H699" s="2"/>
      <c r="I699" s="5"/>
      <c r="J699" s="5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0" customHeight="1">
      <c r="B700" s="2" t="str">
        <f>"[class]{${l"&amp;$A$657&amp;"}:url('${l"&amp;$A$607&amp;"}"</f>
        <v>[class]{${l53}:url('${l3}</v>
      </c>
      <c r="C700" s="1"/>
      <c r="D700" s="1"/>
      <c r="E700" s="1"/>
      <c r="F700" s="18"/>
      <c r="G700" s="5"/>
      <c r="H700" s="2"/>
      <c r="I700" s="5"/>
      <c r="J700" s="5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0" customHeight="1">
      <c r="B701" s="2" t="str">
        <f>".png?t=${l"&amp;$A$604&amp;"||0}');}`}`;}}"</f>
        <v>.png?t=${l0||0}');}`}`;}}</v>
      </c>
      <c r="C701" s="1"/>
      <c r="D701" s="1"/>
      <c r="E701" s="1"/>
      <c r="F701" s="5"/>
      <c r="G701" s="5"/>
      <c r="H701" s="2"/>
      <c r="I701" s="5"/>
      <c r="J701" s="5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0" customHeight="1">
      <c r="B702" s="2" t="str">
        <f>"h"&amp;$A$52&amp;"(['2',l"&amp;$A$611&amp;"+"&amp;ROW('2'!$105:$105)-4&amp;",l"&amp;$A$611&amp;"+"&amp;ROW('2'!$204:$204)-4&amp;"]);"</f>
        <v>h28(['2',l7+101,l7+200]);</v>
      </c>
      <c r="C702" s="1"/>
      <c r="D702" s="1"/>
      <c r="E702" s="1"/>
      <c r="F702" s="5"/>
      <c r="G702" s="5"/>
      <c r="H702" s="2"/>
      <c r="I702" s="5"/>
      <c r="J702" s="5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0" customHeight="1">
      <c r="B703" s="2" t="str">
        <f>"h"&amp;$A$53&amp;"(['3',l"&amp;$A$611&amp;"+"&amp;ROW('3'!$105:$105)-4&amp;",l"&amp;$A$611&amp;"+"&amp;ROW('3'!$204:$204)-4&amp;"]);"</f>
        <v>h29(['3',l7+101,l7+200]);</v>
      </c>
      <c r="C703" s="1"/>
      <c r="D703" s="1"/>
      <c r="E703" s="1"/>
      <c r="F703" s="5"/>
      <c r="G703" s="5"/>
      <c r="H703" s="2"/>
      <c r="I703" s="5"/>
      <c r="J703" s="5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0" customHeight="1">
      <c r="B704" s="2" t="str">
        <f>"h"&amp;$A$51&amp;"(['4',l"&amp;$A$611&amp;"+"&amp;ROW('4'!$104:$104)-4&amp;",l"&amp;$A$611&amp;"+"&amp;ROW('4'!$203:$203)-4&amp;"]);"</f>
        <v>h27(['4',l7+100,l7+199]);</v>
      </c>
      <c r="C704" s="1"/>
      <c r="D704" s="1"/>
      <c r="E704" s="1"/>
      <c r="F704" s="5"/>
      <c r="G704" s="5"/>
      <c r="H704" s="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0" customHeight="1">
      <c r="B705" s="2" t="str">
        <f>"h"&amp;$A$50&amp;"(['5',l"&amp;$A$611&amp;"+"&amp;ROW('5'!$104:$104)-4&amp;",l"&amp;$A$611&amp;"+"&amp;ROW('5'!$203:$203)-4&amp;"]);}}}"</f>
        <v>h26(['5',l7+100,l7+199]);}}}</v>
      </c>
      <c r="C705" s="1"/>
      <c r="D705" s="1"/>
      <c r="E705" s="1"/>
      <c r="F705" s="5"/>
      <c r="G705" s="5"/>
      <c r="H705" s="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0" customHeight="1">
      <c r="A706" s="5"/>
      <c r="B706" s="21"/>
      <c r="C706" s="1"/>
      <c r="D706" s="1"/>
      <c r="E706" s="1"/>
      <c r="F706" s="5"/>
      <c r="G706" s="5"/>
      <c r="H706" s="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0" customHeight="1">
      <c r="A707" s="1">
        <v>0.0</v>
      </c>
      <c r="B707" s="2" t="str">
        <f>$B$507</f>
        <v>if(l[0]&gt;=0){</v>
      </c>
      <c r="C707" s="1"/>
      <c r="D707" s="1"/>
      <c r="E707" s="1"/>
      <c r="F707" s="2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0" customHeight="1">
      <c r="A708" s="1">
        <v>1.0</v>
      </c>
      <c r="B708" s="2" t="str">
        <f>"let l"&amp;$A$707&amp;"=h"&amp;$A$46&amp;"['1-1'];"</f>
        <v>let l0=h23['1-1'];</v>
      </c>
      <c r="C708" s="1"/>
      <c r="D708" s="1"/>
      <c r="E708" s="1"/>
      <c r="F708" s="2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0" customHeight="1">
      <c r="A709" s="1">
        <v>2.0</v>
      </c>
      <c r="B709" s="2" t="str">
        <f>"for(let i=0;i&lt;10;i++){"</f>
        <v>for(let i=0;i&lt;10;i++){</v>
      </c>
      <c r="C709" s="1"/>
      <c r="D709" s="1"/>
      <c r="E709" s="2"/>
      <c r="F709" s="5"/>
      <c r="G709" s="5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0" customHeight="1">
      <c r="A710" s="1">
        <v>3.0</v>
      </c>
      <c r="B710" s="2" t="str">
        <f>"let l"&amp;$A$708&amp;"=i*"&amp;ROW('1'!$76:$76)-ROW('1'!$57:$57)&amp;";"</f>
        <v>let l1=i*19;</v>
      </c>
      <c r="C710" s="1"/>
      <c r="D710" s="1"/>
      <c r="E710" s="2"/>
      <c r="F710" s="5"/>
      <c r="G710" s="5"/>
      <c r="H710" s="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0" customHeight="1">
      <c r="A711" s="1">
        <v>4.0</v>
      </c>
      <c r="B711" s="2" t="str">
        <f>"let l"&amp;$A$709&amp;"=i*100;"</f>
        <v>let l2=i*100;</v>
      </c>
      <c r="C711" s="1"/>
      <c r="D711" s="1"/>
      <c r="E711" s="2"/>
      <c r="F711" s="5"/>
      <c r="G711" s="5"/>
      <c r="H711" s="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0" customHeight="1">
      <c r="A712" s="1">
        <v>5.0</v>
      </c>
      <c r="B712" s="2" t="str">
        <f>"let l"&amp;$A$710&amp;"=[l"&amp;$A$708&amp;"+"&amp;ROW('1'!$58:$58)-2&amp;",l"&amp;$A$708&amp;"+"&amp;ROW('1'!$59:$59)-2&amp;"];"</f>
        <v>let l3=[l1+56,l1+57];</v>
      </c>
      <c r="C712" s="1"/>
      <c r="D712" s="1"/>
      <c r="E712" s="2"/>
      <c r="F712" s="5"/>
      <c r="G712" s="5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0" customHeight="1">
      <c r="A713" s="1">
        <v>6.0</v>
      </c>
      <c r="B713" s="2" t="str">
        <f>"let l"&amp;$A$711&amp;"=[l"&amp;$A$708&amp;"+"&amp;ROW('1'!$57:$57)-2&amp;",...l"&amp;$A$710&amp;"];"</f>
        <v>let l4=[l1+55,...l3];</v>
      </c>
      <c r="C713" s="1"/>
      <c r="D713" s="1"/>
      <c r="E713" s="2"/>
      <c r="F713" s="5"/>
      <c r="G713" s="5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0" customHeight="1">
      <c r="A714" s="1">
        <v>7.0</v>
      </c>
      <c r="B714" s="2" t="str">
        <f>"if(h"&amp;$A$27&amp;"(['1',...l"&amp;$A$711&amp;"])){"</f>
        <v>if(h4(['1',...l4])){</v>
      </c>
      <c r="C714" s="1"/>
      <c r="D714" s="2"/>
      <c r="E714" s="2"/>
      <c r="F714" s="5"/>
      <c r="G714" s="5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0" customHeight="1">
      <c r="A715" s="1">
        <v>8.0</v>
      </c>
      <c r="B715" s="2" t="str">
        <f>"for(let i0=0;i0&lt;100;i0++){"</f>
        <v>for(let i0=0;i0&lt;100;i0++){</v>
      </c>
      <c r="C715" s="1"/>
      <c r="D715" s="2"/>
      <c r="E715" s="1"/>
      <c r="F715" s="5"/>
      <c r="G715" s="5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0" customHeight="1">
      <c r="A716" s="1">
        <v>9.0</v>
      </c>
      <c r="B716" s="2" t="str">
        <f>"if(h"&amp;$A$31&amp;"(['1',i0,...l"&amp;$A$711&amp;"])){"</f>
        <v>if(h8(['1',i0,...l4])){</v>
      </c>
      <c r="C716" s="1"/>
      <c r="D716" s="1"/>
      <c r="E716" s="1"/>
      <c r="F716" s="1"/>
      <c r="G716" s="5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0" customHeight="1">
      <c r="A717" s="1">
        <v>10.0</v>
      </c>
      <c r="B717" s="2" t="str">
        <f>"let l"&amp;$A$712&amp;"=_=&gt;h"&amp;$A$31&amp;"(['1',i0,..._]);"</f>
        <v>let l5=_=&gt;h8(['1',i0,..._]);</v>
      </c>
      <c r="C717" s="3"/>
      <c r="D717" s="1"/>
      <c r="E717" s="2"/>
      <c r="F717" s="1"/>
      <c r="G717" s="5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0" customHeight="1">
      <c r="A718" s="1">
        <v>11.0</v>
      </c>
      <c r="B718" s="2" t="str">
        <f>"let l"&amp;$A$713&amp;"=_=&gt;k"&amp;$A$20&amp;"(['1',i0,..._]);"</f>
        <v>let l6=_=&gt;k15(['1',i0,..._]);</v>
      </c>
      <c r="C718" s="1"/>
      <c r="D718" s="1"/>
      <c r="E718" s="1"/>
      <c r="F718" s="5"/>
      <c r="G718" s="2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0" customHeight="1">
      <c r="A719" s="1">
        <v>12.0</v>
      </c>
      <c r="B719" s="2" t="str">
        <f>"let l"&amp;$A$714&amp;"=_=&gt;k"&amp;$A$19&amp;"(['1',i0,l"&amp;$A$708&amp;"+_]);"</f>
        <v>let l7=_=&gt;k14(['1',i0,l1+_]);</v>
      </c>
      <c r="C719" s="3"/>
      <c r="D719" s="1"/>
      <c r="E719" s="1"/>
      <c r="F719" s="5"/>
      <c r="G719" s="5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0" customHeight="1">
      <c r="A720" s="1">
        <v>13.0</v>
      </c>
      <c r="B720" s="2" t="str">
        <f>"let l"&amp;$A$715&amp;"=_=&gt;k"&amp;$A$18&amp;"(['1',i0,l"&amp;$A$708&amp;"+_]);"</f>
        <v>let l8=_=&gt;k13(['1',i0,l1+_]);</v>
      </c>
      <c r="C720" s="3"/>
      <c r="D720" s="1"/>
      <c r="E720" s="1"/>
      <c r="F720" s="5"/>
      <c r="G720" s="5"/>
      <c r="H720" s="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0" customHeight="1">
      <c r="A721" s="1">
        <v>14.0</v>
      </c>
      <c r="B721" s="2" t="str">
        <f>"let l"&amp;$A$716&amp;"=_=&gt;h"&amp;$A$26&amp;"(['1',i0,l"&amp;$A$708&amp;"+_]);"</f>
        <v>let l9=_=&gt;h3(['1',i0,l1+_]);</v>
      </c>
      <c r="C721" s="2"/>
      <c r="D721" s="1"/>
      <c r="E721" s="1"/>
      <c r="F721" s="5"/>
      <c r="G721" s="5"/>
      <c r="H721" s="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0" customHeight="1">
      <c r="A722" s="1">
        <v>15.0</v>
      </c>
      <c r="B722" s="2" t="str">
        <f>"let l"&amp;$A$717&amp;"=_=&gt;h"&amp;$A$25&amp;"(['1',i0,l"&amp;$A$708&amp;"+_]);"</f>
        <v>let l10=_=&gt;h2(['1',i0,l1+_]);</v>
      </c>
      <c r="C722" s="2"/>
      <c r="D722" s="1"/>
      <c r="E722" s="1"/>
      <c r="F722" s="5"/>
      <c r="G722" s="5"/>
      <c r="H722" s="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0" customHeight="1">
      <c r="A723" s="1">
        <v>16.0</v>
      </c>
      <c r="B723" s="2" t="str">
        <f>"let l"&amp;$A$718&amp;"=_=&gt;h"&amp;$A$23&amp;"(['1',i0,l"&amp;$A$708&amp;"+_]);"</f>
        <v>let l11=_=&gt;h0(['1',i0,l1+_]);</v>
      </c>
      <c r="C723" s="2"/>
      <c r="D723" s="2"/>
      <c r="E723" s="1"/>
      <c r="F723" s="5"/>
      <c r="G723" s="5"/>
      <c r="H723" s="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0" customHeight="1">
      <c r="A724" s="1">
        <v>17.0</v>
      </c>
      <c r="B724" s="2" t="str">
        <f>"let l"&amp;$A$719&amp;"=_=&gt;!l"&amp;$A$714&amp;"(_)||l"&amp;$A$715&amp;"(_)&lt;0;"</f>
        <v>let l12=_=&gt;!l7(_)||l8(_)&lt;0;</v>
      </c>
      <c r="C724" s="2"/>
      <c r="D724" s="2"/>
      <c r="E724" s="2"/>
      <c r="F724" s="2"/>
      <c r="G724" s="5"/>
      <c r="H724" s="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0" customHeight="1">
      <c r="A725" s="1">
        <v>18.0</v>
      </c>
      <c r="B725" s="2" t="str">
        <f>"let l"&amp;$A$720&amp;"=_=&gt;!l"&amp;$A$714&amp;"(_)||l"&amp;$A$715&amp;"(_)&gt;0;"</f>
        <v>let l13=_=&gt;!l7(_)||l8(_)&gt;0;</v>
      </c>
      <c r="C725" s="2"/>
      <c r="D725" s="2"/>
      <c r="E725" s="2"/>
      <c r="F725" s="2"/>
      <c r="G725" s="5"/>
      <c r="H725" s="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0" customHeight="1">
      <c r="A726" s="1">
        <v>19.0</v>
      </c>
      <c r="B726" s="2" t="str">
        <f>"let l"&amp;$A$721&amp;"=l"&amp;$A$715&amp;"("&amp;ROW('1'!$67:$67)-2&amp;")*l"&amp;$A$717&amp;"("&amp;ROW('1'!$71:$71)-2&amp;")/100;"</f>
        <v>let l14=l8(65)*l10(69)/100;</v>
      </c>
      <c r="C726" s="1"/>
      <c r="D726" s="1"/>
      <c r="E726" s="1"/>
      <c r="F726" s="5"/>
      <c r="G726" s="5"/>
      <c r="H726" s="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0" customHeight="1">
      <c r="A727" s="1">
        <v>20.0</v>
      </c>
      <c r="B727" s="2" t="str">
        <f>"let l"&amp;$A$722&amp;"=l"&amp;$A$715&amp;"("&amp;ROW('1'!$66:$66)-2&amp;")*l"&amp;$A$717&amp;"("&amp;ROW('1'!$70:$70)-2&amp;")/100;"</f>
        <v>let l15=l8(64)*l10(68)/100;</v>
      </c>
      <c r="C727" s="1"/>
      <c r="D727" s="1"/>
      <c r="E727" s="1"/>
      <c r="F727" s="5"/>
      <c r="G727" s="5"/>
      <c r="H727" s="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0" customHeight="1">
      <c r="A728" s="1">
        <v>21.0</v>
      </c>
      <c r="B728" s="2" t="str">
        <f>"let l"&amp;$A$723&amp;"=l"&amp;$A$720&amp;"("&amp;ROW('1'!$61:$61)-2&amp;")||l"&amp;$A$715&amp;"("&amp;ROW('1'!$62:$62)-2&amp;")&gt;0;"</f>
        <v>let l16=l13(59)||l8(60)&gt;0;</v>
      </c>
      <c r="C728" s="2"/>
      <c r="D728" s="2"/>
      <c r="E728" s="2"/>
      <c r="F728" s="2"/>
      <c r="G728" s="5"/>
      <c r="H728" s="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0" customHeight="1">
      <c r="A729" s="1">
        <v>22.0</v>
      </c>
      <c r="B729" s="2" t="str">
        <f>"let l"&amp;$A$724&amp;"=l"&amp;$A$716&amp;"("&amp;ROW('1'!$68:$68)-2&amp;")[0]-k"&amp;$A$11&amp;"(l"&amp;$A$722&amp;");"</f>
        <v>let l17=l9(66)[0]-k6(l15);</v>
      </c>
      <c r="C729" s="1"/>
      <c r="D729" s="1"/>
      <c r="E729" s="1"/>
      <c r="F729" s="5"/>
      <c r="G729" s="5"/>
      <c r="H729" s="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0" customHeight="1">
      <c r="A730" s="1">
        <v>23.0</v>
      </c>
      <c r="B730" s="2" t="str">
        <f>"let l"&amp;$A$725&amp;"=l"&amp;$A$716&amp;"("&amp;ROW('1'!$69:$69)-2&amp;")[0]-k"&amp;$A$11&amp;"(l"&amp;$A$721&amp;");"</f>
        <v>let l18=l9(67)[0]-k6(l14);</v>
      </c>
      <c r="C730" s="1"/>
      <c r="D730" s="1"/>
      <c r="E730" s="1"/>
      <c r="F730" s="5"/>
      <c r="G730" s="5"/>
      <c r="H730" s="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0" customHeight="1">
      <c r="A731" s="1">
        <v>24.0</v>
      </c>
      <c r="B731" s="2" t="str">
        <f>"let l"&amp;$A$726&amp;"=l"&amp;$A$716&amp;"("&amp;ROW('1'!$68:$68)-2&amp;")[1]+l"&amp;$A$717&amp;"("&amp;ROW('1'!$70:$70)-2&amp;");"</f>
        <v>let l19=l9(66)[1]+l10(68);</v>
      </c>
      <c r="C731" s="1"/>
      <c r="D731" s="1"/>
      <c r="E731" s="1"/>
      <c r="F731" s="5"/>
      <c r="G731" s="5"/>
      <c r="H731" s="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0" customHeight="1">
      <c r="A732" s="1">
        <v>25.0</v>
      </c>
      <c r="B732" s="2" t="str">
        <f>"let l"&amp;$A$727&amp;"=l"&amp;$A$716&amp;"("&amp;ROW('1'!$69:$69)-2&amp;")[1]+l"&amp;$A$717&amp;"("&amp;ROW('1'!$71:$71)-2&amp;");"</f>
        <v>let l20=l9(67)[1]+l10(69);</v>
      </c>
      <c r="C732" s="1"/>
      <c r="D732" s="1"/>
      <c r="E732" s="1"/>
      <c r="F732" s="5"/>
      <c r="G732" s="5"/>
      <c r="H732" s="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0" customHeight="1">
      <c r="A733" s="1">
        <v>26.0</v>
      </c>
      <c r="B733" s="2" t="str">
        <f>"let l"&amp;$A$728&amp;"=l"&amp;$A$712&amp;"([l"&amp;$A$708&amp;"+"&amp;ROW('1'!$66:$66)-2&amp;",l"&amp;$A$708&amp;"+"&amp;ROW('1'!$67:$67)-2&amp;"]);"</f>
        <v>let l21=l5([l1+64,l1+65]);</v>
      </c>
      <c r="C733" s="1"/>
      <c r="D733" s="1"/>
      <c r="E733" s="1"/>
      <c r="F733" s="5"/>
      <c r="G733" s="5"/>
      <c r="H733" s="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0" customHeight="1">
      <c r="A734" s="1">
        <v>27.0</v>
      </c>
      <c r="B734" s="2" t="str">
        <f>"let l"&amp;$A$729&amp;"=l"&amp;$A$713&amp;"([l"&amp;$A$708&amp;"+"&amp;ROW('1'!$62:$62)-2&amp;",100]);"</f>
        <v>let l22=l6([l1+60,100]);</v>
      </c>
      <c r="C734" s="1"/>
      <c r="D734" s="1"/>
      <c r="E734" s="2"/>
      <c r="F734" s="5"/>
      <c r="G734" s="5"/>
      <c r="H734" s="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0" customHeight="1">
      <c r="A735" s="1">
        <v>28.0</v>
      </c>
      <c r="B735" s="2" t="str">
        <f>"let l"&amp;$A$730&amp;"=l"&amp;$A$713&amp;"([l"&amp;$A$708&amp;"+"&amp;ROW('1'!$67:$67)-2&amp;",0]);"</f>
        <v>let l23=l6([l1+65,0]);</v>
      </c>
      <c r="C735" s="1"/>
      <c r="D735" s="1"/>
      <c r="E735" s="2"/>
      <c r="F735" s="5"/>
      <c r="G735" s="5"/>
      <c r="H735" s="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0" customHeight="1">
      <c r="A736" s="1">
        <v>29.0</v>
      </c>
      <c r="B736" s="2" t="str">
        <f>"let l"&amp;$A$731&amp;"=l"&amp;$A$713&amp;"([l"&amp;$A$708&amp;"+"&amp;ROW('1'!$66:$66)-2&amp;",0]);"</f>
        <v>let l24=l6([l1+64,0]);</v>
      </c>
      <c r="C736" s="1"/>
      <c r="D736" s="1"/>
      <c r="E736" s="2"/>
      <c r="F736" s="5"/>
      <c r="G736" s="5"/>
      <c r="H736" s="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0" customHeight="1">
      <c r="A737" s="1">
        <v>30.0</v>
      </c>
      <c r="B737" s="2" t="str">
        <f>"let l"&amp;$A$732&amp;"=l"&amp;$A$707&amp;"[l"&amp;$A$715&amp;"("&amp;ROW('1'!$63:$63)-2&amp;")];"</f>
        <v>let l25=l0[l8(61)];</v>
      </c>
      <c r="C737" s="1"/>
      <c r="D737" s="1"/>
      <c r="E737" s="1"/>
      <c r="F737" s="5"/>
      <c r="G737" s="5"/>
      <c r="H737" s="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0" customHeight="1">
      <c r="A738" s="1">
        <v>31.0</v>
      </c>
      <c r="B738" s="2" t="str">
        <f>"let l"&amp;$A$733&amp;"=k"&amp;$A$6&amp;"(l"&amp;$A$715&amp;"("&amp;ROW('1'!$58:$58)-2&amp;"));"</f>
        <v>let l26=k1(l8(56));</v>
      </c>
      <c r="C738" s="2"/>
      <c r="D738" s="2"/>
      <c r="E738" s="2"/>
      <c r="F738" s="2"/>
      <c r="G738" s="5"/>
      <c r="H738" s="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0" customHeight="1">
      <c r="A739" s="1">
        <v>32.0</v>
      </c>
      <c r="B739" s="2" t="str">
        <f>"let l"&amp;$A$734&amp;"=k"&amp;$A$6&amp;"(l"&amp;$A$715&amp;"("&amp;ROW('1'!$59:$59)-2&amp;"));"</f>
        <v>let l27=k1(l8(57));</v>
      </c>
      <c r="C739" s="2"/>
      <c r="D739" s="2"/>
      <c r="E739" s="2"/>
      <c r="F739" s="2"/>
      <c r="G739" s="5"/>
      <c r="H739" s="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0" customHeight="1">
      <c r="A740" s="1">
        <v>33.0</v>
      </c>
      <c r="B740" s="2" t="str">
        <f>"let l"&amp;$A$735&amp;"=k"&amp;$A$6&amp;"(l"&amp;$A$715&amp;"("&amp;ROW('1'!$60:$60)-2&amp;"));"</f>
        <v>let l28=k1(l8(58));</v>
      </c>
      <c r="C740" s="1"/>
      <c r="D740" s="1"/>
      <c r="E740" s="2"/>
      <c r="F740" s="5"/>
      <c r="G740" s="5"/>
      <c r="H740" s="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0" customHeight="1">
      <c r="A741" s="1">
        <v>34.0</v>
      </c>
      <c r="B741" s="2" t="str">
        <f>"let l"&amp;$A$736&amp;"=k"&amp;$A$6&amp;"(l"&amp;$A$715&amp;"("&amp;ROW('1'!$61:$61)-2&amp;"));"</f>
        <v>let l29=k1(l8(59));</v>
      </c>
      <c r="C741" s="1"/>
      <c r="D741" s="1"/>
      <c r="E741" s="2"/>
      <c r="F741" s="5"/>
      <c r="G741" s="5"/>
      <c r="H741" s="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0" customHeight="1">
      <c r="A742" s="1">
        <v>35.0</v>
      </c>
      <c r="B742" s="2" t="str">
        <f>"let l"&amp;$A$737&amp;"=k"&amp;$A$6&amp;"(l"&amp;$A$715&amp;"("&amp;ROW('1'!$62:$62)-2&amp;"));"</f>
        <v>let l30=k1(l8(60));</v>
      </c>
      <c r="C742" s="1"/>
      <c r="D742" s="1"/>
      <c r="E742" s="1"/>
      <c r="F742" s="5"/>
      <c r="G742" s="5"/>
      <c r="H742" s="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0" customHeight="1">
      <c r="A743" s="1">
        <v>36.0</v>
      </c>
      <c r="B743" s="2" t="str">
        <f>"let l"&amp;$A$738&amp;"=l"&amp;$A$716&amp;"("&amp;ROW('1'!$72:$72)-2&amp;")[0];"</f>
        <v>let l31=l9(70)[0];</v>
      </c>
      <c r="C743" s="1"/>
      <c r="D743" s="1"/>
      <c r="E743" s="1"/>
      <c r="F743" s="1"/>
      <c r="G743" s="5"/>
      <c r="H743" s="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0" customHeight="1">
      <c r="A744" s="1">
        <v>37.0</v>
      </c>
      <c r="B744" s="2" t="str">
        <f>"let l"&amp;$A$739&amp;"=l"&amp;$A$716&amp;"("&amp;ROW('1'!$72:$72)-2&amp;")[1];"</f>
        <v>let l32=l9(70)[1];</v>
      </c>
      <c r="C744" s="1"/>
      <c r="D744" s="1"/>
      <c r="E744" s="1"/>
      <c r="F744" s="1"/>
      <c r="G744" s="5"/>
      <c r="H744" s="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0" customHeight="1">
      <c r="A745" s="1">
        <v>38.0</v>
      </c>
      <c r="B745" s="2" t="str">
        <f>"let l"&amp;$A$740&amp;"=l"&amp;$A$716&amp;"("&amp;ROW('1'!$73:$73)-2&amp;")[0];"</f>
        <v>let l33=l9(71)[0];</v>
      </c>
      <c r="C745" s="1"/>
      <c r="D745" s="1"/>
      <c r="E745" s="1"/>
      <c r="F745" s="1"/>
      <c r="G745" s="5"/>
      <c r="H745" s="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0" customHeight="1">
      <c r="A746" s="1">
        <v>39.0</v>
      </c>
      <c r="B746" s="2" t="str">
        <f>"let l"&amp;$A$741&amp;"=l"&amp;$A$716&amp;"("&amp;ROW('1'!$73:$73)-2&amp;")[0||1];"</f>
        <v>let l34=l9(71)[0||1];</v>
      </c>
      <c r="C746" s="1"/>
      <c r="D746" s="1"/>
      <c r="E746" s="1"/>
      <c r="F746" s="1"/>
      <c r="G746" s="5"/>
      <c r="H746" s="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0" customHeight="1">
      <c r="A747" s="1">
        <v>40.0</v>
      </c>
      <c r="B747" s="2" t="str">
        <f>"let l"&amp;$A$742&amp;"=l"&amp;$A$738&amp;"&lt;0?'%':'px';"</f>
        <v>let l35=l31&lt;0?'%':'px';</v>
      </c>
      <c r="C747" s="1"/>
      <c r="D747" s="1"/>
      <c r="E747" s="1"/>
      <c r="F747" s="1"/>
      <c r="G747" s="5"/>
      <c r="H747" s="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0" customHeight="1">
      <c r="A748" s="1">
        <v>41.0</v>
      </c>
      <c r="B748" s="2" t="str">
        <f>"let l"&amp;$A$743&amp;"=l"&amp;$A$739&amp;"&lt;0?'%':'px';"</f>
        <v>let l36=l32&lt;0?'%':'px';</v>
      </c>
      <c r="C748" s="1"/>
      <c r="D748" s="1"/>
      <c r="E748" s="1"/>
      <c r="F748" s="1"/>
      <c r="G748" s="5"/>
      <c r="H748" s="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0" customHeight="1">
      <c r="A749" s="1">
        <v>42.0</v>
      </c>
      <c r="B749" s="2" t="str">
        <f>"let l"&amp;$A$744&amp;"=l"&amp;$A$740&amp;"&lt;0?'%':'px';"</f>
        <v>let l37=l33&lt;0?'%':'px';</v>
      </c>
      <c r="C749" s="1"/>
      <c r="D749" s="1"/>
      <c r="E749" s="1"/>
      <c r="F749" s="1"/>
      <c r="G749" s="5"/>
      <c r="H749" s="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0" customHeight="1">
      <c r="A750" s="1">
        <v>43.0</v>
      </c>
      <c r="B750" s="2" t="str">
        <f>"let l"&amp;$A$745&amp;"=l"&amp;$A$741&amp;"&lt;0?'%':'px';"</f>
        <v>let l38=l34&lt;0?'%':'px';</v>
      </c>
      <c r="C750" s="1"/>
      <c r="D750" s="1"/>
      <c r="E750" s="1"/>
      <c r="F750" s="1"/>
      <c r="G750" s="5"/>
      <c r="H750" s="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0" customHeight="1">
      <c r="A751" s="1">
        <v>44.0</v>
      </c>
      <c r="B751" s="2" t="str">
        <f>"let l"&amp;$A$746&amp;"='margin-top';"</f>
        <v>let l39='margin-top';</v>
      </c>
      <c r="C751" s="1"/>
      <c r="D751" s="1"/>
      <c r="E751" s="1"/>
      <c r="F751" s="5"/>
      <c r="G751" s="5"/>
      <c r="H751" s="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0" customHeight="1">
      <c r="A752" s="1">
        <v>45.0</v>
      </c>
      <c r="B752" s="2" t="str">
        <f>"let l"&amp;$A$747&amp;"='margin-left';"</f>
        <v>let l40='margin-left';</v>
      </c>
      <c r="C752" s="1"/>
      <c r="D752" s="1"/>
      <c r="E752" s="1"/>
      <c r="F752" s="5"/>
      <c r="G752" s="5"/>
      <c r="H752" s="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0" customHeight="1">
      <c r="A753" s="1">
        <v>46.0</v>
      </c>
      <c r="B753" s="2" t="str">
        <f>"let l"&amp;$A$748&amp;"='margin-right';"</f>
        <v>let l41='margin-right';</v>
      </c>
      <c r="C753" s="1"/>
      <c r="D753" s="1"/>
      <c r="E753" s="1"/>
      <c r="F753" s="5"/>
      <c r="G753" s="5"/>
      <c r="H753" s="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0" customHeight="1">
      <c r="A754" s="1">
        <v>47.0</v>
      </c>
      <c r="B754" s="2" t="str">
        <f>"let l"&amp;$A$749&amp;"='margin-bottom';"</f>
        <v>let l42='margin-bottom';</v>
      </c>
      <c r="C754" s="1"/>
      <c r="D754" s="1"/>
      <c r="E754" s="1"/>
      <c r="F754" s="5"/>
      <c r="G754" s="5"/>
      <c r="H754" s="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0" customHeight="1">
      <c r="A755" s="5" t="s">
        <v>0</v>
      </c>
      <c r="B755" s="2" t="str">
        <f>"let l"&amp;$A$750&amp;"='padding-top';"</f>
        <v>let l43='padding-top';</v>
      </c>
      <c r="C755" s="1"/>
      <c r="D755" s="1"/>
      <c r="E755" s="1"/>
      <c r="F755" s="5"/>
      <c r="G755" s="2"/>
      <c r="H755" s="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0" customHeight="1">
      <c r="A756" s="1"/>
      <c r="B756" s="2" t="str">
        <f>"let l"&amp;$A$751&amp;"='padding-left';"</f>
        <v>let l44='padding-left';</v>
      </c>
      <c r="C756" s="1"/>
      <c r="D756" s="1"/>
      <c r="E756" s="1"/>
      <c r="F756" s="5"/>
      <c r="G756" s="2"/>
      <c r="H756" s="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0" customHeight="1">
      <c r="B757" s="2" t="str">
        <f>"let l"&amp;$A$752&amp;"='padding-right';"</f>
        <v>let l45='padding-right';</v>
      </c>
      <c r="C757" s="1"/>
      <c r="D757" s="1"/>
      <c r="E757" s="1"/>
      <c r="F757" s="5"/>
      <c r="G757" s="2"/>
      <c r="H757" s="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0" customHeight="1">
      <c r="B758" s="2" t="str">
        <f>"let l"&amp;$A$753&amp;"='padding-bottom';"</f>
        <v>let l46='padding-bottom';</v>
      </c>
      <c r="C758" s="1"/>
      <c r="D758" s="1"/>
      <c r="E758" s="1"/>
      <c r="F758" s="5"/>
      <c r="G758" s="2"/>
      <c r="H758" s="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0" customHeight="1">
      <c r="B759" s="2" t="str">
        <f>"let l"&amp;$A$754&amp;"=`${l"&amp;$A$729&amp;"}% - ${l"&amp;$A$727&amp;"}px`;"</f>
        <v>let l47=`${l22}% - ${l20}px`;</v>
      </c>
      <c r="C759" s="1"/>
      <c r="D759" s="1"/>
      <c r="E759" s="1"/>
      <c r="F759" s="5"/>
      <c r="G759" s="5"/>
      <c r="H759" s="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B760" s="2" t="str">
        <f>"h[2]+=`#t${k"&amp;$A$13&amp;"(i0+l"&amp;$A$709&amp;")}{"</f>
        <v>h[2]+=`#t${k8(i0+l2)}{</v>
      </c>
      <c r="C760" s="1"/>
      <c r="D760" s="1"/>
      <c r="E760" s="1"/>
      <c r="F760" s="5"/>
      <c r="G760" s="5"/>
      <c r="H760" s="2"/>
      <c r="I760" s="5"/>
      <c r="J760" s="5"/>
      <c r="K760" s="3"/>
      <c r="L760" s="5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0" customHeight="1">
      <c r="B761" s="2" t="str">
        <f>"${!l"&amp;$A$714&amp;"("&amp;ROW('1'!$65:$65)-2&amp;")?'':`order:${l"&amp;$A$713&amp;"([l"&amp;$A$708&amp;"+"&amp;ROW('1'!$65:$65)-2&amp;",0])};`}"</f>
        <v>${!l7(63)?'':`order:${l6([l1+63,0])};`}</v>
      </c>
      <c r="C761" s="1"/>
      <c r="D761" s="1"/>
      <c r="E761" s="1"/>
      <c r="F761" s="18"/>
      <c r="G761" s="5"/>
      <c r="H761" s="2"/>
      <c r="I761" s="5"/>
      <c r="J761" s="5"/>
      <c r="K761" s="3"/>
      <c r="L761" s="5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B762" s="2" t="str">
        <f>"${l"&amp;$A$719&amp;"("&amp;ROW('1'!$57:$57)-2&amp;")?'':`flex-grow:${k"&amp;$A$6&amp;"(l"&amp;$A$715&amp;"("&amp;ROW('1'!$57:$57)-2&amp;"))};`}"</f>
        <v>${l12(55)?'':`flex-grow:${k1(l8(55))};`}</v>
      </c>
      <c r="C762" s="1"/>
      <c r="D762" s="1"/>
      <c r="E762" s="1"/>
      <c r="F762" s="5"/>
      <c r="G762" s="5"/>
      <c r="H762" s="2"/>
      <c r="I762" s="5"/>
      <c r="J762" s="5"/>
      <c r="K762" s="3"/>
      <c r="L762" s="5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B763" s="2" t="str">
        <f>"${l"&amp;$A$715&amp;"("&amp;ROW('1'!$57:$57)-2&amp;")&gt;=0?'':`flex-shrink:${k"&amp;$A$6&amp;"(l"&amp;$A$715&amp;"("&amp;ROW('1'!$57:$57)-2&amp;"))};`}"</f>
        <v>${l8(55)&gt;=0?'':`flex-shrink:${k1(l8(55))};`}</v>
      </c>
      <c r="C763" s="1"/>
      <c r="D763" s="1"/>
      <c r="E763" s="1"/>
      <c r="F763" s="5"/>
      <c r="G763" s="5"/>
      <c r="H763" s="2"/>
      <c r="I763" s="5"/>
      <c r="J763" s="5"/>
      <c r="K763" s="3"/>
      <c r="L763" s="5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0" customHeight="1">
      <c r="B764" s="2" t="str">
        <f>"${l"&amp;$A$728&amp;"||!l"&amp;$A$718&amp;"("&amp;ROW('1'!$68:$68)-2&amp;")[0]?'':`left:${l"&amp;$A$716&amp;"("&amp;ROW('1'!$68:$68)-2&amp;")[0]}px;`}"</f>
        <v>${l21||!l11(66)[0]?'':`left:${l9(66)[0]}px;`}</v>
      </c>
      <c r="C764" s="1"/>
      <c r="D764" s="1"/>
      <c r="E764" s="1"/>
      <c r="F764" s="5"/>
      <c r="G764" s="5"/>
      <c r="H764" s="2"/>
      <c r="I764" s="5"/>
      <c r="J764" s="5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0" customHeight="1">
      <c r="B765" s="2" t="str">
        <f>"${l"&amp;$A$728&amp;"||!l"&amp;$A$718&amp;"("&amp;ROW('1'!$69:$69)-2&amp;")[0]?'':`top:${l"&amp;$A$716&amp;"("&amp;ROW('1'!$69:$69)-2&amp;")[0]}px;`}"</f>
        <v>${l21||!l11(67)[0]?'':`top:${l9(67)[0]}px;`}</v>
      </c>
      <c r="C765" s="1"/>
      <c r="D765" s="1"/>
      <c r="E765" s="1"/>
      <c r="F765" s="5"/>
      <c r="G765" s="5"/>
      <c r="H765" s="2"/>
      <c r="I765" s="5"/>
      <c r="J765" s="5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0" customHeight="1">
      <c r="B766" s="2" t="str">
        <f>"${!l"&amp;$A$728&amp;"||0?'':`left:calc(${l"&amp;$A$731&amp;"}% + ${l"&amp;$A$724&amp;"}px);`}"</f>
        <v>${!l21||0?'':`left:calc(${l24}% + ${l17}px);`}</v>
      </c>
      <c r="C766" s="1"/>
      <c r="D766" s="1"/>
      <c r="E766" s="1"/>
      <c r="F766" s="5"/>
      <c r="G766" s="5"/>
      <c r="H766" s="2"/>
      <c r="I766" s="5"/>
      <c r="J766" s="5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0" customHeight="1">
      <c r="B767" s="2" t="str">
        <f>"${!l"&amp;$A$728&amp;"||0?'':`top:calc(${l"&amp;$A$730&amp;"}% + ${l"&amp;$A$725&amp;"}px);`}"</f>
        <v>${!l21||0?'':`top:calc(${l23}% + ${l18}px);`}</v>
      </c>
      <c r="C767" s="1"/>
      <c r="D767" s="1"/>
      <c r="E767" s="1"/>
      <c r="F767" s="18"/>
      <c r="G767" s="5"/>
      <c r="H767" s="2"/>
      <c r="I767" s="5"/>
      <c r="J767" s="5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B768" s="2" t="str">
        <f>"${l"&amp;$A$715&amp;"("&amp;ROW('1'!$58:$58)-2&amp;")&lt;=0?'':`width:calc(${l"&amp;$A$733&amp;"}% - ${l"&amp;$A$726&amp;"}px);`}"</f>
        <v>${l8(56)&lt;=0?'':`width:calc(${l26}% - ${l19}px);`}</v>
      </c>
      <c r="C768" s="1"/>
      <c r="D768" s="1"/>
      <c r="E768" s="1"/>
      <c r="F768" s="5"/>
      <c r="G768" s="5"/>
      <c r="H768" s="2"/>
      <c r="I768" s="5"/>
      <c r="J768" s="5"/>
      <c r="K768" s="3"/>
      <c r="L768" s="5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B769" s="2" t="str">
        <f>"${!l"&amp;$A$714&amp;"("&amp;ROW('1'!$58:$58)-2&amp;")||l"&amp;$A$715&amp;"("&amp;ROW('1'!$58:$58)-2&amp;")&gt;0||0?'':`width:${l"&amp;$A$733&amp;"-l"&amp;$A$726&amp;"}px;`}"</f>
        <v>${!l7(56)||l8(56)&gt;0||0?'':`width:${l26-l19}px;`}</v>
      </c>
      <c r="C769" s="1"/>
      <c r="D769" s="1"/>
      <c r="E769" s="1"/>
      <c r="F769" s="5"/>
      <c r="G769" s="5"/>
      <c r="H769" s="2"/>
      <c r="I769" s="5"/>
      <c r="J769" s="5"/>
      <c r="K769" s="3"/>
      <c r="L769" s="5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0" customHeight="1">
      <c r="B770" s="2" t="str">
        <f>"${!l"&amp;$A$714&amp;"("&amp;ROW('1'!$59:$59)-2&amp;")||l"&amp;$A$715&amp;"("&amp;ROW('1'!$59:$59)-2&amp;")&lt;=0?'':`max-width:${l"&amp;$A$734&amp;"-l"&amp;$A$726&amp;"}px;`}"</f>
        <v>${!l7(57)||l8(57)&lt;=0?'':`max-width:${l27-l19}px;`}</v>
      </c>
      <c r="C770" s="1"/>
      <c r="D770" s="1"/>
      <c r="E770" s="1"/>
      <c r="F770" s="18"/>
      <c r="G770" s="5"/>
      <c r="H770" s="2"/>
      <c r="I770" s="5"/>
      <c r="J770" s="5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0" customHeight="1">
      <c r="B771" s="2" t="str">
        <f>"${!l"&amp;$A$714&amp;"("&amp;ROW('1'!$59:$59)-2&amp;")||l"&amp;$A$715&amp;"("&amp;ROW('1'!$59:$59)-2&amp;")&gt;0?'':`min-width:${l"&amp;$A$734&amp;"-l"&amp;$A$726&amp;"}px;`}"</f>
        <v>${!l7(57)||l8(57)&gt;0?'':`min-width:${l27-l19}px;`}</v>
      </c>
      <c r="C771" s="1"/>
      <c r="D771" s="1"/>
      <c r="E771" s="1"/>
      <c r="F771" s="18"/>
      <c r="G771" s="5"/>
      <c r="H771" s="2"/>
      <c r="I771" s="5"/>
      <c r="J771" s="5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0" customHeight="1">
      <c r="B772" s="2" t="str">
        <f>"${l"&amp;$A$715&amp;"("&amp;ROW('1'!$60:$60)-2&amp;")&lt;=0?'':`height:calc(${l"&amp;$A$735&amp;"}% - ${l"&amp;$A$727&amp;"}px);`}"</f>
        <v>${l8(58)&lt;=0?'':`height:calc(${l28}% - ${l20}px);`}</v>
      </c>
      <c r="C772" s="1"/>
      <c r="D772" s="1"/>
      <c r="E772" s="1"/>
      <c r="F772" s="18"/>
      <c r="G772" s="5"/>
      <c r="H772" s="2"/>
      <c r="I772" s="5"/>
      <c r="J772" s="5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B773" s="2" t="str">
        <f>"${!l"&amp;$A$714&amp;"("&amp;ROW('1'!$60:$60)-2&amp;")||l"&amp;$A$715&amp;"("&amp;ROW('1'!$60:$60)-2&amp;")&gt;0||0?'':`height:${k"&amp;$A$5&amp;"(l"&amp;$A$735&amp;"-l"&amp;$A$727&amp;")}px;`}"</f>
        <v>${!l7(58)||l8(58)&gt;0||0?'':`height:${k0(l28-l20)}px;`}</v>
      </c>
      <c r="C773" s="1"/>
      <c r="D773" s="1"/>
      <c r="E773" s="1"/>
      <c r="F773" s="5"/>
      <c r="G773" s="5"/>
      <c r="H773" s="2"/>
      <c r="I773" s="5"/>
      <c r="J773" s="5"/>
      <c r="K773" s="3"/>
      <c r="L773" s="5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0" customHeight="1">
      <c r="B774" s="2" t="str">
        <f>"${!l"&amp;$A$714&amp;"("&amp;ROW('1'!$61:$61)-2&amp;")||l"&amp;$A$715&amp;"("&amp;ROW('1'!$61:$61)-2&amp;")&lt;=0?'':`max-height:${k"&amp;$A$5&amp;"(l"&amp;$A$736&amp;"-l"&amp;$A$727&amp;")}px;`}"</f>
        <v>${!l7(59)||l8(59)&lt;=0?'':`max-height:${k0(l29-l20)}px;`}</v>
      </c>
      <c r="C774" s="1"/>
      <c r="D774" s="1"/>
      <c r="E774" s="1"/>
      <c r="F774" s="18"/>
      <c r="G774" s="5"/>
      <c r="H774" s="2"/>
      <c r="I774" s="5"/>
      <c r="J774" s="5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0" customHeight="1">
      <c r="B775" s="2" t="str">
        <f>"${!l"&amp;$A$714&amp;"("&amp;ROW('1'!$61:$61)-2&amp;")||l"&amp;$A$715&amp;"("&amp;ROW('1'!$61:$61)-2&amp;")&gt;0?'':`min-height:${k"&amp;$A$5&amp;"(l"&amp;$A$736&amp;"-l"&amp;$A$727&amp;")}px;`}"</f>
        <v>${!l7(59)||l8(59)&gt;0?'':`min-height:${k0(l29-l20)}px;`}</v>
      </c>
      <c r="C775" s="1"/>
      <c r="D775" s="1"/>
      <c r="E775" s="1"/>
      <c r="F775" s="18"/>
      <c r="G775" s="5"/>
      <c r="H775" s="2"/>
      <c r="I775" s="5"/>
      <c r="J775" s="5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0" customHeight="1">
      <c r="B776" s="2" t="str">
        <f>"${!l"&amp;$A$723&amp;"||!l"&amp;$A$720&amp;"("&amp;ROW('1'!$62:$62)-2&amp;")||0||0?'':`min-height:calc(${l"&amp;$A$754&amp;"});`}"</f>
        <v>${!l16||!l13(60)||0||0?'':`min-height:calc(${l47});`}</v>
      </c>
      <c r="C776" s="1"/>
      <c r="D776" s="1"/>
      <c r="E776" s="1"/>
      <c r="F776" s="18"/>
      <c r="G776" s="2"/>
      <c r="H776" s="2"/>
      <c r="I776" s="5"/>
      <c r="J776" s="5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0" customHeight="1">
      <c r="B777" s="2" t="str">
        <f>"${!l"&amp;$A$714&amp;"("&amp;ROW('1'!$62:$62)-2&amp;")||l"&amp;$A$715&amp;"("&amp;ROW('1'!$62:$62)-2&amp;")!=0||0?'':`min-height:${l"&amp;$A$729&amp;"}%;`}"</f>
        <v>${!l7(60)||l8(60)!=0||0?'':`min-height:${l22}%;`}</v>
      </c>
      <c r="C777" s="1"/>
      <c r="D777" s="1"/>
      <c r="E777" s="1"/>
      <c r="F777" s="18"/>
      <c r="G777" s="2"/>
      <c r="H777" s="2"/>
      <c r="I777" s="5"/>
      <c r="J777" s="5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0" customHeight="1">
      <c r="B778" s="2" t="str">
        <f>"${l"&amp;$A$715&amp;"("&amp;ROW('1'!$62:$62)-2&amp;")&gt;=0?'':`aspect-ratio:${k"&amp;$A$11&amp;"(100/l"&amp;$A$737&amp;")};`}"</f>
        <v>${l8(60)&gt;=0?'':`aspect-ratio:${k6(100/l30)};`}</v>
      </c>
      <c r="C778" s="1"/>
      <c r="D778" s="1"/>
      <c r="E778" s="1"/>
      <c r="F778" s="18"/>
      <c r="G778" s="2"/>
      <c r="H778" s="2"/>
      <c r="I778" s="5"/>
      <c r="J778" s="5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0" customHeight="1">
      <c r="B779" s="2" t="str">
        <f>"${!l"&amp;$A$718&amp;"("&amp;ROW('1'!$70:$70)-2&amp;")[0]||0?'':`${l"&amp;$A$747&amp;"}:${l"&amp;$A$716&amp;"("&amp;ROW('1'!$70:$70)-2&amp;")[0]}px;`}"</f>
        <v>${!l11(68)[0]||0?'':`${l40}:${l9(68)[0]}px;`}</v>
      </c>
      <c r="C779" s="1"/>
      <c r="D779" s="1"/>
      <c r="E779" s="1"/>
      <c r="F779" s="18"/>
      <c r="G779" s="2"/>
      <c r="H779" s="2"/>
      <c r="I779" s="5"/>
      <c r="J779" s="5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0" customHeight="1">
      <c r="B780" s="2" t="str">
        <f>"${!l"&amp;$A$718&amp;"("&amp;ROW('1'!$70:$70)-2&amp;")[1]||0?'':`${l"&amp;$A$748&amp;"}:${l"&amp;$A$716&amp;"("&amp;ROW('1'!$70:$70)-2&amp;")[1]}px;`}"</f>
        <v>${!l11(68)[1]||0?'':`${l41}:${l9(68)[1]}px;`}</v>
      </c>
      <c r="C780" s="1"/>
      <c r="D780" s="1"/>
      <c r="E780" s="1"/>
      <c r="F780" s="18"/>
      <c r="G780" s="2"/>
      <c r="H780" s="2"/>
      <c r="I780" s="5"/>
      <c r="J780" s="5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0" customHeight="1">
      <c r="B781" s="2" t="str">
        <f>"${!l"&amp;$A$718&amp;"("&amp;ROW('1'!$71:$71)-2&amp;")[0]||0?'':`${l"&amp;$A$746&amp;"}:${l"&amp;$A$716&amp;"("&amp;ROW('1'!$71:$71)-2&amp;")[0]}px;`}"</f>
        <v>${!l11(69)[0]||0?'':`${l39}:${l9(69)[0]}px;`}</v>
      </c>
      <c r="C781" s="1"/>
      <c r="D781" s="1"/>
      <c r="E781" s="1"/>
      <c r="F781" s="18"/>
      <c r="G781" s="2"/>
      <c r="H781" s="2"/>
      <c r="I781" s="5"/>
      <c r="J781" s="5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0" customHeight="1">
      <c r="B782" s="2" t="str">
        <f>"${!l"&amp;$A$718&amp;"("&amp;ROW('1'!$71:$71)-2&amp;")[1]||0?'':`${l"&amp;$A$749&amp;"}:${l"&amp;$A$716&amp;"("&amp;ROW('1'!$71:$71)-2&amp;")[1]}px;`}"</f>
        <v>${!l11(69)[1]||0?'':`${l42}:${l9(69)[1]}px;`}</v>
      </c>
      <c r="C782" s="1"/>
      <c r="D782" s="1"/>
      <c r="E782" s="1"/>
      <c r="F782" s="18"/>
      <c r="G782" s="2"/>
      <c r="H782" s="2"/>
      <c r="I782" s="5"/>
      <c r="J782" s="5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0" customHeight="1">
      <c r="B783" s="2" t="str">
        <f>"${!l"&amp;$A$718&amp;"("&amp;ROW('1'!$72:$72)-2&amp;")[0]?'':`${l"&amp;$A$751&amp;"}:${k"&amp;$A$6&amp;"(l"&amp;$A$738&amp;")}${l"&amp;$A$742&amp;"};`}"</f>
        <v>${!l11(70)[0]?'':`${l44}:${k1(l31)}${l35};`}</v>
      </c>
      <c r="C783" s="1"/>
      <c r="D783" s="1"/>
      <c r="E783" s="1"/>
      <c r="F783" s="18"/>
      <c r="G783" s="2"/>
      <c r="H783" s="2"/>
      <c r="I783" s="5"/>
      <c r="J783" s="5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0" customHeight="1">
      <c r="B784" s="2" t="str">
        <f>"${!l"&amp;$A$718&amp;"("&amp;ROW('1'!$72:$72)-2&amp;")[1]?'':`${l"&amp;$A$752&amp;"}:${k"&amp;$A$6&amp;"(l"&amp;$A$739&amp;")}${l"&amp;$A$743&amp;"};`}"</f>
        <v>${!l11(70)[1]?'':`${l45}:${k1(l32)}${l36};`}</v>
      </c>
      <c r="C784" s="1"/>
      <c r="D784" s="1"/>
      <c r="E784" s="1"/>
      <c r="F784" s="18"/>
      <c r="G784" s="2"/>
      <c r="H784" s="2"/>
      <c r="I784" s="5"/>
      <c r="J784" s="5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0" customHeight="1">
      <c r="B785" s="2" t="str">
        <f>"${!l"&amp;$A$718&amp;"("&amp;ROW('1'!$73:$73)-2&amp;")[0]?'':`${l"&amp;$A$750&amp;"}:${k"&amp;$A$6&amp;"(l"&amp;$A$740&amp;")}${l"&amp;$A$744&amp;"};`}"</f>
        <v>${!l11(71)[0]?'':`${l43}:${k1(l33)}${l37};`}</v>
      </c>
      <c r="C785" s="1"/>
      <c r="D785" s="1"/>
      <c r="E785" s="1"/>
      <c r="F785" s="18"/>
      <c r="G785" s="2"/>
      <c r="H785" s="2"/>
      <c r="I785" s="5"/>
      <c r="J785" s="5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0" customHeight="1">
      <c r="B786" s="2" t="str">
        <f>"${!l"&amp;$A$718&amp;"("&amp;ROW('1'!$73:$73)-2&amp;")[1]?'':`${l"&amp;$A$753&amp;"}:${k"&amp;$A$6&amp;"(l"&amp;$A$741&amp;")}${l"&amp;$A$745&amp;"};`}"</f>
        <v>${!l11(71)[1]?'':`${l46}:${k1(l34)}${l38};`}</v>
      </c>
      <c r="C786" s="1"/>
      <c r="D786" s="1"/>
      <c r="E786" s="1"/>
      <c r="F786" s="18"/>
      <c r="G786" s="2"/>
      <c r="H786" s="2"/>
      <c r="I786" s="5"/>
      <c r="J786" s="5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0" customHeight="1">
      <c r="B787" s="2" t="str">
        <f>"${!l"&amp;$A$715&amp;"("&amp;ROW('1'!$64:$64)-2&amp;")||0?'':`${h"&amp;$A$48&amp;"([0,l"&amp;$A$715&amp;"("&amp;ROW('1'!$64:$64)-2&amp;")])}`}"</f>
        <v>${!l8(62)||0?'':`${h24([0,l8(62)])}`}</v>
      </c>
      <c r="C787" s="1"/>
      <c r="D787" s="1"/>
      <c r="E787" s="1"/>
      <c r="F787" s="5"/>
      <c r="G787" s="5"/>
      <c r="H787" s="2"/>
      <c r="I787" s="5"/>
      <c r="J787" s="5"/>
      <c r="K787" s="3"/>
      <c r="L787" s="5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0" customHeight="1">
      <c r="B788" s="2" t="str">
        <f>"${!l"&amp;$A$715&amp;"("&amp;ROW('1'!$63:$63)-2&amp;")?'':`align-self:${l"&amp;$A$732&amp;"};`}"</f>
        <v>${!l8(61)?'':`align-self:${l25};`}</v>
      </c>
      <c r="C788" s="1"/>
      <c r="D788" s="1"/>
      <c r="E788" s="1"/>
      <c r="F788" s="18"/>
      <c r="G788" s="2"/>
      <c r="H788" s="2"/>
      <c r="I788" s="5"/>
      <c r="J788" s="5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0" customHeight="1">
      <c r="B789" s="2" t="str">
        <f>"${!l"&amp;$A$728&amp;"||0||0?'':`translate:"</f>
        <v>${!l21||0||0?'':`translate:</v>
      </c>
      <c r="C789" s="1"/>
      <c r="D789" s="1"/>
      <c r="E789" s="1"/>
      <c r="F789" s="5"/>
      <c r="G789" s="5"/>
      <c r="H789" s="2"/>
      <c r="I789" s="5"/>
      <c r="J789" s="5"/>
      <c r="K789" s="3"/>
      <c r="L789" s="5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0" customHeight="1">
      <c r="B790" s="2" t="str">
        <f>"${!l"&amp;$A$715&amp;"("&amp;ROW('1'!$66:$66)-2&amp;")?'0':`${l"&amp;$A$715&amp;"("&amp;ROW('1'!$66:$66)-2&amp;")/-1}%`} "</f>
        <v>${!l8(64)?'0':`${l8(64)/-1}%`} </v>
      </c>
      <c r="C790" s="1"/>
      <c r="D790" s="1"/>
      <c r="E790" s="1"/>
      <c r="F790" s="5"/>
      <c r="G790" s="5"/>
      <c r="H790" s="2"/>
      <c r="I790" s="5"/>
      <c r="J790" s="5"/>
      <c r="K790" s="3"/>
      <c r="L790" s="5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0" customHeight="1">
      <c r="B791" s="2" t="str">
        <f>"${!l"&amp;$A$715&amp;"("&amp;ROW('1'!$67:$67)-2&amp;")?'0':`${l"&amp;$A$715&amp;"("&amp;ROW('1'!$67:$67)-2&amp;")/-1}%`};`}"</f>
        <v>${!l8(65)?'0':`${l8(65)/-1}%`};`}</v>
      </c>
      <c r="C791" s="1"/>
      <c r="D791" s="1"/>
      <c r="E791" s="1"/>
      <c r="F791" s="5"/>
      <c r="G791" s="5"/>
      <c r="H791" s="2"/>
      <c r="I791" s="5"/>
      <c r="J791" s="5"/>
      <c r="K791" s="3"/>
      <c r="L791" s="5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0" customHeight="1">
      <c r="B792" s="2" t="str">
        <f>"${!l"&amp;$A$728&amp;"?'':'position:absolute;'}}`;}}"</f>
        <v>${!l21?'':'position:absolute;'}}`;}}</v>
      </c>
      <c r="C792" s="1"/>
      <c r="D792" s="1"/>
      <c r="E792" s="1"/>
      <c r="F792" s="18"/>
      <c r="G792" s="5"/>
      <c r="H792" s="2"/>
      <c r="I792" s="5"/>
      <c r="J792" s="5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0" customHeight="1">
      <c r="B793" s="2" t="str">
        <f>"h"&amp;$A$52&amp;"(['2',"&amp;ROW('2'!$305:$305)-4&amp;","&amp;ROW('2'!$1304:$1304)-4&amp;"]);"</f>
        <v>h28(['2',301,1300]);</v>
      </c>
      <c r="C793" s="1"/>
      <c r="D793" s="1"/>
      <c r="E793" s="1"/>
      <c r="F793" s="5"/>
      <c r="G793" s="5"/>
      <c r="H793" s="2"/>
      <c r="I793" s="5"/>
      <c r="J793" s="5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0" customHeight="1">
      <c r="B794" s="2" t="str">
        <f>"h"&amp;$A$53&amp;"(['3',"&amp;ROW('3'!$305:$305)-4&amp;","&amp;ROW('3'!$1304:$1304)-4&amp;"]);"</f>
        <v>h29(['3',301,1300]);</v>
      </c>
      <c r="C794" s="1"/>
      <c r="D794" s="1"/>
      <c r="E794" s="1"/>
      <c r="F794" s="5"/>
      <c r="G794" s="5"/>
      <c r="H794" s="2"/>
      <c r="I794" s="5"/>
      <c r="J794" s="5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0" customHeight="1">
      <c r="B795" s="2" t="str">
        <f>"h"&amp;$A$51&amp;"(['4',"&amp;ROW('4'!$304:$304)-4&amp;","&amp;ROW('4'!$1303:$1303)-4&amp;"]);"</f>
        <v>h27(['4',300,1299]);</v>
      </c>
      <c r="C795" s="1"/>
      <c r="D795" s="1"/>
      <c r="E795" s="1"/>
      <c r="F795" s="5"/>
      <c r="G795" s="5"/>
      <c r="H795" s="2"/>
      <c r="I795" s="5"/>
      <c r="J795" s="5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0" customHeight="1">
      <c r="B796" s="2" t="str">
        <f>"h"&amp;$A$50&amp;"(['5',"&amp;ROW('5'!$304:$304)-4&amp;","&amp;ROW('5'!$1303:$1303)-4&amp;"]);}}}"</f>
        <v>h26(['5',300,1299]);}}}</v>
      </c>
      <c r="C796" s="1"/>
      <c r="D796" s="1"/>
      <c r="E796" s="1"/>
      <c r="F796" s="5"/>
      <c r="G796" s="5"/>
      <c r="H796" s="2"/>
      <c r="I796" s="5"/>
      <c r="J796" s="5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0" customHeight="1">
      <c r="A797" s="12"/>
      <c r="B797" s="13"/>
      <c r="C797" s="1"/>
      <c r="D797" s="1"/>
      <c r="E797" s="1"/>
      <c r="F797" s="5"/>
      <c r="G797" s="5"/>
      <c r="H797" s="2"/>
      <c r="I797" s="5"/>
      <c r="J797" s="5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0" customHeight="1">
      <c r="A798" s="2"/>
      <c r="B798" s="3"/>
      <c r="C798" s="2"/>
      <c r="D798" s="2"/>
      <c r="E798" s="1"/>
      <c r="F798" s="3"/>
      <c r="G798" s="3"/>
      <c r="H798" s="3"/>
      <c r="I798" s="3"/>
      <c r="J798" s="3"/>
      <c r="K798" s="3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3"/>
      <c r="W798" s="1"/>
      <c r="X798" s="1"/>
      <c r="Y798" s="1"/>
      <c r="Z798" s="1"/>
    </row>
    <row r="799" ht="15.0" customHeight="1">
      <c r="A799" s="1">
        <v>0.0</v>
      </c>
      <c r="B799" s="2" t="str">
        <f>"if(l[0]&gt;=0){"</f>
        <v>if(l[0]&gt;=0){</v>
      </c>
      <c r="C799" s="2"/>
      <c r="D799" s="2"/>
      <c r="E799" s="1"/>
      <c r="F799" s="3"/>
      <c r="G799" s="3"/>
      <c r="H799" s="3"/>
      <c r="I799" s="3"/>
      <c r="J799" s="3"/>
      <c r="K799" s="3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3"/>
      <c r="W799" s="1"/>
      <c r="X799" s="1"/>
      <c r="Y799" s="1"/>
      <c r="Z799" s="1"/>
    </row>
    <row r="800" ht="15.0" customHeight="1">
      <c r="A800" s="1">
        <v>1.0</v>
      </c>
      <c r="B800" s="2" t="str">
        <f>"let l"&amp;$A$799&amp;"=h"&amp;$A$46&amp;"['0'];"</f>
        <v>let l0=h23['0'];</v>
      </c>
      <c r="C800" s="2"/>
      <c r="D800" s="1"/>
      <c r="E800" s="1"/>
      <c r="F800" s="3"/>
      <c r="G800" s="3"/>
      <c r="H800" s="3"/>
      <c r="I800" s="3"/>
      <c r="J800" s="3"/>
      <c r="K800" s="3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3"/>
      <c r="W800" s="1"/>
      <c r="X800" s="1"/>
      <c r="Y800" s="1"/>
      <c r="Z800" s="1"/>
    </row>
    <row r="801" ht="15.0" customHeight="1">
      <c r="A801" s="1">
        <v>2.0</v>
      </c>
      <c r="B801" s="2" t="str">
        <f>"let l"&amp;$A$800&amp;"=h"&amp;$A$46&amp;"['1'];"</f>
        <v>let l1=h23['1'];</v>
      </c>
      <c r="C801" s="2"/>
      <c r="D801" s="1"/>
      <c r="E801" s="1"/>
      <c r="F801" s="3"/>
      <c r="G801" s="3"/>
      <c r="H801" s="3"/>
      <c r="I801" s="3"/>
      <c r="J801" s="3"/>
      <c r="K801" s="3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3"/>
      <c r="W801" s="1"/>
      <c r="X801" s="1"/>
      <c r="Y801" s="1"/>
      <c r="Z801" s="1"/>
    </row>
    <row r="802" ht="15.0" customHeight="1">
      <c r="A802" s="1">
        <v>3.0</v>
      </c>
      <c r="B802" s="2" t="str">
        <f>"let l"&amp;$A$801&amp;"=h"&amp;$A$46&amp;"['2'];"</f>
        <v>let l2=h23['2'];</v>
      </c>
      <c r="C802" s="2"/>
      <c r="D802" s="1"/>
      <c r="E802" s="1"/>
      <c r="F802" s="3"/>
      <c r="G802" s="3"/>
      <c r="H802" s="3"/>
      <c r="I802" s="3"/>
      <c r="J802" s="3"/>
      <c r="K802" s="3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3"/>
      <c r="W802" s="1"/>
      <c r="X802" s="1"/>
      <c r="Y802" s="1"/>
      <c r="Z802" s="1"/>
    </row>
    <row r="803" ht="15.0" customHeight="1">
      <c r="A803" s="1">
        <v>4.0</v>
      </c>
      <c r="B803" s="2" t="str">
        <f>"let l"&amp;$A$802&amp;"=h"&amp;$A$46&amp;"['3'];"</f>
        <v>let l3=h23['3'];</v>
      </c>
      <c r="C803" s="2"/>
      <c r="D803" s="1"/>
      <c r="E803" s="1"/>
      <c r="F803" s="3"/>
      <c r="G803" s="3"/>
      <c r="H803" s="3"/>
      <c r="I803" s="3"/>
      <c r="J803" s="3"/>
      <c r="K803" s="3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3"/>
      <c r="W803" s="1"/>
      <c r="X803" s="1"/>
      <c r="Y803" s="1"/>
      <c r="Z803" s="1"/>
    </row>
    <row r="804" ht="15.0" customHeight="1">
      <c r="A804" s="1">
        <v>5.0</v>
      </c>
      <c r="B804" s="2" t="str">
        <f>"let l"&amp;$A$803&amp;"=[8,9,10,"</f>
        <v>let l4=[8,9,10,</v>
      </c>
      <c r="C804" s="1"/>
      <c r="D804" s="3"/>
      <c r="E804" s="4"/>
      <c r="F804" s="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0" customHeight="1">
      <c r="A805" s="1">
        <v>6.0</v>
      </c>
      <c r="B805" s="2" t="str">
        <f>"11,140,141,142];"</f>
        <v>11,140,141,142];</v>
      </c>
      <c r="C805" s="1"/>
      <c r="D805" s="3"/>
      <c r="E805" s="4"/>
      <c r="F805" s="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0" customHeight="1">
      <c r="A806" s="1">
        <v>7.0</v>
      </c>
      <c r="B806" s="2" t="str">
        <f>"let l"&amp;$A$804&amp;"=k"&amp;$A$15&amp;"(['0',2])||0;"</f>
        <v>let l5=k10(['0',2])||0;</v>
      </c>
      <c r="C806" s="2"/>
      <c r="D806" s="1"/>
      <c r="E806" s="1"/>
      <c r="F806" s="3"/>
      <c r="G806" s="3"/>
      <c r="H806" s="3"/>
      <c r="I806" s="3"/>
      <c r="J806" s="3"/>
      <c r="K806" s="3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3"/>
      <c r="W806" s="1"/>
      <c r="X806" s="1"/>
      <c r="Y806" s="1"/>
      <c r="Z806" s="1"/>
    </row>
    <row r="807" ht="15.0" customHeight="1">
      <c r="A807" s="1">
        <v>8.0</v>
      </c>
      <c r="B807" s="2" t="str">
        <f>"let l"&amp;$A$805&amp;"=k"&amp;$A$15&amp;"(['0',3])||0;"</f>
        <v>let l6=k10(['0',3])||0;</v>
      </c>
      <c r="C807" s="2"/>
      <c r="D807" s="1"/>
      <c r="E807" s="1"/>
      <c r="F807" s="3"/>
      <c r="G807" s="3"/>
      <c r="H807" s="3"/>
      <c r="I807" s="3"/>
      <c r="J807" s="3"/>
      <c r="K807" s="3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3"/>
      <c r="W807" s="1"/>
      <c r="X807" s="1"/>
      <c r="Y807" s="1"/>
      <c r="Z807" s="1"/>
    </row>
    <row r="808" ht="15.0" customHeight="1">
      <c r="A808" s="1">
        <v>9.0</v>
      </c>
      <c r="B808" s="2" t="str">
        <f>"let l"&amp;$A$806&amp;"=k"&amp;$A$15&amp;"(['0',4])||0;"</f>
        <v>let l7=k10(['0',4])||0;</v>
      </c>
      <c r="C808" s="2"/>
      <c r="D808" s="1"/>
      <c r="E808" s="1"/>
      <c r="F808" s="3"/>
      <c r="G808" s="3"/>
      <c r="H808" s="3"/>
      <c r="I808" s="3"/>
      <c r="J808" s="3"/>
      <c r="K808" s="3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3"/>
      <c r="W808" s="1"/>
      <c r="X808" s="1"/>
      <c r="Y808" s="1"/>
      <c r="Z808" s="1"/>
    </row>
    <row r="809" ht="15.0" customHeight="1">
      <c r="A809" s="1">
        <v>10.0</v>
      </c>
      <c r="B809" s="2" t="str">
        <f>"let l"&amp;$A$807&amp;"=k"&amp;$A$15&amp;"(['0',5])||0;"</f>
        <v>let l8=k10(['0',5])||0;</v>
      </c>
      <c r="C809" s="2"/>
      <c r="D809" s="1"/>
      <c r="E809" s="1"/>
      <c r="F809" s="3"/>
      <c r="G809" s="3"/>
      <c r="H809" s="3"/>
      <c r="I809" s="3"/>
      <c r="J809" s="3"/>
      <c r="K809" s="3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3"/>
      <c r="W809" s="1"/>
      <c r="X809" s="1"/>
      <c r="Y809" s="1"/>
      <c r="Z809" s="1"/>
    </row>
    <row r="810" ht="15.0" customHeight="1">
      <c r="A810" s="1">
        <v>11.0</v>
      </c>
      <c r="B810" s="2" t="str">
        <f>"let l"&amp;$A$808&amp;"=k"&amp;$A$15&amp;"(['0',6])||0;"</f>
        <v>let l9=k10(['0',6])||0;</v>
      </c>
      <c r="C810" s="2"/>
      <c r="D810" s="1"/>
      <c r="E810" s="1"/>
      <c r="F810" s="3"/>
      <c r="G810" s="3"/>
      <c r="H810" s="3"/>
      <c r="I810" s="3"/>
      <c r="J810" s="3"/>
      <c r="K810" s="3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3"/>
      <c r="W810" s="1"/>
      <c r="X810" s="1"/>
      <c r="Y810" s="1"/>
      <c r="Z810" s="1"/>
    </row>
    <row r="811" ht="15.0" customHeight="1">
      <c r="A811" s="1">
        <v>12.0</v>
      </c>
      <c r="B811" s="2" t="str">
        <f>"let l"&amp;$A$809&amp;"=k"&amp;$A$15&amp;"(['0',7])||0;"</f>
        <v>let l10=k10(['0',7])||0;</v>
      </c>
      <c r="C811" s="2"/>
      <c r="D811" s="1"/>
      <c r="E811" s="1"/>
      <c r="F811" s="3"/>
      <c r="G811" s="3"/>
      <c r="H811" s="3"/>
      <c r="I811" s="3"/>
      <c r="J811" s="3"/>
      <c r="K811" s="3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3"/>
      <c r="W811" s="1"/>
      <c r="X811" s="1"/>
      <c r="Y811" s="1"/>
      <c r="Z811" s="1"/>
    </row>
    <row r="812" ht="15.0" customHeight="1">
      <c r="A812" s="1">
        <v>13.0</v>
      </c>
      <c r="B812" s="2" t="str">
        <f>"let l"&amp;$A$810&amp;"=h"&amp;$A$27&amp;"(['0',...l"&amp;$A$803&amp;"]);"</f>
        <v>let l11=h4(['0',...l4]);</v>
      </c>
      <c r="C812" s="1"/>
      <c r="D812" s="2"/>
      <c r="E812" s="2"/>
      <c r="F812" s="5"/>
      <c r="G812" s="5"/>
      <c r="H812" s="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0" customHeight="1">
      <c r="A813" s="1">
        <v>14.0</v>
      </c>
      <c r="B813" s="2" t="str">
        <f>"let l"&amp;$A$811&amp;"=['.k00','.t00'];"</f>
        <v>let l12=['.k00','.t00'];</v>
      </c>
      <c r="C813" s="1"/>
      <c r="D813" s="2"/>
      <c r="E813" s="2"/>
      <c r="F813" s="5"/>
      <c r="G813" s="5"/>
      <c r="H813" s="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0" customHeight="1">
      <c r="A814" s="1">
        <v>15.0</v>
      </c>
      <c r="B814" s="2" t="str">
        <f>"let l"&amp;$A$812&amp;"=['.l00',...l"&amp;$A$811&amp;"];"</f>
        <v>let l13=['.l00',...l12];</v>
      </c>
      <c r="C814" s="1"/>
      <c r="D814" s="2"/>
      <c r="E814" s="2"/>
      <c r="F814" s="5"/>
      <c r="G814" s="5"/>
      <c r="H814" s="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0" customHeight="1">
      <c r="A815" s="1">
        <v>16.0</v>
      </c>
      <c r="B815" s="2" t="str">
        <f>"if(h"&amp;$A$27&amp;"(['0',6,7,...l"&amp;$A$803&amp;"])){"</f>
        <v>if(h4(['0',6,7,...l4])){</v>
      </c>
      <c r="C815" s="2"/>
      <c r="D815" s="1"/>
      <c r="E815" s="1"/>
      <c r="F815" s="3"/>
      <c r="G815" s="3"/>
      <c r="H815" s="3"/>
      <c r="I815" s="3"/>
      <c r="J815" s="3"/>
      <c r="K815" s="3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3"/>
      <c r="W815" s="1"/>
      <c r="X815" s="1"/>
      <c r="Y815" s="1"/>
      <c r="Z815" s="1"/>
    </row>
    <row r="816" ht="15.0" customHeight="1">
      <c r="A816" s="1">
        <v>17.0</v>
      </c>
      <c r="B816" s="2" t="str">
        <f>"h[3]+=`body&gt;div{`;}"</f>
        <v>h[3]+=`body&gt;div{`;}</v>
      </c>
      <c r="C816" s="2"/>
      <c r="D816" s="2"/>
      <c r="E816" s="1"/>
      <c r="F816" s="3"/>
      <c r="G816" s="3"/>
      <c r="H816" s="3"/>
      <c r="I816" s="3"/>
      <c r="J816" s="3"/>
      <c r="K816" s="3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3"/>
      <c r="W816" s="1"/>
      <c r="X816" s="1"/>
      <c r="Y816" s="1"/>
      <c r="Z816" s="1"/>
    </row>
    <row r="817" ht="15.0" customHeight="1">
      <c r="A817" s="1">
        <v>18.0</v>
      </c>
      <c r="B817" s="2" t="str">
        <f>"if(h"&amp;$A$27&amp;"(['0',6,7])){"</f>
        <v>if(h4(['0',6,7])){</v>
      </c>
      <c r="C817" s="1"/>
      <c r="D817" s="2"/>
      <c r="E817" s="2"/>
      <c r="F817" s="5"/>
      <c r="G817" s="5"/>
      <c r="H817" s="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0" customHeight="1">
      <c r="A818" s="1">
        <v>19.0</v>
      </c>
      <c r="B818" s="2" t="str">
        <f>"let l"&amp;$A$813&amp;"=l"&amp;$A$808&amp;"*10+400;"</f>
        <v>let l14=l9*10+400;</v>
      </c>
      <c r="C818" s="1"/>
      <c r="D818" s="2"/>
      <c r="E818" s="2"/>
      <c r="F818" s="5"/>
      <c r="G818" s="5"/>
      <c r="H818" s="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0" customHeight="1">
      <c r="A819" s="1">
        <v>20.0</v>
      </c>
      <c r="B819" s="2" t="str">
        <f>"let l"&amp;$A$814&amp;"=l"&amp;$A$809&amp;"*10+300;"</f>
        <v>let l15=l10*10+300;</v>
      </c>
      <c r="C819" s="1"/>
      <c r="D819" s="2"/>
      <c r="E819" s="2"/>
      <c r="F819" s="5"/>
      <c r="G819" s="5"/>
      <c r="H819" s="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0" customHeight="1">
      <c r="A820" s="6">
        <v>21.0</v>
      </c>
      <c r="B820" s="2" t="str">
        <f>"let l"&amp;$A$815&amp;"=`${k"&amp;$A$7&amp;"(l"&amp;$A$813&amp;")}`;"</f>
        <v>let l16=`${k2(l14)}`;</v>
      </c>
      <c r="C820" s="1"/>
      <c r="D820" s="2"/>
      <c r="E820" s="2"/>
      <c r="F820" s="5"/>
      <c r="G820" s="5"/>
      <c r="H820" s="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0" customHeight="1">
      <c r="A821" s="6">
        <v>22.0</v>
      </c>
      <c r="B821" s="2" t="str">
        <f>"let l"&amp;$A$816&amp;"=`${k"&amp;$A$7&amp;"(l"&amp;$A$814&amp;")}px`;"</f>
        <v>let l17=`${k2(l15)}px`;</v>
      </c>
      <c r="C821" s="1"/>
      <c r="D821" s="2"/>
      <c r="E821" s="2"/>
      <c r="F821" s="5"/>
      <c r="G821" s="5"/>
      <c r="H821" s="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0" customHeight="1">
      <c r="A822" s="6">
        <v>23.0</v>
      </c>
      <c r="B822" s="2" t="str">
        <f>"let l"&amp;$A$817&amp;"=`width:${l"&amp;$A$815&amp;"}px`;"</f>
        <v>let l18=`width:${l16}px`;</v>
      </c>
      <c r="C822" s="1"/>
      <c r="D822" s="2"/>
      <c r="E822" s="2"/>
      <c r="F822" s="5"/>
      <c r="G822" s="5"/>
      <c r="H822" s="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0" customHeight="1">
      <c r="A823" s="6">
        <v>24.0</v>
      </c>
      <c r="B823" s="2" t="str">
        <f>"h[3]+=`${!l"&amp;$A$808&amp;"?'':`${l"&amp;$A$817&amp;"};`}"</f>
        <v>h[3]+=`${!l9?'':`${l18};`}</v>
      </c>
      <c r="C823" s="1"/>
      <c r="D823" s="2"/>
      <c r="E823" s="2"/>
      <c r="F823" s="5"/>
      <c r="G823" s="5"/>
      <c r="H823" s="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0" customHeight="1">
      <c r="A824" s="6">
        <v>25.0</v>
      </c>
      <c r="B824" s="2" t="str">
        <f>"${!l"&amp;$A$814&amp;"?'':`height:${l"&amp;$A$816&amp;"};`}`;}"</f>
        <v>${!l15?'':`height:${l17};`}`;}</v>
      </c>
      <c r="C824" s="1"/>
      <c r="D824" s="2"/>
      <c r="E824" s="2"/>
      <c r="F824" s="5"/>
      <c r="G824" s="5"/>
      <c r="H824" s="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0" customHeight="1">
      <c r="A825" s="6">
        <v>26.0</v>
      </c>
      <c r="B825" s="2" t="str">
        <f>"if(h"&amp;$A$27&amp;"(['0',...l"&amp;$A$803&amp;"])){"</f>
        <v>if(h4(['0',...l4])){</v>
      </c>
      <c r="C825" s="1"/>
      <c r="D825" s="2"/>
      <c r="E825" s="2"/>
      <c r="F825" s="5"/>
      <c r="G825" s="5"/>
      <c r="H825" s="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0" customHeight="1">
      <c r="A826" s="6">
        <v>27.0</v>
      </c>
      <c r="B826" s="2" t="str">
        <f>"h[3]+=`filter:${!l"&amp;$A$810&amp;"?"</f>
        <v>h[3]+=`filter:${!l11?</v>
      </c>
      <c r="C826" s="2"/>
      <c r="D826" s="2"/>
      <c r="E826" s="1"/>
      <c r="F826" s="3"/>
      <c r="G826" s="3"/>
      <c r="H826" s="3"/>
      <c r="I826" s="3"/>
      <c r="J826" s="3"/>
      <c r="K826" s="3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3"/>
      <c r="W826" s="1"/>
      <c r="X826" s="1"/>
      <c r="Y826" s="1"/>
      <c r="Z826" s="1"/>
    </row>
    <row r="827" ht="15.0" customHeight="1">
      <c r="A827" s="6">
        <v>28.0</v>
      </c>
      <c r="B827" s="2" t="str">
        <f>"'':`url('#f-all')`};`}"</f>
        <v>'':`url('#f-all')`};`}</v>
      </c>
      <c r="C827" s="1"/>
      <c r="D827" s="2"/>
      <c r="E827" s="2"/>
      <c r="F827" s="5"/>
      <c r="G827" s="5"/>
      <c r="H827" s="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0" customHeight="1">
      <c r="A828" s="6">
        <v>29.0</v>
      </c>
      <c r="B828" s="2" t="str">
        <f>"if(h"&amp;$A$27&amp;"(['0',6,7,...l"&amp;$A$803&amp;"])){"</f>
        <v>if(h4(['0',6,7,...l4])){</v>
      </c>
      <c r="C828" s="2"/>
      <c r="D828" s="1"/>
      <c r="E828" s="1"/>
      <c r="F828" s="3"/>
      <c r="G828" s="3"/>
      <c r="H828" s="3"/>
      <c r="I828" s="3"/>
      <c r="J828" s="3"/>
      <c r="K828" s="3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3"/>
      <c r="W828" s="1"/>
      <c r="X828" s="1"/>
      <c r="Y828" s="1"/>
      <c r="Z828" s="1"/>
    </row>
    <row r="829" ht="15.0" customHeight="1">
      <c r="A829" s="6">
        <v>30.0</v>
      </c>
      <c r="B829" s="2" t="str">
        <f>"h[3]+=`${''}}`;}"</f>
        <v>h[3]+=`${''}}`;}</v>
      </c>
      <c r="C829" s="2"/>
      <c r="D829" s="2"/>
      <c r="E829" s="1"/>
      <c r="F829" s="3"/>
      <c r="G829" s="3"/>
      <c r="H829" s="3"/>
      <c r="I829" s="3"/>
      <c r="J829" s="3"/>
      <c r="K829" s="3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3"/>
      <c r="W829" s="1"/>
      <c r="X829" s="1"/>
      <c r="Y829" s="1"/>
      <c r="Z829" s="1"/>
    </row>
    <row r="830" ht="15.0" customHeight="1">
      <c r="A830" s="6">
        <v>31.0</v>
      </c>
      <c r="B830" s="2" t="str">
        <f>"for(let i=0;i&lt;3;i++){"</f>
        <v>for(let i=0;i&lt;3;i++){</v>
      </c>
      <c r="C830" s="1"/>
      <c r="D830" s="1"/>
      <c r="E830" s="1"/>
      <c r="F830" s="18"/>
      <c r="G830" s="5"/>
      <c r="H830" s="2"/>
      <c r="I830" s="5"/>
      <c r="J830" s="5"/>
      <c r="K830" s="3"/>
      <c r="L830" s="5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0" customHeight="1">
      <c r="A831" s="6">
        <v>32.0</v>
      </c>
      <c r="B831" s="2" t="str">
        <f>"let l"&amp;$A$818&amp;"='border-width';"</f>
        <v>let l19='border-width';</v>
      </c>
      <c r="C831" s="1"/>
      <c r="D831" s="2"/>
      <c r="E831" s="2"/>
      <c r="F831" s="5"/>
      <c r="G831" s="5"/>
      <c r="H831" s="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0" customHeight="1">
      <c r="A832" s="6">
        <v>33.0</v>
      </c>
      <c r="B832" s="2" t="str">
        <f>"let l"&amp;$A$819&amp;"=[`div:has(+div)`"</f>
        <v>let l20=[`div:has(+div)`</v>
      </c>
      <c r="C832" s="1"/>
      <c r="D832" s="2"/>
      <c r="E832" s="2"/>
      <c r="F832" s="5"/>
      <c r="G832" s="5"/>
      <c r="H832" s="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0" customHeight="1">
      <c r="A833" s="6">
        <v>34.0</v>
      </c>
      <c r="B833" s="2" t="str">
        <f>",'div+div','div+nav'];"</f>
        <v>,'div+div','div+nav'];</v>
      </c>
      <c r="C833" s="1"/>
      <c r="D833" s="2"/>
      <c r="E833" s="2"/>
      <c r="F833" s="5"/>
      <c r="G833" s="5"/>
      <c r="H833" s="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0" customHeight="1">
      <c r="A834" s="6">
        <v>35.0</v>
      </c>
      <c r="B834" s="2" t="str">
        <f>"let l"&amp;$A$820&amp;"=12*i||Number();"</f>
        <v>let l21=12*i||Number();</v>
      </c>
      <c r="C834" s="1"/>
      <c r="D834" s="1"/>
      <c r="E834" s="1"/>
      <c r="F834" s="18"/>
      <c r="G834" s="5"/>
      <c r="H834" s="2"/>
      <c r="I834" s="5"/>
      <c r="J834" s="5"/>
      <c r="K834" s="3"/>
      <c r="L834" s="5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0" customHeight="1">
      <c r="A835" s="6">
        <v>36.0</v>
      </c>
      <c r="B835" s="2" t="str">
        <f>"let l"&amp;$A$821&amp;"=[16+l"&amp;$A$820&amp;",17+l"&amp;$A$820&amp;"];"</f>
        <v>let l22=[16+l21,17+l21];</v>
      </c>
      <c r="C835" s="1"/>
      <c r="D835" s="1"/>
      <c r="E835" s="1"/>
      <c r="F835" s="18"/>
      <c r="G835" s="5"/>
      <c r="H835" s="2"/>
      <c r="I835" s="5"/>
      <c r="J835" s="5"/>
      <c r="K835" s="3"/>
      <c r="L835" s="5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0" customHeight="1">
      <c r="A836" s="6">
        <v>37.0</v>
      </c>
      <c r="B836" s="2" t="str">
        <f>"let l"&amp;$A$822&amp;"=[18+l"&amp;$A$820&amp;",19+l"&amp;$A$820&amp;"];"</f>
        <v>let l23=[18+l21,19+l21];</v>
      </c>
      <c r="C836" s="1"/>
      <c r="D836" s="1"/>
      <c r="E836" s="1"/>
      <c r="F836" s="18"/>
      <c r="G836" s="5"/>
      <c r="H836" s="2"/>
      <c r="I836" s="5"/>
      <c r="J836" s="5"/>
      <c r="K836" s="3"/>
      <c r="L836" s="5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0" customHeight="1">
      <c r="A837" s="6">
        <v>38.0</v>
      </c>
      <c r="B837" s="2" t="str">
        <f>"let l"&amp;$A$823&amp;"=[...l"&amp;$A$821&amp;",...l"&amp;$A$822&amp;"];"</f>
        <v>let l24=[...l22,...l23];</v>
      </c>
      <c r="C837" s="1"/>
      <c r="D837" s="1"/>
      <c r="E837" s="1"/>
      <c r="F837" s="18"/>
      <c r="G837" s="5"/>
      <c r="H837" s="2"/>
      <c r="I837" s="5"/>
      <c r="J837" s="5"/>
      <c r="K837" s="3"/>
      <c r="L837" s="5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0" customHeight="1">
      <c r="A838" s="6">
        <v>39.0</v>
      </c>
      <c r="B838" s="2" t="str">
        <f>"let l"&amp;$A$824&amp;"=h"&amp;$A$27&amp;"(['0',...l"&amp;$A$821&amp;"]);"</f>
        <v>let l25=h4(['0',...l22]);</v>
      </c>
      <c r="C838" s="1"/>
      <c r="D838" s="2"/>
      <c r="E838" s="2"/>
      <c r="F838" s="5"/>
      <c r="G838" s="5"/>
      <c r="H838" s="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0" customHeight="1">
      <c r="A839" s="6">
        <v>40.0</v>
      </c>
      <c r="B839" s="2" t="str">
        <f>"let l"&amp;$A$825&amp;"=h"&amp;$A$27&amp;"(['0',...l"&amp;$A$822&amp;"]);"</f>
        <v>let l26=h4(['0',...l23]);</v>
      </c>
      <c r="C839" s="1"/>
      <c r="D839" s="2"/>
      <c r="E839" s="2"/>
      <c r="F839" s="5"/>
      <c r="G839" s="5"/>
      <c r="H839" s="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0" customHeight="1">
      <c r="A840" s="6">
        <v>41.0</v>
      </c>
      <c r="B840" s="2" t="str">
        <f>"let l"&amp;$A$826&amp;"=h"&amp;$A$27&amp;"(['0',...l"&amp;$A$823&amp;"]);"</f>
        <v>let l27=h4(['0',...l24]);</v>
      </c>
      <c r="C840" s="1"/>
      <c r="D840" s="2"/>
      <c r="E840" s="2"/>
      <c r="F840" s="5"/>
      <c r="G840" s="5"/>
      <c r="H840" s="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0" customHeight="1">
      <c r="A841" s="6">
        <v>42.0</v>
      </c>
      <c r="B841" s="2" t="str">
        <f>"let l"&amp;$A$827&amp;"=k"&amp;$A$15&amp;"(['0',15+l"&amp;$A$820&amp;"]);"</f>
        <v>let l28=k10(['0',15+l21]);</v>
      </c>
      <c r="C841" s="1"/>
      <c r="D841" s="2"/>
      <c r="E841" s="2"/>
      <c r="F841" s="5"/>
      <c r="G841" s="5"/>
      <c r="H841" s="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0" customHeight="1">
      <c r="A842" s="6">
        <v>43.0</v>
      </c>
      <c r="B842" s="2" t="str">
        <f>"let l"&amp;$A$828&amp;"=k"&amp;$A$15&amp;"(['0',16+l"&amp;$A$820&amp;"]);"</f>
        <v>let l29=k10(['0',16+l21]);</v>
      </c>
      <c r="C842" s="1"/>
      <c r="D842" s="2"/>
      <c r="E842" s="2"/>
      <c r="F842" s="5"/>
      <c r="G842" s="5"/>
      <c r="H842" s="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0" customHeight="1">
      <c r="A843" s="6">
        <v>44.0</v>
      </c>
      <c r="B843" s="2" t="str">
        <f>"let l"&amp;$A$829&amp;"=k"&amp;$A$15&amp;"(['0',17+l"&amp;$A$820&amp;"]);"</f>
        <v>let l30=k10(['0',17+l21]);</v>
      </c>
      <c r="C843" s="1"/>
      <c r="D843" s="2"/>
      <c r="E843" s="2"/>
      <c r="F843" s="5"/>
      <c r="G843" s="5"/>
      <c r="H843" s="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0" customHeight="1">
      <c r="A844" s="6">
        <v>45.0</v>
      </c>
      <c r="B844" s="2" t="str">
        <f>"let l"&amp;$A$830&amp;"=k"&amp;$A$15&amp;"(['0',18+l"&amp;$A$820&amp;"]);"</f>
        <v>let l31=k10(['0',18+l21]);</v>
      </c>
      <c r="C844" s="1"/>
      <c r="D844" s="2"/>
      <c r="E844" s="2"/>
      <c r="F844" s="5"/>
      <c r="G844" s="5"/>
      <c r="H844" s="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0" customHeight="1">
      <c r="A845" s="1" t="s">
        <v>0</v>
      </c>
      <c r="B845" s="2" t="str">
        <f>"let l"&amp;$A$831&amp;"=k"&amp;$A$15&amp;"(['0',19+l"&amp;$A$820&amp;"]);"</f>
        <v>let l32=k10(['0',19+l21]);</v>
      </c>
      <c r="C845" s="1"/>
      <c r="D845" s="2"/>
      <c r="E845" s="2"/>
      <c r="F845" s="5"/>
      <c r="G845" s="5"/>
      <c r="H845" s="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0" customHeight="1">
      <c r="B846" s="2" t="str">
        <f>"let l"&amp;$A$832&amp;"=k"&amp;$A$7&amp;"(l"&amp;$A$800&amp;"[l"&amp;$A$807&amp;"][i]*90);"</f>
        <v>let l33=k2(l1[l8][i]*90);</v>
      </c>
      <c r="C846" s="1"/>
      <c r="D846" s="2"/>
      <c r="E846" s="2"/>
      <c r="F846" s="5"/>
      <c r="G846" s="5"/>
      <c r="H846" s="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0" customHeight="1">
      <c r="B847" s="2" t="str">
        <f>"let l"&amp;$A$833&amp;"=h"&amp;$A$30&amp;"(l"&amp;$A$828&amp;")[1];"</f>
        <v>let l34=h7(l29)[1];</v>
      </c>
      <c r="C847" s="1"/>
      <c r="D847" s="2"/>
      <c r="E847" s="2"/>
      <c r="F847" s="5"/>
      <c r="G847" s="5"/>
      <c r="H847" s="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0" customHeight="1">
      <c r="B848" s="2" t="str">
        <f>"let l"&amp;$A$834&amp;"=h"&amp;$A$30&amp;"(l"&amp;$A$828&amp;")[0];"</f>
        <v>let l35=h7(l29)[0];</v>
      </c>
      <c r="C848" s="1"/>
      <c r="D848" s="2"/>
      <c r="E848" s="2"/>
      <c r="F848" s="5"/>
      <c r="G848" s="5"/>
      <c r="H848" s="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0" customHeight="1">
      <c r="B849" s="2" t="str">
        <f>"let l"&amp;$A$835&amp;"=l"&amp;$A$801&amp;"[l"&amp;$A$827&amp;"||0];"</f>
        <v>let l36=l2[l28||0];</v>
      </c>
      <c r="C849" s="1"/>
      <c r="D849" s="2"/>
      <c r="E849" s="2"/>
      <c r="F849" s="5"/>
      <c r="G849" s="5"/>
      <c r="H849" s="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0" customHeight="1">
      <c r="B850" s="2" t="str">
        <f>"let l"&amp;$A$836&amp;"=l"&amp;$A$802&amp;"[l"&amp;$A$835&amp;"[0]];"</f>
        <v>let l37=l3[l36[0]];</v>
      </c>
      <c r="C850" s="1"/>
      <c r="D850" s="2"/>
      <c r="E850" s="2"/>
      <c r="F850" s="5"/>
      <c r="G850" s="5"/>
      <c r="H850" s="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0" customHeight="1">
      <c r="B851" s="2" t="str">
        <f>"let l"&amp;$A$837&amp;"=l"&amp;$A$802&amp;"[l"&amp;$A$835&amp;"[1]];"</f>
        <v>let l38=l3[l36[1]];</v>
      </c>
      <c r="C851" s="1"/>
      <c r="D851" s="2"/>
      <c r="E851" s="2"/>
      <c r="F851" s="5"/>
      <c r="G851" s="5"/>
      <c r="H851" s="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0" customHeight="1">
      <c r="B852" s="2" t="str">
        <f>"let l"&amp;$A$838&amp;"=l"&amp;$A$834&amp;"*l"&amp;$A$829&amp;"||0;"</f>
        <v>let l39=l35*l30||0;</v>
      </c>
      <c r="C852" s="1"/>
      <c r="D852" s="2"/>
      <c r="E852" s="2"/>
      <c r="F852" s="5"/>
      <c r="G852" s="5"/>
      <c r="H852" s="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0" customHeight="1">
      <c r="B853" s="2" t="str">
        <f>"let l"&amp;$A$839&amp;"=k"&amp;$A$7&amp;"(l"&amp;$A$838&amp;"*4);"</f>
        <v>let l40=k2(l39*4);</v>
      </c>
      <c r="C853" s="1"/>
      <c r="D853" s="2"/>
      <c r="E853" s="2"/>
      <c r="F853" s="5"/>
      <c r="G853" s="5"/>
      <c r="H853" s="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0" customHeight="1">
      <c r="B854" s="2" t="str">
        <f>"if(l"&amp;$A$806&amp;"||l"&amp;$A$807&amp;"||l"&amp;$A$826&amp;"){"</f>
        <v>if(l7||l8||l27){</v>
      </c>
      <c r="C854" s="2"/>
      <c r="D854" s="2"/>
      <c r="E854" s="1"/>
      <c r="F854" s="3"/>
      <c r="G854" s="3"/>
      <c r="H854" s="3"/>
      <c r="I854" s="3"/>
      <c r="J854" s="3"/>
      <c r="K854" s="3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3"/>
      <c r="W854" s="1"/>
      <c r="X854" s="1"/>
      <c r="Y854" s="1"/>
      <c r="Z854" s="1"/>
    </row>
    <row r="855" ht="15.0" customHeight="1">
      <c r="B855" s="2" t="str">
        <f>"h[3]+=`body&gt;div&gt;${l"&amp;$A$819&amp;"[2-i]}{"</f>
        <v>h[3]+=`body&gt;div&gt;${l20[2-i]}{</v>
      </c>
      <c r="C855" s="2"/>
      <c r="D855" s="2"/>
      <c r="E855" s="1"/>
      <c r="F855" s="3"/>
      <c r="G855" s="3"/>
      <c r="H855" s="3"/>
      <c r="I855" s="3"/>
      <c r="J855" s="3"/>
      <c r="K855" s="3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3"/>
      <c r="W855" s="1"/>
      <c r="X855" s="1"/>
      <c r="Y855" s="1"/>
      <c r="Z855" s="1"/>
    </row>
    <row r="856" ht="15.0" customHeight="1">
      <c r="B856" s="2" t="str">
        <f>"${!l"&amp;$A$806&amp;"?'':`z-index:${l"&amp;$A$799&amp;"[l"&amp;$A$806&amp;"][i]};`}"</f>
        <v>${!l7?'':`z-index:${l0[l7][i]};`}</v>
      </c>
      <c r="C856" s="2"/>
      <c r="D856" s="2"/>
      <c r="E856" s="1"/>
      <c r="F856" s="3"/>
      <c r="G856" s="3"/>
      <c r="H856" s="3"/>
      <c r="I856" s="3"/>
      <c r="J856" s="3"/>
      <c r="K856" s="3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3"/>
      <c r="W856" s="1"/>
      <c r="X856" s="1"/>
      <c r="Y856" s="1"/>
      <c r="Z856" s="1"/>
    </row>
    <row r="857" ht="15.0" customHeight="1">
      <c r="B857" s="2" t="str">
        <f>"${!l"&amp;$A$807&amp;"?'':`rotate:${l"&amp;$A$832&amp;"}deg;`}"</f>
        <v>${!l8?'':`rotate:${l33}deg;`}</v>
      </c>
      <c r="C857" s="2"/>
      <c r="D857" s="2"/>
      <c r="E857" s="1"/>
      <c r="F857" s="3"/>
      <c r="G857" s="3"/>
      <c r="H857" s="3"/>
      <c r="I857" s="3"/>
      <c r="J857" s="3"/>
      <c r="K857" s="3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3"/>
      <c r="W857" s="1"/>
      <c r="X857" s="1"/>
      <c r="Y857" s="1"/>
      <c r="Z857" s="1"/>
    </row>
    <row r="858" ht="15.0" customHeight="1">
      <c r="B858" s="2" t="str">
        <f>"${!l"&amp;$A$824&amp;"?'':`left:${l"&amp;$A$839&amp;"||0}px;"</f>
        <v>${!l25?'':`left:${l40||0}px;</v>
      </c>
      <c r="C858" s="2"/>
      <c r="D858" s="2"/>
      <c r="E858" s="1"/>
      <c r="F858" s="3"/>
      <c r="G858" s="3"/>
      <c r="H858" s="3"/>
      <c r="I858" s="3"/>
      <c r="J858" s="3"/>
      <c r="K858" s="3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3"/>
      <c r="W858" s="1"/>
      <c r="X858" s="1"/>
      <c r="Y858" s="1"/>
      <c r="Z858" s="1"/>
    </row>
    <row r="859" ht="15.0" customHeight="1">
      <c r="B859" s="2" t="str">
        <f>"top:${k"&amp;$A$7&amp;"(l"&amp;$A$833&amp;"*l"&amp;$A$829&amp;"*3)||0}px;`}"</f>
        <v>top:${k2(l34*l30*3)||0}px;`}</v>
      </c>
      <c r="C859" s="2"/>
      <c r="D859" s="2"/>
      <c r="E859" s="1"/>
      <c r="F859" s="3"/>
      <c r="G859" s="3"/>
      <c r="H859" s="3"/>
      <c r="I859" s="3"/>
      <c r="J859" s="3"/>
      <c r="K859" s="3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3"/>
      <c r="W859" s="1"/>
      <c r="X859" s="1"/>
      <c r="Y859" s="1"/>
      <c r="Z859" s="1"/>
    </row>
    <row r="860" ht="15.0" customHeight="1">
      <c r="B860" s="2" t="str">
        <f>"${!l"&amp;$A$825&amp;"?'':`${i?'padding'"</f>
        <v>${!l26?'':`${i?'padding'</v>
      </c>
      <c r="C860" s="2"/>
      <c r="D860" s="2"/>
      <c r="E860" s="1"/>
      <c r="F860" s="3"/>
      <c r="G860" s="3"/>
      <c r="H860" s="3"/>
      <c r="I860" s="3"/>
      <c r="J860" s="3"/>
      <c r="K860" s="3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3"/>
      <c r="W860" s="1"/>
      <c r="X860" s="1"/>
      <c r="Y860" s="1"/>
      <c r="Z860" s="1"/>
    </row>
    <row r="861" ht="15.0" customHeight="1">
      <c r="B861" s="2" t="str">
        <f>":l"&amp;$A$818&amp;"}:${k"&amp;$A$7&amp;"(l"&amp;$A$831&amp;"*3)||0}px "</f>
        <v>:l19}:${k2(l32*3)||0}px </v>
      </c>
      <c r="C861" s="2"/>
      <c r="D861" s="2"/>
      <c r="E861" s="1"/>
      <c r="F861" s="3"/>
      <c r="G861" s="3"/>
      <c r="H861" s="3"/>
      <c r="I861" s="3"/>
      <c r="J861" s="3"/>
      <c r="K861" s="3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3"/>
      <c r="W861" s="1"/>
      <c r="X861" s="1"/>
      <c r="Y861" s="1"/>
      <c r="Z861" s="1"/>
    </row>
    <row r="862" ht="15.0" customHeight="1">
      <c r="B862" s="2" t="str">
        <f>"${k"&amp;$A$7&amp;"(l"&amp;$A$830&amp;"*4)||0}px;`}}`;}"</f>
        <v>${k2(l31*4)||0}px;`}}`;}</v>
      </c>
      <c r="C862" s="2"/>
      <c r="D862" s="2"/>
      <c r="E862" s="1"/>
      <c r="F862" s="3"/>
      <c r="G862" s="3"/>
      <c r="H862" s="3"/>
      <c r="I862" s="3"/>
      <c r="J862" s="3"/>
      <c r="K862" s="3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3"/>
      <c r="W862" s="1"/>
      <c r="X862" s="1"/>
      <c r="Y862" s="1"/>
      <c r="Z862" s="1"/>
    </row>
    <row r="863" ht="15.0" customHeight="1">
      <c r="B863" s="2" t="str">
        <f>"if(l"&amp;$A$827&amp;"!=null){"</f>
        <v>if(l28!=null){</v>
      </c>
      <c r="C863" s="2"/>
      <c r="D863" s="2"/>
      <c r="E863" s="1"/>
      <c r="F863" s="3"/>
      <c r="G863" s="3"/>
      <c r="H863" s="3"/>
      <c r="I863" s="3"/>
      <c r="J863" s="3"/>
      <c r="K863" s="3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3"/>
      <c r="W863" s="1"/>
      <c r="X863" s="1"/>
      <c r="Y863" s="1"/>
      <c r="Z863" s="1"/>
    </row>
    <row r="864" ht="15.0" customHeight="1">
      <c r="B864" s="2" t="str">
        <f>"h[3]+=`"</f>
        <v>h[3]+=`</v>
      </c>
      <c r="C864" s="2"/>
      <c r="D864" s="2"/>
      <c r="E864" s="1"/>
      <c r="F864" s="3"/>
      <c r="G864" s="3"/>
      <c r="H864" s="3"/>
      <c r="I864" s="3"/>
      <c r="J864" s="3"/>
      <c r="K864" s="3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3"/>
      <c r="W864" s="1"/>
      <c r="X864" s="1"/>
      <c r="Y864" s="1"/>
      <c r="Z864" s="1"/>
    </row>
    <row r="865" ht="15.0" customHeight="1">
      <c r="B865" s="2" t="str">
        <f>"${l"&amp;$A$812&amp;"[i]}&gt;[class]"</f>
        <v>${l13[i]}&gt;[class]</v>
      </c>
      <c r="C865" s="2"/>
      <c r="D865" s="2"/>
      <c r="E865" s="1"/>
      <c r="F865" s="3"/>
      <c r="G865" s="3"/>
      <c r="H865" s="3"/>
      <c r="I865" s="3"/>
      <c r="J865" s="3"/>
      <c r="K865" s="3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3"/>
      <c r="W865" s="1"/>
      <c r="X865" s="1"/>
      <c r="Y865" s="1"/>
      <c r="Z865" s="1"/>
    </row>
    <row r="866" ht="15.0" customHeight="1">
      <c r="B866" s="2" t="str">
        <f>"{${l"&amp;$A$802&amp;"[19]}:${l"&amp;$A$836&amp;"};"</f>
        <v>{${l3[19]}:${l37};</v>
      </c>
      <c r="C866" s="2"/>
      <c r="D866" s="2"/>
      <c r="E866" s="1"/>
      <c r="F866" s="3"/>
      <c r="G866" s="3"/>
      <c r="H866" s="3"/>
      <c r="I866" s="3"/>
      <c r="J866" s="3"/>
      <c r="K866" s="3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3"/>
      <c r="W866" s="1"/>
      <c r="X866" s="1"/>
      <c r="Y866" s="1"/>
      <c r="Z866" s="1"/>
    </row>
    <row r="867" ht="15.0" customHeight="1">
      <c r="B867" s="2" t="str">
        <f>"${l"&amp;$A$802&amp;"[20]}:${l"&amp;$A$837&amp;"};}`;}}"</f>
        <v>${l3[20]}:${l38};}`;}}</v>
      </c>
      <c r="C867" s="2"/>
      <c r="D867" s="2"/>
      <c r="E867" s="1"/>
      <c r="F867" s="3"/>
      <c r="G867" s="3"/>
      <c r="H867" s="3"/>
      <c r="I867" s="3"/>
      <c r="J867" s="3"/>
      <c r="K867" s="3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3"/>
      <c r="W867" s="1"/>
      <c r="X867" s="1"/>
      <c r="Y867" s="1"/>
      <c r="Z867" s="1"/>
    </row>
    <row r="868" ht="15.0" customHeight="1">
      <c r="B868" s="2" t="str">
        <f>"if(h"&amp;$A$27&amp;"(['0',0||2,3])){"</f>
        <v>if(h4(['0',0||2,3])){</v>
      </c>
      <c r="C868" s="2"/>
      <c r="D868" s="1"/>
      <c r="E868" s="1"/>
      <c r="F868" s="3"/>
      <c r="G868" s="3"/>
      <c r="H868" s="3"/>
      <c r="I868" s="3"/>
      <c r="J868" s="3"/>
      <c r="K868" s="3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3"/>
      <c r="W868" s="1"/>
      <c r="X868" s="1"/>
      <c r="Y868" s="1"/>
      <c r="Z868" s="1"/>
    </row>
    <row r="869" ht="15.0" customHeight="1">
      <c r="B869" s="2" t="str">
        <f>"let l"&amp;$A$840&amp;"=k"&amp;$A$7&amp;"(l"&amp;$A$805&amp;"/5+16);"</f>
        <v>let l41=k2(l6/5+16);</v>
      </c>
      <c r="C869" s="2"/>
      <c r="D869" s="1"/>
      <c r="E869" s="1"/>
      <c r="F869" s="3"/>
      <c r="G869" s="3"/>
      <c r="H869" s="3"/>
      <c r="I869" s="3"/>
      <c r="J869" s="3"/>
      <c r="K869" s="3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3"/>
      <c r="W869" s="1"/>
      <c r="X869" s="1"/>
      <c r="Y869" s="1"/>
      <c r="Z869" s="1"/>
    </row>
    <row r="870" ht="15.0" customHeight="1">
      <c r="B870" s="2" t="str">
        <f>"let l"&amp;$A$841&amp;"=k"&amp;$A$7&amp;"(l"&amp;$A$804&amp;"/5+2);"</f>
        <v>let l42=k2(l5/5+2);</v>
      </c>
      <c r="C870" s="2"/>
      <c r="D870" s="1"/>
      <c r="E870" s="1"/>
      <c r="F870" s="3"/>
      <c r="G870" s="3"/>
      <c r="H870" s="3"/>
      <c r="I870" s="3"/>
      <c r="J870" s="3"/>
      <c r="K870" s="3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3"/>
      <c r="W870" s="1"/>
      <c r="X870" s="1"/>
      <c r="Y870" s="1"/>
      <c r="Z870" s="1"/>
    </row>
    <row r="871" ht="15.0" customHeight="1">
      <c r="B871" s="2" t="str">
        <f>"let l"&amp;$A$842&amp;"=`${l"&amp;$A$841&amp;"}px`;"</f>
        <v>let l43=`${l42}px`;</v>
      </c>
      <c r="C871" s="2"/>
      <c r="D871" s="1"/>
      <c r="E871" s="1"/>
      <c r="F871" s="3"/>
      <c r="G871" s="3"/>
      <c r="H871" s="3"/>
      <c r="I871" s="3"/>
      <c r="J871" s="3"/>
      <c r="K871" s="3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3"/>
      <c r="W871" s="1"/>
      <c r="X871" s="1"/>
      <c r="Y871" s="1"/>
      <c r="Z871" s="1"/>
    </row>
    <row r="872" ht="15.0" customHeight="1">
      <c r="B872" s="2" t="str">
        <f>"let l"&amp;$A$843&amp;"=`${l"&amp;$A$840&amp;"}px`;"</f>
        <v>let l44=`${l41}px`;</v>
      </c>
      <c r="C872" s="2"/>
      <c r="D872" s="1"/>
      <c r="E872" s="1"/>
      <c r="F872" s="3"/>
      <c r="G872" s="3"/>
      <c r="H872" s="3"/>
      <c r="I872" s="3"/>
      <c r="J872" s="3"/>
      <c r="K872" s="3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3"/>
      <c r="W872" s="1"/>
      <c r="X872" s="1"/>
      <c r="Y872" s="1"/>
      <c r="Z872" s="1"/>
    </row>
    <row r="873" ht="15.0" customHeight="1">
      <c r="B873" s="2" t="str">
        <f>"let l"&amp;$A$844&amp;"='font-size';"</f>
        <v>let l45='font-size';</v>
      </c>
      <c r="C873" s="2"/>
      <c r="D873" s="1"/>
      <c r="E873" s="1"/>
      <c r="F873" s="3"/>
      <c r="G873" s="3"/>
      <c r="H873" s="3"/>
      <c r="I873" s="3"/>
      <c r="J873" s="3"/>
      <c r="K873" s="3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3"/>
      <c r="W873" s="1"/>
      <c r="X873" s="1"/>
      <c r="Y873" s="1"/>
      <c r="Z873" s="1"/>
    </row>
    <row r="874" ht="15.0" customHeight="1">
      <c r="B874" s="2" t="str">
        <f>"h[3]+=`.l00&gt;var,"</f>
        <v>h[3]+=`.l00&gt;var,</v>
      </c>
      <c r="C874" s="2"/>
      <c r="D874" s="1"/>
      <c r="E874" s="1"/>
      <c r="F874" s="3"/>
      <c r="G874" s="3"/>
      <c r="H874" s="3"/>
      <c r="I874" s="3"/>
      <c r="J874" s="3"/>
      <c r="K874" s="3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3"/>
      <c r="W874" s="1"/>
      <c r="X874" s="1"/>
      <c r="Y874" s="1"/>
      <c r="Z874" s="1"/>
    </row>
    <row r="875" ht="15.0" customHeight="1">
      <c r="B875" s="2" t="str">
        <f>".k00&gt;var,.t00&gt;var{"</f>
        <v>.k00&gt;var,.t00&gt;var{</v>
      </c>
      <c r="C875" s="2"/>
      <c r="D875" s="1"/>
      <c r="E875" s="1"/>
      <c r="F875" s="3"/>
      <c r="G875" s="3"/>
      <c r="H875" s="3"/>
      <c r="I875" s="3"/>
      <c r="J875" s="3"/>
      <c r="K875" s="3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3"/>
      <c r="W875" s="1"/>
      <c r="X875" s="1"/>
      <c r="Y875" s="1"/>
      <c r="Z875" s="1"/>
    </row>
    <row r="876" ht="15.0" customHeight="1">
      <c r="B876" s="2" t="str">
        <f>"${!l"&amp;$A$804&amp;"?'':`padding:${l"&amp;$A$842&amp;"};`}"</f>
        <v>${!l5?'':`padding:${l43};`}</v>
      </c>
      <c r="C876" s="2"/>
      <c r="D876" s="1"/>
      <c r="E876" s="1"/>
      <c r="F876" s="3"/>
      <c r="G876" s="3"/>
      <c r="H876" s="3"/>
      <c r="I876" s="3"/>
      <c r="J876" s="3"/>
      <c r="K876" s="3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3"/>
      <c r="W876" s="1"/>
      <c r="X876" s="1"/>
      <c r="Y876" s="1"/>
      <c r="Z876" s="1"/>
    </row>
    <row r="877" ht="15.0" customHeight="1">
      <c r="B877" s="2" t="str">
        <f>"${!l"&amp;$A$805&amp;"?'':`${l"&amp;$A$844&amp;"}:${l"&amp;$A$843&amp;"};`}}`;}"</f>
        <v>${!l6?'':`${l45}:${l44};`}}`;}</v>
      </c>
      <c r="C877" s="2"/>
      <c r="D877" s="1"/>
      <c r="E877" s="1"/>
      <c r="F877" s="3"/>
      <c r="G877" s="3"/>
      <c r="H877" s="3"/>
      <c r="I877" s="3"/>
      <c r="J877" s="3"/>
      <c r="K877" s="3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3"/>
      <c r="W877" s="1"/>
      <c r="X877" s="1"/>
      <c r="Y877" s="1"/>
      <c r="Z877" s="1"/>
    </row>
    <row r="878" ht="15.0" customHeight="1">
      <c r="B878" s="2" t="str">
        <f>"if(h"&amp;$A$27&amp;"(['0',20,21,22,23])){"</f>
        <v>if(h4(['0',20,21,22,23])){</v>
      </c>
      <c r="C878" s="2"/>
      <c r="D878" s="2"/>
      <c r="E878" s="1"/>
      <c r="F878" s="3"/>
      <c r="G878" s="3"/>
      <c r="H878" s="3"/>
      <c r="I878" s="3"/>
      <c r="J878" s="3"/>
      <c r="K878" s="3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3"/>
      <c r="W878" s="1"/>
      <c r="X878" s="1"/>
      <c r="Y878" s="1"/>
      <c r="Z878" s="1"/>
    </row>
    <row r="879" ht="15.0" customHeight="1">
      <c r="B879" s="2" t="str">
        <f>"h[3]+=`.l00&gt;:is(div,nav){"</f>
        <v>h[3]+=`.l00&gt;:is(div,nav){</v>
      </c>
      <c r="C879" s="2"/>
      <c r="D879" s="2"/>
      <c r="E879" s="1"/>
      <c r="F879" s="3"/>
      <c r="G879" s="3"/>
      <c r="H879" s="3"/>
      <c r="I879" s="3"/>
      <c r="J879" s="3"/>
      <c r="K879" s="3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3"/>
      <c r="W879" s="1"/>
      <c r="X879" s="1"/>
      <c r="Y879" s="1"/>
      <c r="Z879" s="1"/>
    </row>
    <row r="880" ht="15.0" customHeight="1">
      <c r="B880" s="2" t="str">
        <f>"filter:url('#f-l00');}`;}"</f>
        <v>filter:url('#f-l00');}`;}</v>
      </c>
      <c r="C880" s="2"/>
      <c r="D880" s="2"/>
      <c r="E880" s="1"/>
      <c r="F880" s="3"/>
      <c r="G880" s="3"/>
      <c r="H880" s="3"/>
      <c r="I880" s="3"/>
      <c r="J880" s="3"/>
      <c r="K880" s="3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3"/>
      <c r="W880" s="1"/>
      <c r="X880" s="1"/>
      <c r="Y880" s="1"/>
      <c r="Z880" s="1"/>
    </row>
    <row r="881" ht="15.0" customHeight="1">
      <c r="B881" s="2" t="str">
        <f>"if(h"&amp;$A$27&amp;"(['0',32,33,34,35])){"</f>
        <v>if(h4(['0',32,33,34,35])){</v>
      </c>
      <c r="C881" s="2"/>
      <c r="D881" s="2"/>
      <c r="E881" s="1"/>
      <c r="F881" s="3"/>
      <c r="G881" s="3"/>
      <c r="H881" s="3"/>
      <c r="I881" s="3"/>
      <c r="J881" s="3"/>
      <c r="K881" s="3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3"/>
      <c r="W881" s="1"/>
      <c r="X881" s="1"/>
      <c r="Y881" s="1"/>
      <c r="Z881" s="1"/>
    </row>
    <row r="882" ht="15.0" customHeight="1">
      <c r="B882" s="2" t="str">
        <f>"h[3]+=`.k00&gt;:is(div,nav){"</f>
        <v>h[3]+=`.k00&gt;:is(div,nav){</v>
      </c>
      <c r="C882" s="2"/>
      <c r="D882" s="2"/>
      <c r="E882" s="1"/>
      <c r="F882" s="3"/>
      <c r="G882" s="3"/>
      <c r="H882" s="3"/>
      <c r="I882" s="3"/>
      <c r="J882" s="3"/>
      <c r="K882" s="3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3"/>
      <c r="W882" s="1"/>
      <c r="X882" s="1"/>
      <c r="Y882" s="1"/>
      <c r="Z882" s="1"/>
    </row>
    <row r="883" ht="15.0" customHeight="1">
      <c r="B883" s="2" t="str">
        <f>"filter:url('#f-k00');}`;}"</f>
        <v>filter:url('#f-k00');}`;}</v>
      </c>
      <c r="C883" s="2"/>
      <c r="D883" s="2"/>
      <c r="E883" s="1"/>
      <c r="F883" s="3"/>
      <c r="G883" s="3"/>
      <c r="H883" s="3"/>
      <c r="I883" s="3"/>
      <c r="J883" s="3"/>
      <c r="K883" s="3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3"/>
      <c r="W883" s="1"/>
      <c r="X883" s="1"/>
      <c r="Y883" s="1"/>
      <c r="Z883" s="1"/>
    </row>
    <row r="884" ht="15.0" customHeight="1">
      <c r="B884" s="2" t="str">
        <f>"if(h"&amp;$A$27&amp;"(['0',44,45,46,47])){"</f>
        <v>if(h4(['0',44,45,46,47])){</v>
      </c>
      <c r="C884" s="2"/>
      <c r="D884" s="2"/>
      <c r="E884" s="1"/>
      <c r="F884" s="3"/>
      <c r="G884" s="3"/>
      <c r="H884" s="3"/>
      <c r="I884" s="3"/>
      <c r="J884" s="3"/>
      <c r="K884" s="3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3"/>
      <c r="W884" s="1"/>
      <c r="X884" s="1"/>
      <c r="Y884" s="1"/>
      <c r="Z884" s="1"/>
    </row>
    <row r="885" ht="15.0" customHeight="1">
      <c r="B885" s="2" t="str">
        <f>"h[3]+=`.t00&gt;:is(div,nav){"</f>
        <v>h[3]+=`.t00&gt;:is(div,nav){</v>
      </c>
      <c r="C885" s="2"/>
      <c r="D885" s="2"/>
      <c r="E885" s="1"/>
      <c r="F885" s="3"/>
      <c r="G885" s="3"/>
      <c r="H885" s="3"/>
      <c r="I885" s="3"/>
      <c r="J885" s="3"/>
      <c r="K885" s="3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3"/>
      <c r="W885" s="1"/>
      <c r="X885" s="1"/>
      <c r="Y885" s="1"/>
      <c r="Z885" s="1"/>
    </row>
    <row r="886" ht="15.0" customHeight="1">
      <c r="B886" s="2" t="str">
        <f>"filter:url('#f-t00');}`;}}"</f>
        <v>filter:url('#f-t00');}`;}}</v>
      </c>
      <c r="C886" s="2"/>
      <c r="D886" s="2"/>
      <c r="E886" s="1"/>
      <c r="F886" s="3"/>
      <c r="G886" s="3"/>
      <c r="H886" s="3"/>
      <c r="I886" s="3"/>
      <c r="J886" s="3"/>
      <c r="K886" s="3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3"/>
      <c r="W886" s="1"/>
      <c r="X886" s="1"/>
      <c r="Y886" s="1"/>
      <c r="Z886" s="1"/>
    </row>
    <row r="887" ht="15.0" customHeight="1">
      <c r="A887" s="2"/>
      <c r="B887" s="3"/>
      <c r="C887" s="2"/>
      <c r="D887" s="2"/>
      <c r="E887" s="1"/>
      <c r="F887" s="3"/>
      <c r="G887" s="3"/>
      <c r="H887" s="3"/>
      <c r="I887" s="3"/>
      <c r="J887" s="3"/>
      <c r="K887" s="3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3"/>
      <c r="W887" s="1"/>
      <c r="X887" s="1"/>
      <c r="Y887" s="1"/>
      <c r="Z887" s="1"/>
    </row>
    <row r="888" ht="15.0" customHeight="1">
      <c r="B888" s="2" t="str">
        <f>"if(l[0]&gt;=0){"</f>
        <v>if(l[0]&gt;=0){</v>
      </c>
      <c r="C888" s="1"/>
      <c r="D888" s="2"/>
      <c r="E888" s="1"/>
      <c r="F888" s="2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0" customHeight="1">
      <c r="A889" s="1">
        <v>0.0</v>
      </c>
      <c r="B889" s="2" t="str">
        <f>"let l"&amp;$A$889&amp;"=[140,141,142];"</f>
        <v>let l0=[140,141,142];</v>
      </c>
      <c r="C889" s="2"/>
      <c r="D889" s="2"/>
      <c r="E889" s="1"/>
      <c r="F889" s="3"/>
      <c r="G889" s="3"/>
      <c r="H889" s="3"/>
      <c r="I889" s="3"/>
      <c r="J889" s="3"/>
      <c r="K889" s="3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3"/>
      <c r="W889" s="1"/>
      <c r="X889" s="1"/>
      <c r="Y889" s="1"/>
      <c r="Z889" s="1"/>
    </row>
    <row r="890" ht="15.0" customHeight="1">
      <c r="A890" s="1">
        <v>1.0</v>
      </c>
      <c r="B890" s="2" t="str">
        <f>"let l"&amp;$A$890&amp;"=['l00','k00','t00'];"</f>
        <v>let l1=['l00','k00','t00'];</v>
      </c>
      <c r="C890" s="2"/>
      <c r="D890" s="2"/>
      <c r="E890" s="1"/>
      <c r="F890" s="3"/>
      <c r="G890" s="3"/>
      <c r="H890" s="3"/>
      <c r="I890" s="3"/>
      <c r="J890" s="3"/>
      <c r="K890" s="3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3"/>
      <c r="W890" s="1"/>
      <c r="X890" s="1"/>
      <c r="Y890" s="1"/>
      <c r="Z890" s="1"/>
    </row>
    <row r="891" ht="15.0" customHeight="1">
      <c r="A891" s="1">
        <v>2.0</v>
      </c>
      <c r="B891" s="2" t="str">
        <f>"let l"&amp;$A$891&amp;"=['erode','dilate'];"</f>
        <v>let l2=['erode','dilate'];</v>
      </c>
      <c r="C891" s="2"/>
      <c r="D891" s="2"/>
      <c r="E891" s="1"/>
      <c r="F891" s="3"/>
      <c r="G891" s="3"/>
      <c r="H891" s="3"/>
      <c r="I891" s="3"/>
      <c r="J891" s="3"/>
      <c r="K891" s="3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3"/>
      <c r="W891" s="1"/>
      <c r="X891" s="1"/>
      <c r="Y891" s="1"/>
      <c r="Z891" s="1"/>
    </row>
    <row r="892" ht="15.0" customHeight="1">
      <c r="A892" s="1">
        <v>3.0</v>
      </c>
      <c r="B892" s="2" t="str">
        <f>"let l"&amp;$A$892&amp;"='SourceGraphic';"</f>
        <v>let l3='SourceGraphic';</v>
      </c>
      <c r="C892" s="2"/>
      <c r="D892" s="2"/>
      <c r="E892" s="1"/>
      <c r="F892" s="3"/>
      <c r="G892" s="3"/>
      <c r="H892" s="3"/>
      <c r="I892" s="3"/>
      <c r="J892" s="3"/>
      <c r="K892" s="3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3"/>
      <c r="W892" s="1"/>
      <c r="X892" s="1"/>
      <c r="Y892" s="1"/>
      <c r="Z892" s="1"/>
    </row>
    <row r="893" ht="15.0" customHeight="1">
      <c r="A893" s="1">
        <v>4.0</v>
      </c>
      <c r="B893" s="2" t="str">
        <f>"let l"&amp;$A$893&amp;"=['all',...l"&amp;$A$890&amp;"];"</f>
        <v>let l4=['all',...l1];</v>
      </c>
      <c r="C893" s="1"/>
      <c r="D893" s="1"/>
      <c r="E893" s="1"/>
      <c r="F893" s="18"/>
      <c r="G893" s="5"/>
      <c r="H893" s="2"/>
      <c r="I893" s="5"/>
      <c r="J893" s="5"/>
      <c r="K893" s="3"/>
      <c r="L893" s="5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0" customHeight="1">
      <c r="A894" s="1">
        <v>5.0</v>
      </c>
      <c r="B894" s="2" t="str">
        <f>"for(let i=0;i&lt;4;i++){"</f>
        <v>for(let i=0;i&lt;4;i++){</v>
      </c>
      <c r="C894" s="1"/>
      <c r="D894" s="1"/>
      <c r="E894" s="1"/>
      <c r="F894" s="18"/>
      <c r="G894" s="5"/>
      <c r="H894" s="2"/>
      <c r="I894" s="5"/>
      <c r="J894" s="5"/>
      <c r="K894" s="3"/>
      <c r="L894" s="5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0" customHeight="1">
      <c r="A895" s="1">
        <v>6.0</v>
      </c>
      <c r="B895" s="2" t="str">
        <f>"let l"&amp;$A$894&amp;"=i*12||Number();"</f>
        <v>let l5=i*12||Number();</v>
      </c>
      <c r="C895" s="1"/>
      <c r="D895" s="1"/>
      <c r="E895" s="1"/>
      <c r="F895" s="18"/>
      <c r="G895" s="5"/>
      <c r="H895" s="2"/>
      <c r="I895" s="5"/>
      <c r="J895" s="5"/>
      <c r="K895" s="3"/>
      <c r="L895" s="5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0" customHeight="1">
      <c r="A896" s="1">
        <v>7.0</v>
      </c>
      <c r="B896" s="2" t="str">
        <f>"let l"&amp;$A$895&amp;"=[8+l"&amp;$A$894&amp;",9+l"&amp;$A$894&amp;"];"</f>
        <v>let l6=[8+l5,9+l5];</v>
      </c>
      <c r="C896" s="1"/>
      <c r="D896" s="1"/>
      <c r="E896" s="1"/>
      <c r="F896" s="18"/>
      <c r="G896" s="5"/>
      <c r="H896" s="2"/>
      <c r="I896" s="5"/>
      <c r="J896" s="5"/>
      <c r="K896" s="3"/>
      <c r="L896" s="5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0" customHeight="1">
      <c r="A897" s="1">
        <v>8.0</v>
      </c>
      <c r="B897" s="2" t="str">
        <f>"let l"&amp;$A$896&amp;"=[10+l"&amp;$A$894&amp;",11+l"&amp;$A$894&amp;"];"</f>
        <v>let l7=[10+l5,11+l5];</v>
      </c>
      <c r="C897" s="1"/>
      <c r="D897" s="1"/>
      <c r="E897" s="1"/>
      <c r="F897" s="18"/>
      <c r="G897" s="5"/>
      <c r="H897" s="2"/>
      <c r="I897" s="5"/>
      <c r="J897" s="5"/>
      <c r="K897" s="3"/>
      <c r="L897" s="5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0" customHeight="1">
      <c r="A898" s="1">
        <v>9.0</v>
      </c>
      <c r="B898" s="2" t="str">
        <f>"let l"&amp;$A$897&amp;"=k"&amp;$A$15&amp;"(['0',8+l"&amp;$A$894&amp;"]);"</f>
        <v>let l8=k10(['0',8+l5]);</v>
      </c>
      <c r="C898" s="1"/>
      <c r="D898" s="2"/>
      <c r="E898" s="2"/>
      <c r="F898" s="5"/>
      <c r="G898" s="5"/>
      <c r="H898" s="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0" customHeight="1">
      <c r="A899" s="1">
        <v>10.0</v>
      </c>
      <c r="B899" s="2" t="str">
        <f>"let l"&amp;$A$898&amp;"=k"&amp;$A$15&amp;"(['0',9+l"&amp;$A$894&amp;"]);"</f>
        <v>let l9=k10(['0',9+l5]);</v>
      </c>
      <c r="C899" s="1"/>
      <c r="D899" s="2"/>
      <c r="E899" s="2"/>
      <c r="F899" s="5"/>
      <c r="G899" s="5"/>
      <c r="H899" s="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0" customHeight="1">
      <c r="A900" s="1">
        <v>11.0</v>
      </c>
      <c r="B900" s="2" t="str">
        <f>"let l"&amp;$A$899&amp;"=k"&amp;$A$15&amp;"(['0',10+l"&amp;$A$894&amp;"]);"</f>
        <v>let l10=k10(['0',10+l5]);</v>
      </c>
      <c r="C900" s="1"/>
      <c r="D900" s="2"/>
      <c r="E900" s="2"/>
      <c r="F900" s="5"/>
      <c r="G900" s="5"/>
      <c r="H900" s="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0" customHeight="1">
      <c r="A901" s="1">
        <v>12.0</v>
      </c>
      <c r="B901" s="2" t="str">
        <f>"let l"&amp;$A$900&amp;"=k"&amp;$A$15&amp;"(['0',11+l"&amp;$A$894&amp;"]);"</f>
        <v>let l11=k10(['0',11+l5]);</v>
      </c>
      <c r="C901" s="1"/>
      <c r="D901" s="2"/>
      <c r="E901" s="2"/>
      <c r="F901" s="5"/>
      <c r="G901" s="5"/>
      <c r="H901" s="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0" customHeight="1">
      <c r="A902" s="1">
        <v>13.0</v>
      </c>
      <c r="B902" s="2" t="str">
        <f>"let l"&amp;$A$901&amp;"=k"&amp;$A$15&amp;"(['0',12+l"&amp;$A$894&amp;"]);"</f>
        <v>let l12=k10(['0',12+l5]);</v>
      </c>
      <c r="C902" s="2"/>
      <c r="D902" s="2"/>
      <c r="E902" s="1"/>
      <c r="F902" s="3"/>
      <c r="G902" s="3"/>
      <c r="H902" s="3"/>
      <c r="I902" s="3"/>
      <c r="J902" s="3"/>
      <c r="K902" s="3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3"/>
      <c r="W902" s="1"/>
      <c r="X902" s="1"/>
      <c r="Y902" s="1"/>
      <c r="Z902" s="1"/>
    </row>
    <row r="903" ht="15.0" customHeight="1">
      <c r="A903" s="1">
        <v>14.0</v>
      </c>
      <c r="B903" s="2" t="str">
        <f>"let l"&amp;$A$902&amp;"=k"&amp;$A$15&amp;"(['0',13+l"&amp;$A$894&amp;"]);"</f>
        <v>let l13=k10(['0',13+l5]);</v>
      </c>
      <c r="C903" s="2"/>
      <c r="D903" s="2"/>
      <c r="E903" s="1"/>
      <c r="F903" s="3"/>
      <c r="G903" s="3"/>
      <c r="H903" s="3"/>
      <c r="I903" s="3"/>
      <c r="J903" s="3"/>
      <c r="K903" s="3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3"/>
      <c r="W903" s="1"/>
      <c r="X903" s="1"/>
      <c r="Y903" s="1"/>
      <c r="Z903" s="1"/>
    </row>
    <row r="904" ht="15.0" customHeight="1">
      <c r="A904" s="1">
        <v>15.0</v>
      </c>
      <c r="B904" s="2" t="str">
        <f>"let l"&amp;$A$903&amp;"=h"&amp;$A$27&amp;"(['0',...l"&amp;$A$889&amp;"]);"</f>
        <v>let l14=h4(['0',...l0]);</v>
      </c>
      <c r="C904" s="2"/>
      <c r="D904" s="2"/>
      <c r="E904" s="1"/>
      <c r="F904" s="3"/>
      <c r="G904" s="3"/>
      <c r="H904" s="3"/>
      <c r="I904" s="3"/>
      <c r="J904" s="3"/>
      <c r="K904" s="3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3"/>
      <c r="W904" s="1"/>
      <c r="X904" s="1"/>
      <c r="Y904" s="1"/>
      <c r="Z904" s="1"/>
    </row>
    <row r="905" ht="15.0" customHeight="1">
      <c r="A905" s="1">
        <v>16.0</v>
      </c>
      <c r="B905" s="2" t="str">
        <f>"let l"&amp;$A$904&amp;"=!l"&amp;$A$903&amp;"||i?l"&amp;$A$892&amp;":1;"</f>
        <v>let l15=!l14||i?l3:1;</v>
      </c>
      <c r="C905" s="2"/>
      <c r="D905" s="2"/>
      <c r="E905" s="1"/>
      <c r="F905" s="3"/>
      <c r="G905" s="3"/>
      <c r="H905" s="3"/>
      <c r="I905" s="3"/>
      <c r="J905" s="3"/>
      <c r="K905" s="3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3"/>
      <c r="W905" s="1"/>
      <c r="X905" s="1"/>
      <c r="Y905" s="1"/>
      <c r="Z905" s="1"/>
    </row>
    <row r="906" ht="15.0" customHeight="1">
      <c r="A906" s="1">
        <v>17.0</v>
      </c>
      <c r="B906" s="2" t="str">
        <f>"let l"&amp;$A$905&amp;"=!l"&amp;$A$897&amp;"?l"&amp;$A$904&amp;":2;"</f>
        <v>let l16=!l8?l15:2;</v>
      </c>
      <c r="C906" s="2"/>
      <c r="D906" s="2"/>
      <c r="E906" s="1"/>
      <c r="F906" s="3"/>
      <c r="G906" s="3"/>
      <c r="H906" s="3"/>
      <c r="I906" s="3"/>
      <c r="J906" s="3"/>
      <c r="K906" s="3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3"/>
      <c r="W906" s="1"/>
      <c r="X906" s="1"/>
      <c r="Y906" s="1"/>
      <c r="Z906" s="1"/>
    </row>
    <row r="907" ht="15.0" customHeight="1">
      <c r="A907" s="1">
        <v>18.0</v>
      </c>
      <c r="B907" s="2" t="str">
        <f>"let l"&amp;$A$906&amp;"=!l"&amp;$A$898&amp;"?l"&amp;$A$905&amp;":3;"</f>
        <v>let l17=!l9?l16:3;</v>
      </c>
      <c r="C907" s="1"/>
      <c r="D907" s="2"/>
      <c r="E907" s="2"/>
      <c r="F907" s="5"/>
      <c r="G907" s="5"/>
      <c r="H907" s="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0" customHeight="1">
      <c r="A908" s="1">
        <v>19.0</v>
      </c>
      <c r="B908" s="2" t="str">
        <f>"if(!i&amp;&amp;h"&amp;$A$27&amp;"(['0',...l"&amp;$A$889&amp;"])||"</f>
        <v>if(!i&amp;&amp;h4(['0',...l0])||</v>
      </c>
      <c r="C908" s="1"/>
      <c r="D908" s="2"/>
      <c r="E908" s="2"/>
      <c r="F908" s="5"/>
      <c r="G908" s="5"/>
      <c r="H908" s="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0" customHeight="1">
      <c r="A909" s="1">
        <v>20.0</v>
      </c>
      <c r="B909" s="2" t="str">
        <f>"h"&amp;$A$27&amp;"(['0',...l"&amp;$A$895&amp;",...l"&amp;$A$896&amp;"])){"</f>
        <v>h4(['0',...l6,...l7])){</v>
      </c>
      <c r="C909" s="1"/>
      <c r="D909" s="2"/>
      <c r="E909" s="2"/>
      <c r="F909" s="5"/>
      <c r="G909" s="5"/>
      <c r="H909" s="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0" customHeight="1">
      <c r="A910" s="1">
        <v>21.0</v>
      </c>
      <c r="B910" s="2" t="str">
        <f>"let l"&amp;$A$907&amp;"='&lt;filter id';"</f>
        <v>let l18='&lt;filter id';</v>
      </c>
      <c r="C910" s="1"/>
      <c r="D910" s="2"/>
      <c r="E910" s="2"/>
      <c r="F910" s="5"/>
      <c r="G910" s="5"/>
      <c r="H910" s="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0" customHeight="1">
      <c r="A911" s="1">
        <v>22.0</v>
      </c>
      <c r="B911" s="2" t="str">
        <f>"let l"&amp;$A$908&amp;"='interpolation';"</f>
        <v>let l19='interpolation';</v>
      </c>
      <c r="C911" s="1"/>
      <c r="D911" s="2"/>
      <c r="E911" s="2"/>
      <c r="F911" s="5"/>
      <c r="G911" s="5"/>
      <c r="H911" s="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0" customHeight="1">
      <c r="A912" s="1">
        <v>23.0</v>
      </c>
      <c r="B912" s="2" t="str">
        <f>"h[0]+=`${l"&amp;$A$907&amp;"}='f-${l"&amp;$A$893&amp;"[i]}'"</f>
        <v>h[0]+=`${l18}='f-${l4[i]}'</v>
      </c>
      <c r="C912" s="2"/>
      <c r="D912" s="2"/>
      <c r="E912" s="1"/>
      <c r="F912" s="3"/>
      <c r="G912" s="3"/>
      <c r="H912" s="3"/>
      <c r="I912" s="3"/>
      <c r="J912" s="3"/>
      <c r="K912" s="3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3"/>
      <c r="W912" s="1"/>
      <c r="X912" s="1"/>
      <c r="Y912" s="1"/>
      <c r="Z912" s="1"/>
    </row>
    <row r="913" ht="15.0" customHeight="1">
      <c r="A913" s="1">
        <v>24.0</v>
      </c>
      <c r="B913" s="2" t="str">
        <f>"${!l"&amp;$A$903&amp;"?'':` color-${l"&amp;$A$908&amp;"}"</f>
        <v>${!l14?'':` color-${l19}</v>
      </c>
      <c r="C913" s="2"/>
      <c r="D913" s="2"/>
      <c r="E913" s="1"/>
      <c r="F913" s="3"/>
      <c r="G913" s="3"/>
      <c r="H913" s="3"/>
      <c r="I913" s="3"/>
      <c r="J913" s="3"/>
      <c r="K913" s="3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3"/>
      <c r="W913" s="1"/>
      <c r="X913" s="1"/>
      <c r="Y913" s="1"/>
      <c r="Z913" s="1"/>
    </row>
    <row r="914" ht="15.0" customHeight="1">
      <c r="A914" s="1">
        <v>25.0</v>
      </c>
      <c r="B914" s="2" t="str">
        <f>"${''}-filters='sRGB'`}&gt;`;}"</f>
        <v>${''}-filters='sRGB'`}&gt;`;}</v>
      </c>
      <c r="C914" s="2"/>
      <c r="D914" s="2"/>
      <c r="E914" s="1"/>
      <c r="F914" s="3"/>
      <c r="G914" s="3"/>
      <c r="H914" s="3"/>
      <c r="I914" s="3"/>
      <c r="J914" s="3"/>
      <c r="K914" s="3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3"/>
      <c r="W914" s="1"/>
      <c r="X914" s="1"/>
      <c r="Y914" s="1"/>
      <c r="Z914" s="1"/>
    </row>
    <row r="915" ht="15.0" customHeight="1">
      <c r="A915" s="1">
        <v>26.0</v>
      </c>
      <c r="B915" s="2" t="str">
        <f>"if(!i&amp;&amp;h"&amp;$A$27&amp;"(['0',...l"&amp;$A$889&amp;"])){"</f>
        <v>if(!i&amp;&amp;h4(['0',...l0])){</v>
      </c>
      <c r="C915" s="1"/>
      <c r="D915" s="2"/>
      <c r="E915" s="2"/>
      <c r="F915" s="5"/>
      <c r="G915" s="5"/>
      <c r="H915" s="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0" customHeight="1">
      <c r="A916" s="1">
        <v>27.0</v>
      </c>
      <c r="B916" s="2" t="str">
        <f>"let l"&amp;$A$909&amp;"=_=&gt;_.join(' ');"</f>
        <v>let l20=_=&gt;_.join(' ');</v>
      </c>
      <c r="C916" s="1"/>
      <c r="D916" s="2"/>
      <c r="E916" s="2"/>
      <c r="F916" s="5"/>
      <c r="G916" s="5"/>
      <c r="H916" s="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0" customHeight="1">
      <c r="A917" s="1">
        <v>28.0</v>
      </c>
      <c r="B917" s="2" t="str">
        <f>"let l"&amp;$A$910&amp;"=_=&gt;k"&amp;$A$15&amp;"(['0',_]);"</f>
        <v>let l21=_=&gt;k10(['0',_]);</v>
      </c>
      <c r="C917" s="1"/>
      <c r="D917" s="1"/>
      <c r="E917" s="2"/>
      <c r="F917" s="5"/>
      <c r="G917" s="5"/>
      <c r="H917" s="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0" customHeight="1">
      <c r="A918" s="1">
        <v>29.0</v>
      </c>
      <c r="B918" s="2" t="str">
        <f>"let l"&amp;$A$911&amp;"=l"&amp;$A$889&amp;".map(_=&gt;l"&amp;$A$910&amp;"(_));"</f>
        <v>let l22=l0.map(_=&gt;l21(_));</v>
      </c>
      <c r="C918" s="2"/>
      <c r="D918" s="1"/>
      <c r="E918" s="1"/>
      <c r="F918" s="3"/>
      <c r="G918" s="3"/>
      <c r="H918" s="3"/>
      <c r="I918" s="3"/>
      <c r="J918" s="3"/>
      <c r="K918" s="3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3"/>
      <c r="W918" s="1"/>
      <c r="X918" s="1"/>
      <c r="Y918" s="1"/>
      <c r="Z918" s="1"/>
    </row>
    <row r="919" ht="15.0" customHeight="1">
      <c r="A919" s="1">
        <v>30.0</v>
      </c>
      <c r="B919" s="2" t="str">
        <f>"let l"&amp;$A$912&amp;"=l"&amp;$A$911&amp;".filter(_=&gt;_!=null);"</f>
        <v>let l23=l22.filter(_=&gt;_!=null);</v>
      </c>
      <c r="C919" s="2"/>
      <c r="D919" s="2"/>
      <c r="E919" s="1"/>
      <c r="F919" s="3"/>
      <c r="G919" s="3"/>
      <c r="H919" s="3"/>
      <c r="I919" s="3"/>
      <c r="J919" s="3"/>
      <c r="K919" s="3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3"/>
      <c r="W919" s="1"/>
      <c r="X919" s="1"/>
      <c r="Y919" s="1"/>
      <c r="Z919" s="1"/>
    </row>
    <row r="920" ht="15.0" customHeight="1">
      <c r="A920" s="1">
        <v>31.0</v>
      </c>
      <c r="B920" s="2" t="str">
        <f>"let l"&amp;$A$913&amp;"=_=&gt;k"&amp;$A$10&amp;"(k"&amp;$A$21&amp;"(_[1])[_[0]]/255);"</f>
        <v>let l24=_=&gt;k5(k16(_[1])[_[0]]/255);</v>
      </c>
      <c r="C920" s="1"/>
      <c r="D920" s="2"/>
      <c r="E920" s="2"/>
      <c r="F920" s="5"/>
      <c r="G920" s="5"/>
      <c r="H920" s="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0" customHeight="1">
      <c r="A921" s="1">
        <v>32.0</v>
      </c>
      <c r="B921" s="2" t="str">
        <f>"let l"&amp;$A$914&amp;"=l"&amp;$A$909&amp;"(l"&amp;$A$912&amp;".map(_=&gt;l"&amp;$A$913&amp;"([0,_])));"</f>
        <v>let l25=l20(l23.map(_=&gt;l24([0,_])));</v>
      </c>
      <c r="C921" s="1"/>
      <c r="D921" s="2"/>
      <c r="E921" s="2"/>
      <c r="F921" s="5"/>
      <c r="G921" s="5"/>
      <c r="H921" s="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0" customHeight="1">
      <c r="A922" s="1">
        <v>33.0</v>
      </c>
      <c r="B922" s="2" t="str">
        <f>"let l"&amp;$A$915&amp;"=l"&amp;$A$909&amp;"(l"&amp;$A$912&amp;".map(_=&gt;l"&amp;$A$913&amp;"([1,_])));"</f>
        <v>let l26=l20(l23.map(_=&gt;l24([1,_])));</v>
      </c>
      <c r="C922" s="1"/>
      <c r="D922" s="2"/>
      <c r="E922" s="2"/>
      <c r="F922" s="5"/>
      <c r="G922" s="5"/>
      <c r="H922" s="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0" customHeight="1">
      <c r="A923" s="1">
        <v>34.0</v>
      </c>
      <c r="B923" s="2" t="str">
        <f>"let l"&amp;$A$916&amp;"=l"&amp;$A$909&amp;"(l"&amp;$A$912&amp;".map(_=&gt;l"&amp;$A$913&amp;"([2,_])));"</f>
        <v>let l27=l20(l23.map(_=&gt;l24([2,_])));</v>
      </c>
      <c r="C923" s="1"/>
      <c r="D923" s="2"/>
      <c r="E923" s="2"/>
      <c r="F923" s="5"/>
      <c r="G923" s="5"/>
      <c r="H923" s="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0" customHeight="1">
      <c r="A924" s="1">
        <v>35.0</v>
      </c>
      <c r="B924" s="2" t="str">
        <f>"let l"&amp;$A$917&amp;"=`type='table' tableValues`;"</f>
        <v>let l28=`type='table' tableValues`;</v>
      </c>
      <c r="C924" s="1"/>
      <c r="D924" s="2"/>
      <c r="E924" s="2"/>
      <c r="F924" s="5"/>
      <c r="G924" s="5"/>
      <c r="H924" s="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0" customHeight="1">
      <c r="A925" s="1">
        <v>36.0</v>
      </c>
      <c r="B925" s="2" t="str">
        <f>"let l"&amp;$A$918&amp;"=`feComponentTransfer`;"</f>
        <v>let l29=`feComponentTransfer`;</v>
      </c>
      <c r="C925" s="1"/>
      <c r="D925" s="2"/>
      <c r="E925" s="2"/>
      <c r="F925" s="5"/>
      <c r="G925" s="5"/>
      <c r="H925" s="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0" customHeight="1">
      <c r="A926" s="1">
        <v>37.0</v>
      </c>
      <c r="B926" s="2" t="str">
        <f>"h[0]+=`&lt;${h"&amp;$A$35&amp;"}&gt;&lt;${l"&amp;$A$918&amp;"} result='0'&gt;"</f>
        <v>h[0]+=`&lt;${h12}&gt;&lt;${l29} result='0'&gt;</v>
      </c>
      <c r="C926" s="1"/>
      <c r="D926" s="1"/>
      <c r="E926" s="1"/>
      <c r="F926" s="18"/>
      <c r="G926" s="5"/>
      <c r="H926" s="2"/>
      <c r="I926" s="5"/>
      <c r="J926" s="5"/>
      <c r="K926" s="3"/>
      <c r="L926" s="5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0" customHeight="1">
      <c r="A927" s="1">
        <v>38.0</v>
      </c>
      <c r="B927" s="2" t="str">
        <f>"&lt;feFuncR ${l"&amp;$A$917&amp;"}='${l"&amp;$A$914&amp;"}'&gt;&lt;/feFuncR&gt;"</f>
        <v>&lt;feFuncR ${l28}='${l25}'&gt;&lt;/feFuncR&gt;</v>
      </c>
      <c r="C927" s="2"/>
      <c r="D927" s="2"/>
      <c r="E927" s="1"/>
      <c r="F927" s="3"/>
      <c r="G927" s="3"/>
      <c r="H927" s="3"/>
      <c r="I927" s="3"/>
      <c r="J927" s="3"/>
      <c r="K927" s="3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3"/>
      <c r="W927" s="1"/>
      <c r="X927" s="1"/>
      <c r="Y927" s="1"/>
      <c r="Z927" s="1"/>
    </row>
    <row r="928" ht="15.0" customHeight="1">
      <c r="A928" s="1">
        <v>39.0</v>
      </c>
      <c r="B928" s="2" t="str">
        <f>"&lt;feFuncG ${l"&amp;$A$917&amp;"}='${l"&amp;$A$915&amp;"}'&gt;&lt;/feFuncG&gt;"</f>
        <v>&lt;feFuncG ${l28}='${l26}'&gt;&lt;/feFuncG&gt;</v>
      </c>
      <c r="C928" s="2"/>
      <c r="D928" s="2"/>
      <c r="E928" s="1"/>
      <c r="F928" s="3"/>
      <c r="G928" s="3"/>
      <c r="H928" s="3"/>
      <c r="I928" s="3"/>
      <c r="J928" s="3"/>
      <c r="K928" s="3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3"/>
      <c r="W928" s="1"/>
      <c r="X928" s="1"/>
      <c r="Y928" s="1"/>
      <c r="Z928" s="1"/>
    </row>
    <row r="929" ht="15.0" customHeight="1">
      <c r="A929" s="1">
        <v>40.0</v>
      </c>
      <c r="B929" s="2" t="str">
        <f>"&lt;feFuncB ${l"&amp;$A$917&amp;"}='${l"&amp;$A$916&amp;"}'&gt;&lt;/feFuncB&gt;"</f>
        <v>&lt;feFuncB ${l28}='${l27}'&gt;&lt;/feFuncB&gt;</v>
      </c>
      <c r="C929" s="2"/>
      <c r="D929" s="2"/>
      <c r="E929" s="1"/>
      <c r="F929" s="3"/>
      <c r="G929" s="3"/>
      <c r="H929" s="3"/>
      <c r="I929" s="3"/>
      <c r="J929" s="3"/>
      <c r="K929" s="3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3"/>
      <c r="W929" s="1"/>
      <c r="X929" s="1"/>
      <c r="Y929" s="1"/>
      <c r="Z929" s="1"/>
    </row>
    <row r="930" ht="15.0" customHeight="1">
      <c r="A930" s="1">
        <v>41.0</v>
      </c>
      <c r="B930" s="2" t="str">
        <f>"&lt;feFuncA ${l"&amp;$A$917&amp;"}='0 1'/&gt;&lt;/${l"&amp;$A$918&amp;"}&gt;"</f>
        <v>&lt;feFuncA ${l28}='0 1'/&gt;&lt;/${l29}&gt;</v>
      </c>
      <c r="C930" s="2"/>
      <c r="D930" s="2"/>
      <c r="E930" s="1"/>
      <c r="F930" s="3"/>
      <c r="G930" s="3"/>
      <c r="H930" s="3"/>
      <c r="I930" s="3"/>
      <c r="J930" s="3"/>
      <c r="K930" s="3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3"/>
      <c r="W930" s="1"/>
      <c r="X930" s="1"/>
      <c r="Y930" s="1"/>
      <c r="Z930" s="1"/>
    </row>
    <row r="931" ht="15.0" customHeight="1">
      <c r="A931" s="1">
        <v>42.0</v>
      </c>
      <c r="B931" s="2" t="str">
        <f>"&lt;feBlend in2='${l"&amp;$A$892&amp;"}' mode="</f>
        <v>&lt;feBlend in2='${l3}' mode=</v>
      </c>
      <c r="C931" s="2"/>
      <c r="D931" s="2"/>
      <c r="E931" s="1"/>
      <c r="F931" s="3"/>
      <c r="G931" s="3"/>
      <c r="H931" s="3"/>
      <c r="I931" s="3"/>
      <c r="J931" s="3"/>
      <c r="K931" s="3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3"/>
      <c r="W931" s="1"/>
      <c r="X931" s="1"/>
      <c r="Y931" s="1"/>
      <c r="Z931" s="1"/>
    </row>
    <row r="932" ht="15.0" customHeight="1">
      <c r="A932" s="1">
        <v>43.0</v>
      </c>
      <c r="B932" s="2" t="str">
        <f>"'color' result='1'/&gt;`;}"</f>
        <v>'color' result='1'/&gt;`;}</v>
      </c>
      <c r="C932" s="2"/>
      <c r="D932" s="2"/>
      <c r="E932" s="1"/>
      <c r="F932" s="3"/>
      <c r="G932" s="3"/>
      <c r="H932" s="3"/>
      <c r="I932" s="3"/>
      <c r="J932" s="3"/>
      <c r="K932" s="3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3"/>
      <c r="W932" s="1"/>
      <c r="X932" s="1"/>
      <c r="Y932" s="1"/>
      <c r="Z932" s="1"/>
    </row>
    <row r="933" ht="15.0" customHeight="1">
      <c r="A933" s="1">
        <v>44.0</v>
      </c>
      <c r="B933" s="2" t="str">
        <f>"if(h"&amp;$A$27&amp;"(['0',...l"&amp;$A$895&amp;"])){"</f>
        <v>if(h4(['0',...l6])){</v>
      </c>
      <c r="C933" s="1"/>
      <c r="D933" s="2"/>
      <c r="E933" s="2"/>
      <c r="F933" s="5"/>
      <c r="G933" s="5"/>
      <c r="H933" s="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0" customHeight="1">
      <c r="A934" s="1">
        <v>45.0</v>
      </c>
      <c r="B934" s="2" t="str">
        <f>"let l"&amp;$A$920&amp;"=l"&amp;$A$891&amp;"[l"&amp;$A$897&amp;"&gt;=50?1:0];"</f>
        <v>let l31=l2[l8&gt;=50?1:0];</v>
      </c>
      <c r="C934" s="1"/>
      <c r="D934" s="2"/>
      <c r="E934" s="2"/>
      <c r="F934" s="5"/>
      <c r="G934" s="5"/>
      <c r="H934" s="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0" customHeight="1">
      <c r="A935" s="1">
        <v>46.0</v>
      </c>
      <c r="B935" s="2" t="str">
        <f>"let l"&amp;$A$921&amp;"=l"&amp;$A$891&amp;"[l"&amp;$A$898&amp;"&gt;=50?1:0];"</f>
        <v>let l32=l2[l9&gt;=50?1:0];</v>
      </c>
      <c r="C935" s="1"/>
      <c r="D935" s="2"/>
      <c r="E935" s="2"/>
      <c r="F935" s="5"/>
      <c r="G935" s="5"/>
      <c r="H935" s="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0" customHeight="1">
      <c r="A936" s="1">
        <v>47.0</v>
      </c>
      <c r="B936" s="2" t="str">
        <f>"let l"&amp;$A$922&amp;"=l"&amp;$A$897&amp;"&gt;=50?100-l"&amp;$A$897&amp;":l"&amp;$A$897&amp;";"</f>
        <v>let l33=l8&gt;=50?100-l8:l8;</v>
      </c>
      <c r="C936" s="1"/>
      <c r="D936" s="2"/>
      <c r="E936" s="2"/>
      <c r="F936" s="5"/>
      <c r="G936" s="5"/>
      <c r="H936" s="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0" customHeight="1">
      <c r="A937" s="1">
        <v>48.0</v>
      </c>
      <c r="B937" s="2" t="str">
        <f>"let l"&amp;$A$923&amp;"=l"&amp;$A$898&amp;"&gt;=50?100-l"&amp;$A$898&amp;":l"&amp;$A$898&amp;";"</f>
        <v>let l34=l9&gt;=50?100-l9:l9;</v>
      </c>
      <c r="C937" s="1"/>
      <c r="D937" s="2"/>
      <c r="E937" s="2"/>
      <c r="F937" s="5"/>
      <c r="G937" s="5"/>
      <c r="H937" s="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0" customHeight="1">
      <c r="A938" s="1">
        <v>49.0</v>
      </c>
      <c r="B938" s="2" t="str">
        <f>"let l"&amp;$A$924&amp;"='feMorphology operator';"</f>
        <v>let l35='feMorphology operator';</v>
      </c>
      <c r="C938" s="1"/>
      <c r="D938" s="2"/>
      <c r="E938" s="2"/>
      <c r="F938" s="5"/>
      <c r="G938" s="5"/>
      <c r="H938" s="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0" customHeight="1">
      <c r="A939" s="1">
        <v>50.0</v>
      </c>
      <c r="B939" s="2" t="str">
        <f>"let l"&amp;$A$925&amp;"=`&lt;${l"&amp;$A$924&amp;"}='${l"&amp;$A$920&amp;"}' radius`;"</f>
        <v>let l36=`&lt;${l35}='${l31}' radius`;</v>
      </c>
      <c r="C939" s="1"/>
      <c r="D939" s="2"/>
      <c r="E939" s="2"/>
      <c r="F939" s="5"/>
      <c r="G939" s="5"/>
      <c r="H939" s="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0" customHeight="1">
      <c r="A940" s="1" t="s">
        <v>0</v>
      </c>
      <c r="B940" s="2" t="str">
        <f>"let l"&amp;$A$926&amp;"=`&lt;${l"&amp;$A$924&amp;"}='${l"&amp;$A$921&amp;"}' radius`;"</f>
        <v>let l37=`&lt;${l35}='${l32}' radius`;</v>
      </c>
      <c r="C940" s="1"/>
      <c r="D940" s="2"/>
      <c r="E940" s="2"/>
      <c r="F940" s="5"/>
      <c r="G940" s="5"/>
      <c r="H940" s="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0" customHeight="1">
      <c r="A941" s="1"/>
      <c r="B941" s="2" t="str">
        <f>"let l"&amp;$A$927&amp;"=`'${k"&amp;$A$7&amp;"(l"&amp;$A$922&amp;")} 0' result='2'`;"</f>
        <v>let l38=`'${k2(l33)} 0' result='2'`;</v>
      </c>
      <c r="C941" s="1"/>
      <c r="D941" s="2"/>
      <c r="E941" s="2"/>
      <c r="F941" s="5"/>
      <c r="G941" s="5"/>
      <c r="H941" s="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0" customHeight="1">
      <c r="B942" s="2" t="str">
        <f>"let l"&amp;$A$928&amp;"=`'0 ${k"&amp;$A$7&amp;"(l"&amp;$A$923&amp;")}' result='3'`;"</f>
        <v>let l39=`'0 ${k2(l34)}' result='3'`;</v>
      </c>
      <c r="C942" s="1"/>
      <c r="D942" s="2"/>
      <c r="E942" s="2"/>
      <c r="F942" s="5"/>
      <c r="G942" s="5"/>
      <c r="H942" s="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0" customHeight="1">
      <c r="B943" s="2" t="str">
        <f>"h[0]+=`${!l"&amp;$A$897&amp;"?'':`${l"&amp;$A$925&amp;"}=${l"&amp;$A$927&amp;"}/&gt;`}"</f>
        <v>h[0]+=`${!l8?'':`${l36}=${l38}/&gt;`}</v>
      </c>
      <c r="C943" s="2"/>
      <c r="D943" s="2"/>
      <c r="E943" s="1"/>
      <c r="F943" s="3"/>
      <c r="G943" s="3"/>
      <c r="H943" s="3"/>
      <c r="I943" s="3"/>
      <c r="J943" s="3"/>
      <c r="K943" s="3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3"/>
      <c r="W943" s="1"/>
      <c r="X943" s="1"/>
      <c r="Y943" s="1"/>
      <c r="Z943" s="1"/>
    </row>
    <row r="944" ht="15.0" customHeight="1">
      <c r="B944" s="2" t="str">
        <f>"${!l"&amp;$A$898&amp;"?'':`${l"&amp;$A$926&amp;"}=${l"&amp;$A$928&amp;"}/&gt;`}`;}"</f>
        <v>${!l9?'':`${l37}=${l39}/&gt;`}`;}</v>
      </c>
      <c r="C944" s="1"/>
      <c r="D944" s="1"/>
      <c r="E944" s="1"/>
      <c r="F944" s="18"/>
      <c r="G944" s="5"/>
      <c r="H944" s="2"/>
      <c r="I944" s="5"/>
      <c r="J944" s="5"/>
      <c r="K944" s="3"/>
      <c r="L944" s="5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0" customHeight="1">
      <c r="B945" s="2" t="str">
        <f>"if(h"&amp;$A$27&amp;"(['0',...l"&amp;$A$896&amp;"])){"</f>
        <v>if(h4(['0',...l7])){</v>
      </c>
      <c r="C945" s="1"/>
      <c r="D945" s="2"/>
      <c r="E945" s="2"/>
      <c r="F945" s="5"/>
      <c r="G945" s="5"/>
      <c r="H945" s="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0" customHeight="1">
      <c r="B946" s="2" t="str">
        <f>"let l"&amp;$A$929&amp;"=k"&amp;$A$10&amp;"(l"&amp;$A$899&amp;"/100)||0;"</f>
        <v>let l40=k5(l10/100)||0;</v>
      </c>
      <c r="C946" s="1"/>
      <c r="D946" s="2"/>
      <c r="E946" s="2"/>
      <c r="F946" s="5"/>
      <c r="G946" s="5"/>
      <c r="H946" s="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0" customHeight="1">
      <c r="B947" s="2" t="str">
        <f>"let l"&amp;$A$930&amp;"=k"&amp;$A$10&amp;"(l"&amp;$A$900&amp;"/100)||0;"</f>
        <v>let l41=k5(l11/100)||0;</v>
      </c>
      <c r="C947" s="1"/>
      <c r="D947" s="2"/>
      <c r="E947" s="2"/>
      <c r="F947" s="5"/>
      <c r="G947" s="5"/>
      <c r="H947" s="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0" customHeight="1">
      <c r="B948" s="2" t="str">
        <f>"let l"&amp;$A$931&amp;"=[100-l"&amp;$A$902&amp;",l"&amp;$A$902&amp;"];"</f>
        <v>let l42=[100-l13,l13];</v>
      </c>
      <c r="C948" s="1"/>
      <c r="D948" s="2"/>
      <c r="E948" s="2"/>
      <c r="F948" s="5"/>
      <c r="G948" s="5"/>
      <c r="H948" s="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0" customHeight="1">
      <c r="B949" s="2" t="str">
        <f>"let l"&amp;$A$932&amp;"=l"&amp;$A$902&amp;"&lt;=49?1:0;"</f>
        <v>let l43=l13&lt;=49?1:0;</v>
      </c>
      <c r="C949" s="1"/>
      <c r="D949" s="2"/>
      <c r="E949" s="2"/>
      <c r="F949" s="5"/>
      <c r="G949" s="5"/>
      <c r="H949" s="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0" customHeight="1">
      <c r="B950" s="2" t="str">
        <f>"let l"&amp;$A$933&amp;"=l"&amp;$A$931&amp;"[l"&amp;$A$932&amp;"]+1;"</f>
        <v>let l44=l42[l43]+1;</v>
      </c>
      <c r="C950" s="1"/>
      <c r="D950" s="2"/>
      <c r="E950" s="2"/>
      <c r="F950" s="5"/>
      <c r="G950" s="5"/>
      <c r="H950" s="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0" customHeight="1">
      <c r="B951" s="2" t="str">
        <f>"let l"&amp;$A$934&amp;"=`result='4'`;"</f>
        <v>let l45=`result='4'`;</v>
      </c>
      <c r="C951" s="1"/>
      <c r="D951" s="2"/>
      <c r="E951" s="2"/>
      <c r="F951" s="5"/>
      <c r="G951" s="5"/>
      <c r="H951" s="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0" customHeight="1">
      <c r="B952" s="2" t="str">
        <f>"let l"&amp;$A$935&amp;"='turbulence';"</f>
        <v>let l46='turbulence';</v>
      </c>
      <c r="C952" s="1"/>
      <c r="D952" s="2"/>
      <c r="E952" s="2"/>
      <c r="F952" s="5"/>
      <c r="G952" s="5"/>
      <c r="H952" s="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0" customHeight="1">
      <c r="B953" s="2" t="str">
        <f>"let l"&amp;$A$936&amp;"='feTurbulence';"</f>
        <v>let l47='feTurbulence';</v>
      </c>
      <c r="C953" s="1"/>
      <c r="D953" s="2"/>
      <c r="E953" s="2"/>
      <c r="F953" s="5"/>
      <c r="G953" s="5"/>
      <c r="H953" s="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0" customHeight="1">
      <c r="B954" s="2" t="str">
        <f>"let l"&amp;$A$937&amp;"='fractalNoise';"</f>
        <v>let l48='fractalNoise';</v>
      </c>
      <c r="C954" s="1"/>
      <c r="D954" s="2"/>
      <c r="E954" s="2"/>
      <c r="F954" s="5"/>
      <c r="G954" s="5"/>
      <c r="H954" s="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0" customHeight="1">
      <c r="B955" s="2" t="str">
        <f>"let l"&amp;$A$938&amp;"=`${l"&amp;$A$932&amp;"?l"&amp;$A$937&amp;":l"&amp;$A$935&amp;"}`;"</f>
        <v>let l49=`${l43?l48:l46}`;</v>
      </c>
      <c r="C955" s="1"/>
      <c r="D955" s="2"/>
      <c r="E955" s="2"/>
      <c r="F955" s="5"/>
      <c r="G955" s="5"/>
      <c r="H955" s="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0" customHeight="1">
      <c r="B956" s="2" t="str">
        <f>"let l"&amp;$A$939&amp;"='feDisplacementMap';"</f>
        <v>let l50='feDisplacementMap';</v>
      </c>
      <c r="C956" s="1"/>
      <c r="D956" s="2"/>
      <c r="E956" s="2"/>
      <c r="F956" s="5"/>
      <c r="G956" s="5"/>
      <c r="H956" s="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0" customHeight="1">
      <c r="B957" s="2" t="str">
        <f>"h[0]+=`&lt;${l"&amp;$A$936&amp;"} type='${l"&amp;$A$938&amp;"}' "</f>
        <v>h[0]+=`&lt;${l47} type='${l49}' </v>
      </c>
      <c r="C957" s="1"/>
      <c r="D957" s="1"/>
      <c r="E957" s="1"/>
      <c r="F957" s="18"/>
      <c r="G957" s="5"/>
      <c r="H957" s="2"/>
      <c r="I957" s="5"/>
      <c r="J957" s="5"/>
      <c r="K957" s="3"/>
      <c r="L957" s="5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0" customHeight="1">
      <c r="B958" s="2" t="str">
        <f>"baseFrequency='${l"&amp;$A$929&amp;"} ${l"&amp;$A$930&amp;"}'"</f>
        <v>baseFrequency='${l40} ${l41}'</v>
      </c>
      <c r="C958" s="1"/>
      <c r="D958" s="1"/>
      <c r="E958" s="1"/>
      <c r="F958" s="18"/>
      <c r="G958" s="5"/>
      <c r="H958" s="2"/>
      <c r="I958" s="5"/>
      <c r="J958" s="5"/>
      <c r="K958" s="3"/>
      <c r="L958" s="5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0" customHeight="1">
      <c r="B959" s="2" t="str">
        <f>"${!l"&amp;$A$901&amp;"?'':` seed='${l"&amp;$A$901&amp;"}'`}/&gt;"</f>
        <v>${!l12?'':` seed='${l12}'`}/&gt;</v>
      </c>
      <c r="C959" s="1"/>
      <c r="D959" s="1"/>
      <c r="E959" s="1"/>
      <c r="F959" s="18"/>
      <c r="G959" s="5"/>
      <c r="H959" s="2"/>
      <c r="I959" s="5"/>
      <c r="J959" s="5"/>
      <c r="K959" s="3"/>
      <c r="L959" s="5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0" customHeight="1">
      <c r="B960" s="2" t="str">
        <f>"&lt;${l"&amp;$A$939&amp;"} in='${l"&amp;$A$906&amp;"}' scale='"</f>
        <v>&lt;${l50} in='${l17}' scale='</v>
      </c>
      <c r="C960" s="1"/>
      <c r="D960" s="1"/>
      <c r="E960" s="1"/>
      <c r="F960" s="18"/>
      <c r="G960" s="5"/>
      <c r="H960" s="2"/>
      <c r="I960" s="5"/>
      <c r="J960" s="5"/>
      <c r="K960" s="3"/>
      <c r="L960" s="5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0" customHeight="1">
      <c r="B961" s="2" t="str">
        <f>"${k"&amp;$A$7&amp;"(l"&amp;$A$933&amp;")||1}' ${l"&amp;$A$934&amp;"}/&gt;`;}"</f>
        <v>${k2(l44)||1}' ${l45}/&gt;`;}</v>
      </c>
      <c r="C961" s="1"/>
      <c r="D961" s="1"/>
      <c r="E961" s="1"/>
      <c r="F961" s="18"/>
      <c r="G961" s="5"/>
      <c r="H961" s="2"/>
      <c r="I961" s="5"/>
      <c r="J961" s="5"/>
      <c r="K961" s="3"/>
      <c r="L961" s="5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0" customHeight="1">
      <c r="B962" s="2" t="str">
        <f>"if(h"&amp;$A$27&amp;"(['0',...l"&amp;$A$895&amp;",...l"&amp;$A$896&amp;"])"</f>
        <v>if(h4(['0',...l6,...l7])</v>
      </c>
      <c r="C962" s="1"/>
      <c r="D962" s="2"/>
      <c r="E962" s="2"/>
      <c r="F962" s="5"/>
      <c r="G962" s="5"/>
      <c r="H962" s="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0" customHeight="1">
      <c r="B963" s="2" t="str">
        <f>"||!i&amp;&amp;h"&amp;$A$27&amp;"(['0',...l"&amp;$A$889&amp;"])){"</f>
        <v>||!i&amp;&amp;h4(['0',...l0])){</v>
      </c>
      <c r="C963" s="1"/>
      <c r="D963" s="2"/>
      <c r="E963" s="2"/>
      <c r="F963" s="5"/>
      <c r="G963" s="5"/>
      <c r="H963" s="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0" customHeight="1">
      <c r="B964" s="2" t="str">
        <f>"h[0]+=`&lt;/filter&gt;`;}}}"</f>
        <v>h[0]+=`&lt;/filter&gt;`;}}}</v>
      </c>
      <c r="C964" s="2"/>
      <c r="D964" s="2"/>
      <c r="E964" s="1"/>
      <c r="F964" s="3"/>
      <c r="G964" s="3"/>
      <c r="H964" s="3"/>
      <c r="I964" s="3"/>
      <c r="J964" s="3"/>
      <c r="K964" s="3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3"/>
      <c r="W964" s="1"/>
      <c r="X964" s="1"/>
      <c r="Y964" s="1"/>
      <c r="Z964" s="1"/>
    </row>
    <row r="965" ht="15.0" customHeight="1">
      <c r="B965" s="2" t="str">
        <f>"if(l[0]&gt;=0){"</f>
        <v>if(l[0]&gt;=0){</v>
      </c>
      <c r="C965" s="1"/>
      <c r="D965" s="2"/>
      <c r="E965" s="1"/>
      <c r="F965" s="2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0" customHeight="1">
      <c r="B966" s="3" t="str">
        <f>"return h;}};"</f>
        <v>return h;}};</v>
      </c>
      <c r="C966" s="9" t="s">
        <v>1</v>
      </c>
      <c r="D966" s="2"/>
      <c r="E966" s="2"/>
      <c r="F966" s="3"/>
      <c r="G966" s="3"/>
      <c r="H966" s="3"/>
      <c r="I966" s="3"/>
      <c r="J966" s="3"/>
      <c r="K966" s="3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3"/>
      <c r="W966" s="1"/>
      <c r="X966" s="1"/>
      <c r="Y966" s="1"/>
      <c r="Z966" s="1"/>
    </row>
    <row r="967" ht="15.0" customHeight="1">
      <c r="A967" s="13"/>
      <c r="B967" s="13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0" customHeight="1">
      <c r="A968" s="2"/>
      <c r="B968" s="2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0" customHeight="1">
      <c r="B969" s="2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0" customHeight="1">
      <c r="A970" s="1"/>
      <c r="B970" s="2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0" customHeight="1">
      <c r="A971" s="1"/>
      <c r="B971" s="2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0" customHeight="1">
      <c r="A972" s="1"/>
      <c r="B972" s="2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0" customHeight="1">
      <c r="A973" s="1"/>
      <c r="B973" s="2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0" customHeight="1">
      <c r="A974" s="1"/>
      <c r="B974" s="2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0" customHeight="1">
      <c r="A975" s="1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0" customHeight="1">
      <c r="A976" s="1"/>
      <c r="B976" s="2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3"/>
      <c r="C977" s="1"/>
      <c r="D977" s="1"/>
      <c r="E977" s="1"/>
      <c r="F977" s="2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3"/>
      <c r="C978" s="1"/>
      <c r="D978" s="1"/>
      <c r="E978" s="1"/>
      <c r="F978" s="2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3"/>
      <c r="C979" s="1"/>
      <c r="D979" s="1"/>
      <c r="E979" s="1"/>
      <c r="F979" s="2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3"/>
      <c r="C980" s="1"/>
      <c r="D980" s="1"/>
      <c r="E980" s="1"/>
      <c r="F980" s="2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3"/>
      <c r="C981" s="1"/>
      <c r="D981" s="1"/>
      <c r="E981" s="1"/>
      <c r="F981" s="2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3"/>
      <c r="C982" s="1"/>
      <c r="D982" s="1"/>
      <c r="E982" s="1"/>
      <c r="F982" s="2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3"/>
      <c r="C983" s="1"/>
      <c r="D983" s="1"/>
      <c r="E983" s="1"/>
      <c r="F983" s="2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3"/>
      <c r="C984" s="1"/>
      <c r="D984" s="1"/>
      <c r="E984" s="1"/>
      <c r="F984" s="2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3"/>
      <c r="C985" s="1"/>
      <c r="D985" s="1"/>
      <c r="E985" s="1"/>
      <c r="F985" s="2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3"/>
      <c r="C986" s="1"/>
      <c r="D986" s="1"/>
      <c r="E986" s="1"/>
      <c r="F986" s="2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3"/>
      <c r="C987" s="1"/>
      <c r="D987" s="1"/>
      <c r="E987" s="1"/>
      <c r="F987" s="2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3"/>
      <c r="C988" s="1"/>
      <c r="D988" s="1"/>
      <c r="E988" s="1"/>
      <c r="F988" s="2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3"/>
      <c r="C989" s="1"/>
      <c r="D989" s="1"/>
      <c r="E989" s="1"/>
      <c r="F989" s="2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3"/>
      <c r="C990" s="1"/>
      <c r="D990" s="1"/>
      <c r="E990" s="1"/>
      <c r="F990" s="2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3"/>
      <c r="C991" s="1"/>
      <c r="D991" s="1"/>
      <c r="E991" s="1"/>
      <c r="F991" s="2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3"/>
      <c r="C992" s="1"/>
      <c r="D992" s="1"/>
      <c r="E992" s="1"/>
      <c r="F992" s="2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3"/>
      <c r="C993" s="1"/>
      <c r="D993" s="1"/>
      <c r="E993" s="1"/>
      <c r="F993" s="2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3"/>
      <c r="C994" s="1"/>
      <c r="D994" s="1"/>
      <c r="E994" s="1"/>
      <c r="F994" s="2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3"/>
      <c r="C995" s="1"/>
      <c r="D995" s="1"/>
      <c r="E995" s="1"/>
      <c r="F995" s="2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3"/>
      <c r="C996" s="1"/>
      <c r="D996" s="1"/>
      <c r="E996" s="1"/>
      <c r="F996" s="2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3"/>
      <c r="C997" s="1"/>
      <c r="D997" s="1"/>
      <c r="E997" s="1"/>
      <c r="F997" s="2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3"/>
      <c r="C998" s="1"/>
      <c r="D998" s="1"/>
      <c r="E998" s="1"/>
      <c r="F998" s="2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3"/>
      <c r="C999" s="1"/>
      <c r="D999" s="1"/>
      <c r="E999" s="1"/>
      <c r="F999" s="2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3"/>
      <c r="C1000" s="1"/>
      <c r="D1000" s="1"/>
      <c r="E1000" s="1"/>
      <c r="F1000" s="2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"/>
      <c r="B1001" s="3"/>
      <c r="C1001" s="1"/>
      <c r="D1001" s="1"/>
      <c r="E1001" s="1"/>
      <c r="F1001" s="2"/>
      <c r="G1001" s="1"/>
      <c r="H1001" s="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1"/>
      <c r="B1002" s="3"/>
      <c r="C1002" s="1"/>
      <c r="D1002" s="1"/>
      <c r="E1002" s="1"/>
      <c r="F1002" s="2"/>
      <c r="G1002" s="1"/>
      <c r="H1002" s="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1"/>
      <c r="B1003" s="3"/>
      <c r="C1003" s="1"/>
      <c r="D1003" s="1"/>
      <c r="E1003" s="1"/>
      <c r="F1003" s="2"/>
      <c r="G1003" s="1"/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1"/>
      <c r="B1004" s="3"/>
      <c r="C1004" s="1"/>
      <c r="D1004" s="1"/>
      <c r="E1004" s="1"/>
      <c r="F1004" s="2"/>
      <c r="G1004" s="1"/>
      <c r="H1004" s="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1"/>
      <c r="B1005" s="3"/>
      <c r="C1005" s="1"/>
      <c r="D1005" s="1"/>
      <c r="E1005" s="1"/>
      <c r="F1005" s="2"/>
      <c r="G1005" s="1"/>
      <c r="H1005" s="1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1"/>
      <c r="B1006" s="3"/>
      <c r="C1006" s="1"/>
      <c r="D1006" s="1"/>
      <c r="E1006" s="1"/>
      <c r="F1006" s="2"/>
      <c r="G1006" s="1"/>
      <c r="H1006" s="1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1"/>
      <c r="B1007" s="3"/>
      <c r="C1007" s="1"/>
      <c r="D1007" s="1"/>
      <c r="E1007" s="1"/>
      <c r="F1007" s="2"/>
      <c r="G1007" s="1"/>
      <c r="H1007" s="1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1"/>
      <c r="B1008" s="3"/>
      <c r="C1008" s="1"/>
      <c r="D1008" s="1"/>
      <c r="E1008" s="1"/>
      <c r="F1008" s="2"/>
      <c r="G1008" s="1"/>
      <c r="H1008" s="1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1"/>
      <c r="B1009" s="3"/>
      <c r="C1009" s="1"/>
      <c r="D1009" s="1"/>
      <c r="E1009" s="1"/>
      <c r="F1009" s="2"/>
      <c r="G1009" s="1"/>
      <c r="H1009" s="1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1"/>
      <c r="B1010" s="3"/>
      <c r="C1010" s="1"/>
      <c r="D1010" s="1"/>
      <c r="E1010" s="1"/>
      <c r="F1010" s="2"/>
      <c r="G1010" s="1"/>
      <c r="H1010" s="1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1"/>
      <c r="B1011" s="3"/>
      <c r="C1011" s="1"/>
      <c r="D1011" s="1"/>
      <c r="E1011" s="1"/>
      <c r="F1011" s="2"/>
      <c r="G1011" s="1"/>
      <c r="H1011" s="1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1"/>
      <c r="B1012" s="3"/>
      <c r="C1012" s="1"/>
      <c r="D1012" s="1"/>
      <c r="E1012" s="1"/>
      <c r="F1012" s="2"/>
      <c r="G1012" s="1"/>
      <c r="H1012" s="1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1"/>
      <c r="B1013" s="3"/>
      <c r="C1013" s="1"/>
      <c r="D1013" s="1"/>
      <c r="E1013" s="1"/>
      <c r="F1013" s="2"/>
      <c r="G1013" s="1"/>
      <c r="H1013" s="1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1"/>
      <c r="B1014" s="3"/>
      <c r="C1014" s="1"/>
      <c r="D1014" s="1"/>
      <c r="E1014" s="1"/>
      <c r="F1014" s="2"/>
      <c r="G1014" s="1"/>
      <c r="H1014" s="1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1"/>
      <c r="B1015" s="3"/>
      <c r="C1015" s="1"/>
      <c r="D1015" s="1"/>
      <c r="E1015" s="1"/>
      <c r="F1015" s="2"/>
      <c r="G1015" s="1"/>
      <c r="H1015" s="1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1"/>
      <c r="B1016" s="3"/>
      <c r="C1016" s="1"/>
      <c r="D1016" s="1"/>
      <c r="E1016" s="1"/>
      <c r="F1016" s="2"/>
      <c r="G1016" s="1"/>
      <c r="H1016" s="1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1"/>
      <c r="B1017" s="3"/>
      <c r="C1017" s="1"/>
      <c r="D1017" s="1"/>
      <c r="E1017" s="1"/>
      <c r="F1017" s="2"/>
      <c r="G1017" s="1"/>
      <c r="H1017" s="1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1"/>
      <c r="B1018" s="3"/>
      <c r="C1018" s="1"/>
      <c r="D1018" s="1"/>
      <c r="E1018" s="1"/>
      <c r="F1018" s="2"/>
      <c r="G1018" s="1"/>
      <c r="H1018" s="1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1"/>
      <c r="B1019" s="3"/>
      <c r="C1019" s="1"/>
      <c r="D1019" s="1"/>
      <c r="E1019" s="1"/>
      <c r="F1019" s="2"/>
      <c r="G1019" s="1"/>
      <c r="H1019" s="1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1"/>
      <c r="B1020" s="3"/>
      <c r="C1020" s="1"/>
      <c r="D1020" s="1"/>
      <c r="E1020" s="1"/>
      <c r="F1020" s="2"/>
      <c r="G1020" s="1"/>
      <c r="H1020" s="1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1"/>
      <c r="B1021" s="3"/>
      <c r="C1021" s="1"/>
      <c r="D1021" s="1"/>
      <c r="E1021" s="1"/>
      <c r="F1021" s="2"/>
      <c r="G1021" s="1"/>
      <c r="H1021" s="1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1"/>
      <c r="B1022" s="3"/>
      <c r="C1022" s="1"/>
      <c r="D1022" s="1"/>
      <c r="E1022" s="1"/>
      <c r="F1022" s="2"/>
      <c r="G1022" s="1"/>
      <c r="H1022" s="1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1"/>
      <c r="B1023" s="3"/>
      <c r="C1023" s="1"/>
      <c r="D1023" s="1"/>
      <c r="E1023" s="1"/>
      <c r="F1023" s="2"/>
      <c r="G1023" s="1"/>
      <c r="H1023" s="1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1"/>
      <c r="B1024" s="3"/>
      <c r="C1024" s="1"/>
      <c r="D1024" s="1"/>
      <c r="E1024" s="1"/>
      <c r="F1024" s="2"/>
      <c r="G1024" s="1"/>
      <c r="H1024" s="1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1"/>
      <c r="B1025" s="3"/>
      <c r="C1025" s="1"/>
      <c r="D1025" s="1"/>
      <c r="E1025" s="1"/>
      <c r="F1025" s="2"/>
      <c r="G1025" s="1"/>
      <c r="H1025" s="1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1"/>
      <c r="B1026" s="3"/>
      <c r="C1026" s="1"/>
      <c r="D1026" s="1"/>
      <c r="E1026" s="1"/>
      <c r="F1026" s="2"/>
      <c r="G1026" s="1"/>
      <c r="H1026" s="1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1"/>
      <c r="B1027" s="3"/>
      <c r="C1027" s="1"/>
      <c r="D1027" s="1"/>
      <c r="E1027" s="1"/>
      <c r="F1027" s="2"/>
      <c r="G1027" s="1"/>
      <c r="H1027" s="1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1"/>
      <c r="B1028" s="3"/>
      <c r="C1028" s="1"/>
      <c r="D1028" s="1"/>
      <c r="E1028" s="1"/>
      <c r="F1028" s="2"/>
      <c r="G1028" s="1"/>
      <c r="H1028" s="1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1"/>
      <c r="B1029" s="3"/>
      <c r="C1029" s="1"/>
      <c r="D1029" s="1"/>
      <c r="E1029" s="1"/>
      <c r="F1029" s="2"/>
      <c r="G1029" s="1"/>
      <c r="H1029" s="1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1"/>
      <c r="B1030" s="3"/>
      <c r="C1030" s="1"/>
      <c r="D1030" s="1"/>
      <c r="E1030" s="1"/>
      <c r="F1030" s="2"/>
      <c r="G1030" s="1"/>
      <c r="H1030" s="1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1"/>
      <c r="B1031" s="3"/>
      <c r="C1031" s="1"/>
      <c r="D1031" s="1"/>
      <c r="E1031" s="1"/>
      <c r="F1031" s="2"/>
      <c r="G1031" s="1"/>
      <c r="H1031" s="1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1"/>
      <c r="B1032" s="3"/>
      <c r="C1032" s="1"/>
      <c r="D1032" s="1"/>
      <c r="E1032" s="1"/>
      <c r="F1032" s="2"/>
      <c r="G1032" s="1"/>
      <c r="H1032" s="1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1"/>
      <c r="B1033" s="3"/>
      <c r="C1033" s="1"/>
      <c r="D1033" s="1"/>
      <c r="E1033" s="1"/>
      <c r="F1033" s="2"/>
      <c r="G1033" s="1"/>
      <c r="H1033" s="1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1"/>
      <c r="B1034" s="3"/>
      <c r="C1034" s="1"/>
      <c r="D1034" s="1"/>
      <c r="E1034" s="1"/>
      <c r="F1034" s="2"/>
      <c r="G1034" s="1"/>
      <c r="H1034" s="1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1"/>
      <c r="B1035" s="3"/>
      <c r="C1035" s="1"/>
      <c r="D1035" s="1"/>
      <c r="E1035" s="1"/>
      <c r="F1035" s="2"/>
      <c r="G1035" s="1"/>
      <c r="H1035" s="1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1"/>
      <c r="B1036" s="3"/>
      <c r="C1036" s="1"/>
      <c r="D1036" s="1"/>
      <c r="E1036" s="1"/>
      <c r="F1036" s="2"/>
      <c r="G1036" s="1"/>
      <c r="H1036" s="1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1"/>
      <c r="B1037" s="3"/>
      <c r="C1037" s="1"/>
      <c r="D1037" s="1"/>
      <c r="E1037" s="1"/>
      <c r="F1037" s="2"/>
      <c r="G1037" s="1"/>
      <c r="H1037" s="1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1"/>
      <c r="B1038" s="3"/>
      <c r="C1038" s="1"/>
      <c r="D1038" s="1"/>
      <c r="E1038" s="1"/>
      <c r="F1038" s="2"/>
      <c r="G1038" s="1"/>
      <c r="H1038" s="1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1"/>
      <c r="B1039" s="3"/>
      <c r="C1039" s="1"/>
      <c r="D1039" s="1"/>
      <c r="E1039" s="1"/>
      <c r="F1039" s="2"/>
      <c r="G1039" s="1"/>
      <c r="H1039" s="1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1"/>
      <c r="B1040" s="3"/>
      <c r="C1040" s="1"/>
      <c r="D1040" s="1"/>
      <c r="E1040" s="1"/>
      <c r="F1040" s="2"/>
      <c r="G1040" s="1"/>
      <c r="H1040" s="1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1"/>
      <c r="B1041" s="3"/>
      <c r="C1041" s="1"/>
      <c r="D1041" s="1"/>
      <c r="E1041" s="1"/>
      <c r="F1041" s="2"/>
      <c r="G1041" s="1"/>
      <c r="H1041" s="1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1"/>
      <c r="B1042" s="3"/>
      <c r="C1042" s="1"/>
      <c r="D1042" s="1"/>
      <c r="E1042" s="1"/>
      <c r="F1042" s="2"/>
      <c r="G1042" s="1"/>
      <c r="H1042" s="1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1"/>
      <c r="B1043" s="3"/>
      <c r="C1043" s="1"/>
      <c r="D1043" s="1"/>
      <c r="E1043" s="1"/>
      <c r="F1043" s="2"/>
      <c r="G1043" s="1"/>
      <c r="H1043" s="1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1"/>
      <c r="B1044" s="3"/>
      <c r="C1044" s="1"/>
      <c r="D1044" s="1"/>
      <c r="E1044" s="1"/>
      <c r="F1044" s="2"/>
      <c r="G1044" s="1"/>
      <c r="H1044" s="1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1"/>
      <c r="B1045" s="3"/>
      <c r="C1045" s="1"/>
      <c r="D1045" s="1"/>
      <c r="E1045" s="1"/>
      <c r="F1045" s="2"/>
      <c r="G1045" s="1"/>
      <c r="H1045" s="1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1"/>
      <c r="B1046" s="3"/>
      <c r="C1046" s="1"/>
      <c r="D1046" s="1"/>
      <c r="E1046" s="1"/>
      <c r="F1046" s="2"/>
      <c r="G1046" s="1"/>
      <c r="H1046" s="1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1"/>
      <c r="B1047" s="3"/>
      <c r="C1047" s="1"/>
      <c r="D1047" s="1"/>
      <c r="E1047" s="1"/>
      <c r="F1047" s="2"/>
      <c r="G1047" s="1"/>
      <c r="H1047" s="1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1"/>
      <c r="B1048" s="3"/>
      <c r="C1048" s="1"/>
      <c r="D1048" s="1"/>
      <c r="E1048" s="1"/>
      <c r="F1048" s="2"/>
      <c r="G1048" s="1"/>
      <c r="H1048" s="1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1"/>
      <c r="B1049" s="3"/>
      <c r="C1049" s="1"/>
      <c r="D1049" s="1"/>
      <c r="E1049" s="1"/>
      <c r="F1049" s="2"/>
      <c r="G1049" s="1"/>
      <c r="H1049" s="1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1"/>
      <c r="B1050" s="3"/>
      <c r="C1050" s="1"/>
      <c r="D1050" s="1"/>
      <c r="E1050" s="1"/>
      <c r="F1050" s="2"/>
      <c r="G1050" s="1"/>
      <c r="H1050" s="1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1"/>
      <c r="B1051" s="3"/>
      <c r="C1051" s="1"/>
      <c r="D1051" s="1"/>
      <c r="E1051" s="1"/>
      <c r="F1051" s="2"/>
      <c r="G1051" s="1"/>
      <c r="H1051" s="1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1"/>
      <c r="B1052" s="3"/>
      <c r="C1052" s="1"/>
      <c r="D1052" s="1"/>
      <c r="E1052" s="1"/>
      <c r="F1052" s="2"/>
      <c r="G1052" s="1"/>
      <c r="H1052" s="1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1"/>
      <c r="B1053" s="3"/>
      <c r="C1053" s="1"/>
      <c r="D1053" s="1"/>
      <c r="E1053" s="1"/>
      <c r="F1053" s="2"/>
      <c r="G1053" s="1"/>
      <c r="H1053" s="1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1"/>
      <c r="B1054" s="3"/>
      <c r="C1054" s="1"/>
      <c r="D1054" s="1"/>
      <c r="E1054" s="1"/>
      <c r="F1054" s="2"/>
      <c r="G1054" s="1"/>
      <c r="H1054" s="1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1"/>
      <c r="B1055" s="3"/>
      <c r="C1055" s="1"/>
      <c r="D1055" s="1"/>
      <c r="E1055" s="1"/>
      <c r="F1055" s="2"/>
      <c r="G1055" s="1"/>
      <c r="H1055" s="1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1"/>
      <c r="B1056" s="3"/>
      <c r="C1056" s="1"/>
      <c r="D1056" s="1"/>
      <c r="E1056" s="1"/>
      <c r="F1056" s="2"/>
      <c r="G1056" s="1"/>
      <c r="H1056" s="1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1"/>
      <c r="B1057" s="3"/>
      <c r="C1057" s="1"/>
      <c r="D1057" s="1"/>
      <c r="E1057" s="1"/>
      <c r="F1057" s="2"/>
      <c r="G1057" s="1"/>
      <c r="H1057" s="1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1"/>
      <c r="B1058" s="3"/>
      <c r="C1058" s="1"/>
      <c r="D1058" s="1"/>
      <c r="E1058" s="1"/>
      <c r="F1058" s="2"/>
      <c r="G1058" s="1"/>
      <c r="H1058" s="1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</sheetData>
  <mergeCells count="12">
    <mergeCell ref="A558:A602"/>
    <mergeCell ref="A660:A705"/>
    <mergeCell ref="A756:A796"/>
    <mergeCell ref="A941:A966"/>
    <mergeCell ref="A846:A886"/>
    <mergeCell ref="A79:A81"/>
    <mergeCell ref="A91:A107"/>
    <mergeCell ref="A123:A137"/>
    <mergeCell ref="A158:A173"/>
    <mergeCell ref="A217:A259"/>
    <mergeCell ref="A326:A371"/>
    <mergeCell ref="A421:A504"/>
  </mergeCell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1.43"/>
    <col customWidth="1" min="2" max="103" width="16.71"/>
  </cols>
  <sheetData>
    <row r="1" ht="15.0" customHeight="1">
      <c r="A1" s="22"/>
      <c r="B1" s="22"/>
      <c r="C1" s="22"/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3" t="s">
        <v>58</v>
      </c>
      <c r="BI1" s="23" t="s">
        <v>59</v>
      </c>
      <c r="BJ1" s="23" t="s">
        <v>60</v>
      </c>
      <c r="BK1" s="23" t="s">
        <v>61</v>
      </c>
      <c r="BL1" s="23" t="s">
        <v>62</v>
      </c>
      <c r="BM1" s="23" t="s">
        <v>63</v>
      </c>
      <c r="BN1" s="23" t="s">
        <v>64</v>
      </c>
      <c r="BO1" s="23" t="s">
        <v>65</v>
      </c>
      <c r="BP1" s="23" t="s">
        <v>66</v>
      </c>
      <c r="BQ1" s="23" t="s">
        <v>67</v>
      </c>
      <c r="BR1" s="23" t="s">
        <v>68</v>
      </c>
      <c r="BS1" s="23" t="s">
        <v>69</v>
      </c>
      <c r="BT1" s="23" t="s">
        <v>70</v>
      </c>
      <c r="BU1" s="23" t="s">
        <v>71</v>
      </c>
      <c r="BV1" s="23" t="s">
        <v>72</v>
      </c>
      <c r="BW1" s="23" t="s">
        <v>73</v>
      </c>
      <c r="BX1" s="23" t="s">
        <v>74</v>
      </c>
      <c r="BY1" s="23" t="s">
        <v>75</v>
      </c>
      <c r="BZ1" s="23" t="s">
        <v>76</v>
      </c>
      <c r="CA1" s="23" t="s">
        <v>77</v>
      </c>
      <c r="CB1" s="23" t="s">
        <v>78</v>
      </c>
      <c r="CC1" s="23" t="s">
        <v>79</v>
      </c>
      <c r="CD1" s="23" t="s">
        <v>80</v>
      </c>
      <c r="CE1" s="23" t="s">
        <v>81</v>
      </c>
      <c r="CF1" s="23" t="s">
        <v>82</v>
      </c>
      <c r="CG1" s="23" t="s">
        <v>83</v>
      </c>
      <c r="CH1" s="23" t="s">
        <v>84</v>
      </c>
      <c r="CI1" s="23" t="s">
        <v>85</v>
      </c>
      <c r="CJ1" s="23" t="s">
        <v>86</v>
      </c>
      <c r="CK1" s="23" t="s">
        <v>87</v>
      </c>
      <c r="CL1" s="23" t="s">
        <v>88</v>
      </c>
      <c r="CM1" s="23" t="s">
        <v>89</v>
      </c>
      <c r="CN1" s="23" t="s">
        <v>90</v>
      </c>
      <c r="CO1" s="23" t="s">
        <v>91</v>
      </c>
      <c r="CP1" s="23" t="s">
        <v>92</v>
      </c>
      <c r="CQ1" s="23" t="s">
        <v>93</v>
      </c>
      <c r="CR1" s="23" t="s">
        <v>94</v>
      </c>
      <c r="CS1" s="23" t="s">
        <v>95</v>
      </c>
      <c r="CT1" s="23" t="s">
        <v>96</v>
      </c>
      <c r="CU1" s="23" t="s">
        <v>97</v>
      </c>
      <c r="CV1" s="23" t="s">
        <v>98</v>
      </c>
      <c r="CW1" s="23" t="s">
        <v>99</v>
      </c>
      <c r="CX1" s="23" t="s">
        <v>100</v>
      </c>
      <c r="CY1" s="23" t="s">
        <v>101</v>
      </c>
    </row>
    <row r="2" ht="15.0" customHeight="1">
      <c r="A2" s="24" t="s">
        <v>102</v>
      </c>
      <c r="B2" s="25" t="s">
        <v>103</v>
      </c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</row>
    <row r="3" ht="15.0" customHeight="1">
      <c r="A3" s="24" t="s">
        <v>104</v>
      </c>
      <c r="B3" s="28" t="s">
        <v>105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</row>
    <row r="4" ht="15.0" customHeight="1">
      <c r="A4" s="24" t="s">
        <v>106</v>
      </c>
      <c r="B4" s="28" t="s">
        <v>107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</row>
    <row r="5" ht="15.0" customHeight="1">
      <c r="A5" s="24" t="s">
        <v>108</v>
      </c>
      <c r="B5" s="28" t="s">
        <v>105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</row>
    <row r="6" ht="15.0" customHeight="1">
      <c r="A6" s="24" t="s">
        <v>109</v>
      </c>
      <c r="B6" s="28" t="s">
        <v>107</v>
      </c>
      <c r="C6" s="29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</row>
    <row r="7" ht="15.0" customHeight="1">
      <c r="A7" s="24" t="s">
        <v>110</v>
      </c>
      <c r="B7" s="28" t="s">
        <v>105</v>
      </c>
      <c r="C7" s="25">
        <v>100.0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</row>
    <row r="8" ht="15.0" customHeight="1">
      <c r="A8" s="24" t="s">
        <v>111</v>
      </c>
      <c r="B8" s="28" t="s">
        <v>112</v>
      </c>
      <c r="C8" s="25" t="s">
        <v>113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</row>
    <row r="9" ht="15.0" customHeight="1">
      <c r="A9" s="24" t="s">
        <v>114</v>
      </c>
      <c r="B9" s="28" t="s">
        <v>115</v>
      </c>
      <c r="C9" s="25" t="s">
        <v>116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</row>
    <row r="10" ht="15.0" customHeight="1">
      <c r="A10" s="24" t="s">
        <v>117</v>
      </c>
      <c r="B10" s="28" t="s">
        <v>118</v>
      </c>
      <c r="C10" s="25">
        <v>0.0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</row>
    <row r="11" ht="15.0" customHeight="1">
      <c r="A11" s="24" t="s">
        <v>119</v>
      </c>
      <c r="B11" s="28" t="s">
        <v>105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</row>
    <row r="12" ht="15.0" customHeight="1">
      <c r="A12" s="24" t="s">
        <v>120</v>
      </c>
      <c r="B12" s="28" t="s">
        <v>105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</row>
    <row r="13" ht="15.0" customHeight="1">
      <c r="A13" s="24" t="s">
        <v>121</v>
      </c>
      <c r="B13" s="28" t="s">
        <v>122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</row>
    <row r="14" ht="15.0" customHeight="1">
      <c r="A14" s="24" t="s">
        <v>123</v>
      </c>
      <c r="B14" s="28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</row>
    <row r="15" ht="15.0" customHeight="1">
      <c r="A15" s="24" t="s">
        <v>124</v>
      </c>
      <c r="B15" s="28" t="s">
        <v>122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</row>
    <row r="16" ht="15.0" customHeight="1">
      <c r="A16" s="24" t="s">
        <v>125</v>
      </c>
      <c r="B16" s="28" t="s">
        <v>122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</row>
    <row r="17" ht="15.0" customHeight="1">
      <c r="A17" s="24" t="s">
        <v>126</v>
      </c>
      <c r="B17" s="28" t="s">
        <v>122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</row>
    <row r="18" ht="15.0" customHeight="1">
      <c r="A18" s="24" t="s">
        <v>127</v>
      </c>
      <c r="B18" s="28" t="s">
        <v>122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</row>
    <row r="19" ht="15.0" customHeight="1">
      <c r="A19" s="24" t="s">
        <v>128</v>
      </c>
      <c r="B19" s="25" t="s">
        <v>129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</row>
    <row r="20" ht="15.0" customHeight="1">
      <c r="A20" s="22"/>
      <c r="B20" s="22"/>
      <c r="C20" s="22"/>
      <c r="D20" s="23" t="s">
        <v>130</v>
      </c>
      <c r="E20" s="23" t="s">
        <v>131</v>
      </c>
      <c r="F20" s="23" t="s">
        <v>132</v>
      </c>
      <c r="G20" s="23" t="s">
        <v>133</v>
      </c>
      <c r="H20" s="23" t="s">
        <v>134</v>
      </c>
      <c r="I20" s="23" t="s">
        <v>135</v>
      </c>
      <c r="J20" s="23" t="s">
        <v>136</v>
      </c>
      <c r="K20" s="23" t="s">
        <v>137</v>
      </c>
      <c r="L20" s="23" t="s">
        <v>138</v>
      </c>
      <c r="M20" s="23" t="s">
        <v>139</v>
      </c>
      <c r="N20" s="23" t="s">
        <v>140</v>
      </c>
      <c r="O20" s="23" t="s">
        <v>141</v>
      </c>
      <c r="P20" s="23" t="s">
        <v>142</v>
      </c>
      <c r="Q20" s="23" t="s">
        <v>143</v>
      </c>
      <c r="R20" s="23" t="s">
        <v>144</v>
      </c>
      <c r="S20" s="23" t="s">
        <v>145</v>
      </c>
      <c r="T20" s="23" t="s">
        <v>146</v>
      </c>
      <c r="U20" s="23" t="s">
        <v>147</v>
      </c>
      <c r="V20" s="23" t="s">
        <v>148</v>
      </c>
      <c r="W20" s="23" t="s">
        <v>149</v>
      </c>
      <c r="X20" s="23" t="s">
        <v>150</v>
      </c>
      <c r="Y20" s="23" t="s">
        <v>151</v>
      </c>
      <c r="Z20" s="23" t="s">
        <v>152</v>
      </c>
      <c r="AA20" s="23" t="s">
        <v>153</v>
      </c>
      <c r="AB20" s="23" t="s">
        <v>154</v>
      </c>
      <c r="AC20" s="23" t="s">
        <v>155</v>
      </c>
      <c r="AD20" s="23" t="s">
        <v>156</v>
      </c>
      <c r="AE20" s="23" t="s">
        <v>157</v>
      </c>
      <c r="AF20" s="23" t="s">
        <v>158</v>
      </c>
      <c r="AG20" s="23" t="s">
        <v>159</v>
      </c>
      <c r="AH20" s="23" t="s">
        <v>160</v>
      </c>
      <c r="AI20" s="23" t="s">
        <v>161</v>
      </c>
      <c r="AJ20" s="23" t="s">
        <v>162</v>
      </c>
      <c r="AK20" s="23" t="s">
        <v>163</v>
      </c>
      <c r="AL20" s="23" t="s">
        <v>164</v>
      </c>
      <c r="AM20" s="23" t="s">
        <v>165</v>
      </c>
      <c r="AN20" s="23" t="s">
        <v>166</v>
      </c>
      <c r="AO20" s="23" t="s">
        <v>167</v>
      </c>
      <c r="AP20" s="23" t="s">
        <v>168</v>
      </c>
      <c r="AQ20" s="23" t="s">
        <v>169</v>
      </c>
      <c r="AR20" s="23" t="s">
        <v>170</v>
      </c>
      <c r="AS20" s="23" t="s">
        <v>171</v>
      </c>
      <c r="AT20" s="23" t="s">
        <v>172</v>
      </c>
      <c r="AU20" s="23" t="s">
        <v>173</v>
      </c>
      <c r="AV20" s="23" t="s">
        <v>174</v>
      </c>
      <c r="AW20" s="23" t="s">
        <v>175</v>
      </c>
      <c r="AX20" s="23" t="s">
        <v>176</v>
      </c>
      <c r="AY20" s="23" t="s">
        <v>177</v>
      </c>
      <c r="AZ20" s="23" t="s">
        <v>178</v>
      </c>
      <c r="BA20" s="23" t="s">
        <v>179</v>
      </c>
      <c r="BB20" s="23" t="s">
        <v>180</v>
      </c>
      <c r="BC20" s="23" t="s">
        <v>181</v>
      </c>
      <c r="BD20" s="23" t="s">
        <v>182</v>
      </c>
      <c r="BE20" s="23" t="s">
        <v>183</v>
      </c>
      <c r="BF20" s="23" t="s">
        <v>184</v>
      </c>
      <c r="BG20" s="23" t="s">
        <v>185</v>
      </c>
      <c r="BH20" s="23" t="s">
        <v>186</v>
      </c>
      <c r="BI20" s="23" t="s">
        <v>187</v>
      </c>
      <c r="BJ20" s="23" t="s">
        <v>188</v>
      </c>
      <c r="BK20" s="23" t="s">
        <v>189</v>
      </c>
      <c r="BL20" s="23" t="s">
        <v>190</v>
      </c>
      <c r="BM20" s="23" t="s">
        <v>191</v>
      </c>
      <c r="BN20" s="23" t="s">
        <v>192</v>
      </c>
      <c r="BO20" s="23" t="s">
        <v>193</v>
      </c>
      <c r="BP20" s="23" t="s">
        <v>194</v>
      </c>
      <c r="BQ20" s="23" t="s">
        <v>195</v>
      </c>
      <c r="BR20" s="23" t="s">
        <v>196</v>
      </c>
      <c r="BS20" s="23" t="s">
        <v>197</v>
      </c>
      <c r="BT20" s="23" t="s">
        <v>198</v>
      </c>
      <c r="BU20" s="23" t="s">
        <v>199</v>
      </c>
      <c r="BV20" s="23" t="s">
        <v>200</v>
      </c>
      <c r="BW20" s="23" t="s">
        <v>201</v>
      </c>
      <c r="BX20" s="23" t="s">
        <v>202</v>
      </c>
      <c r="BY20" s="23" t="s">
        <v>203</v>
      </c>
      <c r="BZ20" s="23" t="s">
        <v>204</v>
      </c>
      <c r="CA20" s="23" t="s">
        <v>205</v>
      </c>
      <c r="CB20" s="23" t="s">
        <v>206</v>
      </c>
      <c r="CC20" s="23" t="s">
        <v>207</v>
      </c>
      <c r="CD20" s="23" t="s">
        <v>208</v>
      </c>
      <c r="CE20" s="23" t="s">
        <v>209</v>
      </c>
      <c r="CF20" s="23" t="s">
        <v>210</v>
      </c>
      <c r="CG20" s="23" t="s">
        <v>211</v>
      </c>
      <c r="CH20" s="23" t="s">
        <v>212</v>
      </c>
      <c r="CI20" s="23" t="s">
        <v>213</v>
      </c>
      <c r="CJ20" s="23" t="s">
        <v>214</v>
      </c>
      <c r="CK20" s="23" t="s">
        <v>215</v>
      </c>
      <c r="CL20" s="23" t="s">
        <v>216</v>
      </c>
      <c r="CM20" s="23" t="s">
        <v>217</v>
      </c>
      <c r="CN20" s="23" t="s">
        <v>218</v>
      </c>
      <c r="CO20" s="23" t="s">
        <v>219</v>
      </c>
      <c r="CP20" s="23" t="s">
        <v>220</v>
      </c>
      <c r="CQ20" s="23" t="s">
        <v>221</v>
      </c>
      <c r="CR20" s="23" t="s">
        <v>222</v>
      </c>
      <c r="CS20" s="23" t="s">
        <v>223</v>
      </c>
      <c r="CT20" s="23" t="s">
        <v>224</v>
      </c>
      <c r="CU20" s="23" t="s">
        <v>225</v>
      </c>
      <c r="CV20" s="23" t="s">
        <v>226</v>
      </c>
      <c r="CW20" s="23" t="s">
        <v>227</v>
      </c>
      <c r="CX20" s="23" t="s">
        <v>228</v>
      </c>
      <c r="CY20" s="23" t="s">
        <v>229</v>
      </c>
    </row>
    <row r="21" ht="15.0" customHeight="1">
      <c r="A21" s="24" t="s">
        <v>104</v>
      </c>
      <c r="B21" s="28" t="s">
        <v>105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</row>
    <row r="22" ht="15.0" customHeight="1">
      <c r="A22" s="24" t="s">
        <v>106</v>
      </c>
      <c r="B22" s="28" t="s">
        <v>107</v>
      </c>
      <c r="C22" s="29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</row>
    <row r="23" ht="15.0" customHeight="1">
      <c r="A23" s="24" t="s">
        <v>108</v>
      </c>
      <c r="B23" s="28" t="s">
        <v>105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</row>
    <row r="24" ht="15.0" customHeight="1">
      <c r="A24" s="24" t="s">
        <v>109</v>
      </c>
      <c r="B24" s="28" t="s">
        <v>107</v>
      </c>
      <c r="C24" s="2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</row>
    <row r="25" ht="15.0" customHeight="1">
      <c r="A25" s="24" t="s">
        <v>110</v>
      </c>
      <c r="B25" s="28" t="s">
        <v>105</v>
      </c>
      <c r="C25" s="25">
        <v>100.0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</row>
    <row r="26" ht="15.0" customHeight="1">
      <c r="A26" s="24" t="s">
        <v>111</v>
      </c>
      <c r="B26" s="28" t="s">
        <v>115</v>
      </c>
      <c r="C26" s="25" t="s">
        <v>116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</row>
    <row r="27" ht="15.0" customHeight="1">
      <c r="A27" s="24" t="s">
        <v>114</v>
      </c>
      <c r="B27" s="28" t="s">
        <v>115</v>
      </c>
      <c r="C27" s="25" t="s">
        <v>116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</row>
    <row r="28" ht="15.0" customHeight="1">
      <c r="A28" s="24" t="s">
        <v>117</v>
      </c>
      <c r="B28" s="28" t="s">
        <v>118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</row>
    <row r="29" ht="15.0" customHeight="1">
      <c r="A29" s="24" t="s">
        <v>119</v>
      </c>
      <c r="B29" s="28" t="s">
        <v>105</v>
      </c>
      <c r="C29" s="25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</row>
    <row r="30" ht="15.0" customHeight="1">
      <c r="A30" s="24" t="s">
        <v>120</v>
      </c>
      <c r="B30" s="28" t="s">
        <v>105</v>
      </c>
      <c r="C30" s="25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</row>
    <row r="31" ht="15.0" customHeight="1">
      <c r="A31" s="24" t="s">
        <v>121</v>
      </c>
      <c r="B31" s="28" t="s">
        <v>122</v>
      </c>
      <c r="C31" s="29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</row>
    <row r="32" ht="15.0" customHeight="1">
      <c r="A32" s="24" t="s">
        <v>123</v>
      </c>
      <c r="B32" s="28" t="s">
        <v>122</v>
      </c>
      <c r="C32" s="29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</row>
    <row r="33" ht="15.0" customHeight="1">
      <c r="A33" s="24" t="s">
        <v>124</v>
      </c>
      <c r="B33" s="28" t="s">
        <v>122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</row>
    <row r="34" ht="15.0" customHeight="1">
      <c r="A34" s="24" t="s">
        <v>125</v>
      </c>
      <c r="B34" s="28" t="s">
        <v>122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</row>
    <row r="35" ht="15.0" customHeight="1">
      <c r="A35" s="24" t="s">
        <v>126</v>
      </c>
      <c r="B35" s="28" t="s">
        <v>122</v>
      </c>
      <c r="C35" s="30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</row>
    <row r="36" ht="15.0" customHeight="1">
      <c r="A36" s="24" t="s">
        <v>127</v>
      </c>
      <c r="B36" s="28" t="s">
        <v>122</v>
      </c>
      <c r="C36" s="29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</row>
    <row r="37" ht="15.0" customHeight="1">
      <c r="A37" s="24" t="s">
        <v>128</v>
      </c>
      <c r="B37" s="25" t="s">
        <v>129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</row>
    <row r="38" ht="15.0" customHeight="1">
      <c r="A38" s="22"/>
      <c r="B38" s="22"/>
      <c r="C38" s="22"/>
      <c r="D38" s="23" t="s">
        <v>230</v>
      </c>
      <c r="E38" s="23" t="s">
        <v>231</v>
      </c>
      <c r="F38" s="23" t="s">
        <v>232</v>
      </c>
      <c r="G38" s="23" t="s">
        <v>233</v>
      </c>
      <c r="H38" s="23" t="s">
        <v>234</v>
      </c>
      <c r="I38" s="23" t="s">
        <v>235</v>
      </c>
      <c r="J38" s="23" t="s">
        <v>236</v>
      </c>
      <c r="K38" s="23" t="s">
        <v>237</v>
      </c>
      <c r="L38" s="23" t="s">
        <v>238</v>
      </c>
      <c r="M38" s="23" t="s">
        <v>239</v>
      </c>
      <c r="N38" s="23" t="s">
        <v>240</v>
      </c>
      <c r="O38" s="23" t="s">
        <v>241</v>
      </c>
      <c r="P38" s="23" t="s">
        <v>242</v>
      </c>
      <c r="Q38" s="23" t="s">
        <v>243</v>
      </c>
      <c r="R38" s="23" t="s">
        <v>244</v>
      </c>
      <c r="S38" s="23" t="s">
        <v>245</v>
      </c>
      <c r="T38" s="23" t="s">
        <v>246</v>
      </c>
      <c r="U38" s="23" t="s">
        <v>247</v>
      </c>
      <c r="V38" s="23" t="s">
        <v>248</v>
      </c>
      <c r="W38" s="23" t="s">
        <v>249</v>
      </c>
      <c r="X38" s="23" t="s">
        <v>250</v>
      </c>
      <c r="Y38" s="23" t="s">
        <v>251</v>
      </c>
      <c r="Z38" s="23" t="s">
        <v>252</v>
      </c>
      <c r="AA38" s="23" t="s">
        <v>253</v>
      </c>
      <c r="AB38" s="23" t="s">
        <v>254</v>
      </c>
      <c r="AC38" s="23" t="s">
        <v>255</v>
      </c>
      <c r="AD38" s="23" t="s">
        <v>256</v>
      </c>
      <c r="AE38" s="23" t="s">
        <v>257</v>
      </c>
      <c r="AF38" s="23" t="s">
        <v>258</v>
      </c>
      <c r="AG38" s="23" t="s">
        <v>259</v>
      </c>
      <c r="AH38" s="23" t="s">
        <v>260</v>
      </c>
      <c r="AI38" s="23" t="s">
        <v>261</v>
      </c>
      <c r="AJ38" s="23" t="s">
        <v>262</v>
      </c>
      <c r="AK38" s="23" t="s">
        <v>263</v>
      </c>
      <c r="AL38" s="23" t="s">
        <v>264</v>
      </c>
      <c r="AM38" s="23" t="s">
        <v>265</v>
      </c>
      <c r="AN38" s="23" t="s">
        <v>266</v>
      </c>
      <c r="AO38" s="23" t="s">
        <v>267</v>
      </c>
      <c r="AP38" s="23" t="s">
        <v>268</v>
      </c>
      <c r="AQ38" s="23" t="s">
        <v>269</v>
      </c>
      <c r="AR38" s="23" t="s">
        <v>270</v>
      </c>
      <c r="AS38" s="23" t="s">
        <v>271</v>
      </c>
      <c r="AT38" s="23" t="s">
        <v>272</v>
      </c>
      <c r="AU38" s="23" t="s">
        <v>273</v>
      </c>
      <c r="AV38" s="23" t="s">
        <v>274</v>
      </c>
      <c r="AW38" s="23" t="s">
        <v>275</v>
      </c>
      <c r="AX38" s="23" t="s">
        <v>276</v>
      </c>
      <c r="AY38" s="23" t="s">
        <v>277</v>
      </c>
      <c r="AZ38" s="23" t="s">
        <v>278</v>
      </c>
      <c r="BA38" s="23" t="s">
        <v>279</v>
      </c>
      <c r="BB38" s="23" t="s">
        <v>280</v>
      </c>
      <c r="BC38" s="23" t="s">
        <v>281</v>
      </c>
      <c r="BD38" s="23" t="s">
        <v>282</v>
      </c>
      <c r="BE38" s="23" t="s">
        <v>283</v>
      </c>
      <c r="BF38" s="23" t="s">
        <v>284</v>
      </c>
      <c r="BG38" s="23" t="s">
        <v>285</v>
      </c>
      <c r="BH38" s="23" t="s">
        <v>286</v>
      </c>
      <c r="BI38" s="23" t="s">
        <v>287</v>
      </c>
      <c r="BJ38" s="23" t="s">
        <v>288</v>
      </c>
      <c r="BK38" s="23" t="s">
        <v>289</v>
      </c>
      <c r="BL38" s="23" t="s">
        <v>290</v>
      </c>
      <c r="BM38" s="23" t="s">
        <v>291</v>
      </c>
      <c r="BN38" s="23" t="s">
        <v>292</v>
      </c>
      <c r="BO38" s="23" t="s">
        <v>293</v>
      </c>
      <c r="BP38" s="23" t="s">
        <v>294</v>
      </c>
      <c r="BQ38" s="23" t="s">
        <v>295</v>
      </c>
      <c r="BR38" s="23" t="s">
        <v>296</v>
      </c>
      <c r="BS38" s="23" t="s">
        <v>297</v>
      </c>
      <c r="BT38" s="23" t="s">
        <v>298</v>
      </c>
      <c r="BU38" s="23" t="s">
        <v>299</v>
      </c>
      <c r="BV38" s="23" t="s">
        <v>300</v>
      </c>
      <c r="BW38" s="23" t="s">
        <v>301</v>
      </c>
      <c r="BX38" s="23" t="s">
        <v>302</v>
      </c>
      <c r="BY38" s="23" t="s">
        <v>303</v>
      </c>
      <c r="BZ38" s="23" t="s">
        <v>304</v>
      </c>
      <c r="CA38" s="23" t="s">
        <v>305</v>
      </c>
      <c r="CB38" s="23" t="s">
        <v>306</v>
      </c>
      <c r="CC38" s="23" t="s">
        <v>307</v>
      </c>
      <c r="CD38" s="23" t="s">
        <v>308</v>
      </c>
      <c r="CE38" s="23" t="s">
        <v>309</v>
      </c>
      <c r="CF38" s="23" t="s">
        <v>310</v>
      </c>
      <c r="CG38" s="23" t="s">
        <v>311</v>
      </c>
      <c r="CH38" s="23" t="s">
        <v>312</v>
      </c>
      <c r="CI38" s="23" t="s">
        <v>313</v>
      </c>
      <c r="CJ38" s="23" t="s">
        <v>314</v>
      </c>
      <c r="CK38" s="23" t="s">
        <v>315</v>
      </c>
      <c r="CL38" s="23" t="s">
        <v>316</v>
      </c>
      <c r="CM38" s="23" t="s">
        <v>317</v>
      </c>
      <c r="CN38" s="23" t="s">
        <v>318</v>
      </c>
      <c r="CO38" s="23" t="s">
        <v>319</v>
      </c>
      <c r="CP38" s="23" t="s">
        <v>320</v>
      </c>
      <c r="CQ38" s="23" t="s">
        <v>321</v>
      </c>
      <c r="CR38" s="23" t="s">
        <v>322</v>
      </c>
      <c r="CS38" s="23" t="s">
        <v>323</v>
      </c>
      <c r="CT38" s="23" t="s">
        <v>324</v>
      </c>
      <c r="CU38" s="23" t="s">
        <v>325</v>
      </c>
      <c r="CV38" s="23" t="s">
        <v>326</v>
      </c>
      <c r="CW38" s="23" t="s">
        <v>327</v>
      </c>
      <c r="CX38" s="23" t="s">
        <v>328</v>
      </c>
      <c r="CY38" s="23" t="s">
        <v>329</v>
      </c>
    </row>
    <row r="39" ht="15.0" customHeight="1">
      <c r="A39" s="24" t="s">
        <v>104</v>
      </c>
      <c r="B39" s="25" t="s">
        <v>105</v>
      </c>
      <c r="C39" s="29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</row>
    <row r="40" ht="15.0" customHeight="1">
      <c r="A40" s="24" t="s">
        <v>106</v>
      </c>
      <c r="B40" s="28" t="s">
        <v>107</v>
      </c>
      <c r="C40" s="29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</row>
    <row r="41" ht="15.0" customHeight="1">
      <c r="A41" s="24" t="s">
        <v>108</v>
      </c>
      <c r="B41" s="28" t="s">
        <v>105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</row>
    <row r="42" ht="15.0" customHeight="1">
      <c r="A42" s="24" t="s">
        <v>109</v>
      </c>
      <c r="B42" s="28" t="s">
        <v>107</v>
      </c>
      <c r="C42" s="29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</row>
    <row r="43" ht="15.0" customHeight="1">
      <c r="A43" s="24" t="s">
        <v>110</v>
      </c>
      <c r="B43" s="28" t="s">
        <v>105</v>
      </c>
      <c r="C43" s="25">
        <v>100.0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</row>
    <row r="44" ht="15.0" customHeight="1">
      <c r="A44" s="24" t="s">
        <v>111</v>
      </c>
      <c r="B44" s="28" t="s">
        <v>115</v>
      </c>
      <c r="C44" s="25" t="s">
        <v>116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</row>
    <row r="45" ht="15.0" customHeight="1">
      <c r="A45" s="24" t="s">
        <v>114</v>
      </c>
      <c r="B45" s="28" t="s">
        <v>115</v>
      </c>
      <c r="C45" s="25" t="s">
        <v>116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</row>
    <row r="46" ht="15.0" customHeight="1">
      <c r="A46" s="24" t="s">
        <v>117</v>
      </c>
      <c r="B46" s="28" t="s">
        <v>118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</row>
    <row r="47" ht="15.0" customHeight="1">
      <c r="A47" s="24" t="s">
        <v>119</v>
      </c>
      <c r="B47" s="28" t="s">
        <v>105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</row>
    <row r="48" ht="15.0" customHeight="1">
      <c r="A48" s="24" t="s">
        <v>120</v>
      </c>
      <c r="B48" s="28" t="s">
        <v>105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</row>
    <row r="49" ht="15.0" customHeight="1">
      <c r="A49" s="24" t="s">
        <v>121</v>
      </c>
      <c r="B49" s="28" t="s">
        <v>122</v>
      </c>
      <c r="C49" s="29"/>
      <c r="D49" s="29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</row>
    <row r="50" ht="15.0" customHeight="1">
      <c r="A50" s="24" t="s">
        <v>123</v>
      </c>
      <c r="B50" s="28" t="s">
        <v>122</v>
      </c>
      <c r="C50" s="29"/>
      <c r="D50" s="2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</row>
    <row r="51" ht="15.0" customHeight="1">
      <c r="A51" s="24" t="s">
        <v>124</v>
      </c>
      <c r="B51" s="28" t="s">
        <v>122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</row>
    <row r="52" ht="15.0" customHeight="1">
      <c r="A52" s="24" t="s">
        <v>125</v>
      </c>
      <c r="B52" s="28" t="s">
        <v>122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</row>
    <row r="53" ht="15.0" customHeight="1">
      <c r="A53" s="24" t="s">
        <v>126</v>
      </c>
      <c r="B53" s="28" t="s">
        <v>122</v>
      </c>
      <c r="C53" s="29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</row>
    <row r="54" ht="15.0" customHeight="1">
      <c r="A54" s="24" t="s">
        <v>127</v>
      </c>
      <c r="B54" s="28" t="s">
        <v>122</v>
      </c>
      <c r="C54" s="29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</row>
    <row r="55" ht="15.0" customHeight="1">
      <c r="A55" s="24" t="s">
        <v>128</v>
      </c>
      <c r="B55" s="25" t="s">
        <v>129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</row>
    <row r="56" ht="15.0" customHeight="1">
      <c r="A56" s="31"/>
      <c r="B56" s="31"/>
      <c r="C56" s="31"/>
      <c r="D56" s="32" t="s">
        <v>330</v>
      </c>
      <c r="E56" s="32" t="s">
        <v>331</v>
      </c>
      <c r="F56" s="32" t="s">
        <v>332</v>
      </c>
      <c r="G56" s="32" t="s">
        <v>333</v>
      </c>
      <c r="H56" s="32" t="s">
        <v>334</v>
      </c>
      <c r="I56" s="32" t="s">
        <v>335</v>
      </c>
      <c r="J56" s="32" t="s">
        <v>336</v>
      </c>
      <c r="K56" s="32" t="s">
        <v>337</v>
      </c>
      <c r="L56" s="32" t="s">
        <v>338</v>
      </c>
      <c r="M56" s="32" t="s">
        <v>339</v>
      </c>
      <c r="N56" s="32" t="s">
        <v>340</v>
      </c>
      <c r="O56" s="32" t="s">
        <v>341</v>
      </c>
      <c r="P56" s="32" t="s">
        <v>342</v>
      </c>
      <c r="Q56" s="32" t="s">
        <v>343</v>
      </c>
      <c r="R56" s="32" t="s">
        <v>344</v>
      </c>
      <c r="S56" s="32" t="s">
        <v>345</v>
      </c>
      <c r="T56" s="32" t="s">
        <v>346</v>
      </c>
      <c r="U56" s="32" t="s">
        <v>347</v>
      </c>
      <c r="V56" s="32" t="s">
        <v>348</v>
      </c>
      <c r="W56" s="32" t="s">
        <v>349</v>
      </c>
      <c r="X56" s="32" t="s">
        <v>350</v>
      </c>
      <c r="Y56" s="32" t="s">
        <v>351</v>
      </c>
      <c r="Z56" s="32" t="s">
        <v>352</v>
      </c>
      <c r="AA56" s="32" t="s">
        <v>353</v>
      </c>
      <c r="AB56" s="32" t="s">
        <v>354</v>
      </c>
      <c r="AC56" s="32" t="s">
        <v>355</v>
      </c>
      <c r="AD56" s="32" t="s">
        <v>356</v>
      </c>
      <c r="AE56" s="32" t="s">
        <v>357</v>
      </c>
      <c r="AF56" s="32" t="s">
        <v>358</v>
      </c>
      <c r="AG56" s="32" t="s">
        <v>359</v>
      </c>
      <c r="AH56" s="32" t="s">
        <v>360</v>
      </c>
      <c r="AI56" s="32" t="s">
        <v>361</v>
      </c>
      <c r="AJ56" s="32" t="s">
        <v>362</v>
      </c>
      <c r="AK56" s="32" t="s">
        <v>363</v>
      </c>
      <c r="AL56" s="32" t="s">
        <v>364</v>
      </c>
      <c r="AM56" s="32" t="s">
        <v>365</v>
      </c>
      <c r="AN56" s="32" t="s">
        <v>366</v>
      </c>
      <c r="AO56" s="32" t="s">
        <v>367</v>
      </c>
      <c r="AP56" s="32" t="s">
        <v>368</v>
      </c>
      <c r="AQ56" s="32" t="s">
        <v>369</v>
      </c>
      <c r="AR56" s="32" t="s">
        <v>370</v>
      </c>
      <c r="AS56" s="32" t="s">
        <v>371</v>
      </c>
      <c r="AT56" s="32" t="s">
        <v>372</v>
      </c>
      <c r="AU56" s="32" t="s">
        <v>373</v>
      </c>
      <c r="AV56" s="32" t="s">
        <v>374</v>
      </c>
      <c r="AW56" s="32" t="s">
        <v>375</v>
      </c>
      <c r="AX56" s="32" t="s">
        <v>376</v>
      </c>
      <c r="AY56" s="32" t="s">
        <v>377</v>
      </c>
      <c r="AZ56" s="32" t="s">
        <v>378</v>
      </c>
      <c r="BA56" s="32" t="s">
        <v>379</v>
      </c>
      <c r="BB56" s="32" t="s">
        <v>380</v>
      </c>
      <c r="BC56" s="32" t="s">
        <v>381</v>
      </c>
      <c r="BD56" s="32" t="s">
        <v>382</v>
      </c>
      <c r="BE56" s="32" t="s">
        <v>383</v>
      </c>
      <c r="BF56" s="32" t="s">
        <v>384</v>
      </c>
      <c r="BG56" s="32" t="s">
        <v>385</v>
      </c>
      <c r="BH56" s="32" t="s">
        <v>386</v>
      </c>
      <c r="BI56" s="32" t="s">
        <v>387</v>
      </c>
      <c r="BJ56" s="32" t="s">
        <v>388</v>
      </c>
      <c r="BK56" s="32" t="s">
        <v>389</v>
      </c>
      <c r="BL56" s="32" t="s">
        <v>390</v>
      </c>
      <c r="BM56" s="32" t="s">
        <v>391</v>
      </c>
      <c r="BN56" s="32" t="s">
        <v>392</v>
      </c>
      <c r="BO56" s="32" t="s">
        <v>393</v>
      </c>
      <c r="BP56" s="32" t="s">
        <v>394</v>
      </c>
      <c r="BQ56" s="32" t="s">
        <v>395</v>
      </c>
      <c r="BR56" s="32" t="s">
        <v>396</v>
      </c>
      <c r="BS56" s="32" t="s">
        <v>397</v>
      </c>
      <c r="BT56" s="32" t="s">
        <v>398</v>
      </c>
      <c r="BU56" s="32" t="s">
        <v>399</v>
      </c>
      <c r="BV56" s="32" t="s">
        <v>400</v>
      </c>
      <c r="BW56" s="32" t="s">
        <v>401</v>
      </c>
      <c r="BX56" s="32" t="s">
        <v>402</v>
      </c>
      <c r="BY56" s="32" t="s">
        <v>403</v>
      </c>
      <c r="BZ56" s="32" t="s">
        <v>404</v>
      </c>
      <c r="CA56" s="32" t="s">
        <v>405</v>
      </c>
      <c r="CB56" s="32" t="s">
        <v>406</v>
      </c>
      <c r="CC56" s="32" t="s">
        <v>407</v>
      </c>
      <c r="CD56" s="32" t="s">
        <v>408</v>
      </c>
      <c r="CE56" s="32" t="s">
        <v>409</v>
      </c>
      <c r="CF56" s="32" t="s">
        <v>410</v>
      </c>
      <c r="CG56" s="32" t="s">
        <v>411</v>
      </c>
      <c r="CH56" s="32" t="s">
        <v>412</v>
      </c>
      <c r="CI56" s="32" t="s">
        <v>413</v>
      </c>
      <c r="CJ56" s="32" t="s">
        <v>414</v>
      </c>
      <c r="CK56" s="32" t="s">
        <v>415</v>
      </c>
      <c r="CL56" s="32" t="s">
        <v>416</v>
      </c>
      <c r="CM56" s="32" t="s">
        <v>417</v>
      </c>
      <c r="CN56" s="32" t="s">
        <v>418</v>
      </c>
      <c r="CO56" s="32" t="s">
        <v>419</v>
      </c>
      <c r="CP56" s="32" t="s">
        <v>420</v>
      </c>
      <c r="CQ56" s="32" t="s">
        <v>421</v>
      </c>
      <c r="CR56" s="32" t="s">
        <v>422</v>
      </c>
      <c r="CS56" s="32" t="s">
        <v>423</v>
      </c>
      <c r="CT56" s="32" t="s">
        <v>424</v>
      </c>
      <c r="CU56" s="32" t="s">
        <v>425</v>
      </c>
      <c r="CV56" s="32" t="s">
        <v>426</v>
      </c>
      <c r="CW56" s="32" t="s">
        <v>427</v>
      </c>
      <c r="CX56" s="32" t="s">
        <v>428</v>
      </c>
      <c r="CY56" s="32" t="s">
        <v>429</v>
      </c>
    </row>
    <row r="57" ht="15.0" customHeight="1">
      <c r="A57" s="24" t="s">
        <v>102</v>
      </c>
      <c r="B57" s="25" t="s">
        <v>103</v>
      </c>
      <c r="C57" s="26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</row>
    <row r="58" ht="15.0" customHeight="1">
      <c r="A58" s="24" t="s">
        <v>104</v>
      </c>
      <c r="B58" s="28" t="s">
        <v>105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</row>
    <row r="59" ht="15.0" customHeight="1">
      <c r="A59" s="24" t="s">
        <v>106</v>
      </c>
      <c r="B59" s="28" t="s">
        <v>107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</row>
    <row r="60" ht="15.0" customHeight="1">
      <c r="A60" s="24" t="s">
        <v>108</v>
      </c>
      <c r="B60" s="28" t="s">
        <v>105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</row>
    <row r="61" ht="15.0" customHeight="1">
      <c r="A61" s="24" t="s">
        <v>109</v>
      </c>
      <c r="B61" s="28" t="s">
        <v>107</v>
      </c>
      <c r="C61" s="29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</row>
    <row r="62" ht="15.0" customHeight="1">
      <c r="A62" s="24" t="s">
        <v>110</v>
      </c>
      <c r="B62" s="28" t="s">
        <v>105</v>
      </c>
      <c r="C62" s="25">
        <v>100.0</v>
      </c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</row>
    <row r="63" ht="15.0" customHeight="1">
      <c r="A63" s="24" t="s">
        <v>111</v>
      </c>
      <c r="B63" s="28" t="s">
        <v>112</v>
      </c>
      <c r="C63" s="25" t="s">
        <v>113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</row>
    <row r="64" ht="15.0" customHeight="1">
      <c r="A64" s="24" t="s">
        <v>114</v>
      </c>
      <c r="B64" s="28" t="s">
        <v>115</v>
      </c>
      <c r="C64" s="25" t="s">
        <v>116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</row>
    <row r="65" ht="15.0" customHeight="1">
      <c r="A65" s="24" t="s">
        <v>117</v>
      </c>
      <c r="B65" s="28" t="s">
        <v>118</v>
      </c>
      <c r="C65" s="25">
        <v>0.0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</row>
    <row r="66" ht="15.0" customHeight="1">
      <c r="A66" s="24" t="s">
        <v>119</v>
      </c>
      <c r="B66" s="28" t="s">
        <v>105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</row>
    <row r="67" ht="15.0" customHeight="1">
      <c r="A67" s="24" t="s">
        <v>120</v>
      </c>
      <c r="B67" s="28" t="s">
        <v>105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</row>
    <row r="68" ht="15.0" customHeight="1">
      <c r="A68" s="24" t="s">
        <v>121</v>
      </c>
      <c r="B68" s="28" t="s">
        <v>122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</row>
    <row r="69" ht="15.0" customHeight="1">
      <c r="A69" s="24" t="s">
        <v>123</v>
      </c>
      <c r="B69" s="28" t="s">
        <v>122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</row>
    <row r="70" ht="15.0" customHeight="1">
      <c r="A70" s="24" t="s">
        <v>124</v>
      </c>
      <c r="B70" s="28" t="s">
        <v>122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</row>
    <row r="71" ht="15.0" customHeight="1">
      <c r="A71" s="24" t="s">
        <v>125</v>
      </c>
      <c r="B71" s="28" t="s">
        <v>122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</row>
    <row r="72" ht="15.0" customHeight="1">
      <c r="A72" s="24" t="s">
        <v>126</v>
      </c>
      <c r="B72" s="28" t="s">
        <v>122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</row>
    <row r="73" ht="15.0" customHeight="1">
      <c r="A73" s="24" t="s">
        <v>127</v>
      </c>
      <c r="B73" s="28" t="s">
        <v>122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</row>
    <row r="74" ht="15.0" customHeight="1">
      <c r="A74" s="24" t="s">
        <v>128</v>
      </c>
      <c r="B74" s="25" t="s">
        <v>129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</row>
    <row r="75" ht="15.0" customHeight="1">
      <c r="A75" s="31"/>
      <c r="B75" s="31"/>
      <c r="C75" s="31"/>
      <c r="D75" s="32" t="s">
        <v>430</v>
      </c>
      <c r="E75" s="32" t="s">
        <v>431</v>
      </c>
      <c r="F75" s="32" t="s">
        <v>432</v>
      </c>
      <c r="G75" s="32" t="s">
        <v>433</v>
      </c>
      <c r="H75" s="32" t="s">
        <v>434</v>
      </c>
      <c r="I75" s="32" t="s">
        <v>435</v>
      </c>
      <c r="J75" s="32" t="s">
        <v>436</v>
      </c>
      <c r="K75" s="32" t="s">
        <v>437</v>
      </c>
      <c r="L75" s="32" t="s">
        <v>438</v>
      </c>
      <c r="M75" s="32" t="s">
        <v>439</v>
      </c>
      <c r="N75" s="32" t="s">
        <v>440</v>
      </c>
      <c r="O75" s="32" t="s">
        <v>441</v>
      </c>
      <c r="P75" s="32" t="s">
        <v>442</v>
      </c>
      <c r="Q75" s="32" t="s">
        <v>443</v>
      </c>
      <c r="R75" s="32" t="s">
        <v>444</v>
      </c>
      <c r="S75" s="32" t="s">
        <v>445</v>
      </c>
      <c r="T75" s="32" t="s">
        <v>446</v>
      </c>
      <c r="U75" s="32" t="s">
        <v>447</v>
      </c>
      <c r="V75" s="32" t="s">
        <v>448</v>
      </c>
      <c r="W75" s="32" t="s">
        <v>449</v>
      </c>
      <c r="X75" s="32" t="s">
        <v>450</v>
      </c>
      <c r="Y75" s="32" t="s">
        <v>451</v>
      </c>
      <c r="Z75" s="32" t="s">
        <v>452</v>
      </c>
      <c r="AA75" s="32" t="s">
        <v>453</v>
      </c>
      <c r="AB75" s="32" t="s">
        <v>454</v>
      </c>
      <c r="AC75" s="32" t="s">
        <v>455</v>
      </c>
      <c r="AD75" s="32" t="s">
        <v>456</v>
      </c>
      <c r="AE75" s="32" t="s">
        <v>457</v>
      </c>
      <c r="AF75" s="32" t="s">
        <v>458</v>
      </c>
      <c r="AG75" s="32" t="s">
        <v>459</v>
      </c>
      <c r="AH75" s="32" t="s">
        <v>460</v>
      </c>
      <c r="AI75" s="32" t="s">
        <v>461</v>
      </c>
      <c r="AJ75" s="32" t="s">
        <v>462</v>
      </c>
      <c r="AK75" s="32" t="s">
        <v>463</v>
      </c>
      <c r="AL75" s="32" t="s">
        <v>464</v>
      </c>
      <c r="AM75" s="32" t="s">
        <v>465</v>
      </c>
      <c r="AN75" s="32" t="s">
        <v>466</v>
      </c>
      <c r="AO75" s="32" t="s">
        <v>467</v>
      </c>
      <c r="AP75" s="32" t="s">
        <v>468</v>
      </c>
      <c r="AQ75" s="32" t="s">
        <v>469</v>
      </c>
      <c r="AR75" s="32" t="s">
        <v>470</v>
      </c>
      <c r="AS75" s="32" t="s">
        <v>471</v>
      </c>
      <c r="AT75" s="32" t="s">
        <v>472</v>
      </c>
      <c r="AU75" s="32" t="s">
        <v>473</v>
      </c>
      <c r="AV75" s="32" t="s">
        <v>474</v>
      </c>
      <c r="AW75" s="32" t="s">
        <v>475</v>
      </c>
      <c r="AX75" s="32" t="s">
        <v>476</v>
      </c>
      <c r="AY75" s="32" t="s">
        <v>477</v>
      </c>
      <c r="AZ75" s="32" t="s">
        <v>478</v>
      </c>
      <c r="BA75" s="32" t="s">
        <v>479</v>
      </c>
      <c r="BB75" s="32" t="s">
        <v>480</v>
      </c>
      <c r="BC75" s="32" t="s">
        <v>481</v>
      </c>
      <c r="BD75" s="32" t="s">
        <v>482</v>
      </c>
      <c r="BE75" s="32" t="s">
        <v>483</v>
      </c>
      <c r="BF75" s="32" t="s">
        <v>484</v>
      </c>
      <c r="BG75" s="32" t="s">
        <v>485</v>
      </c>
      <c r="BH75" s="32" t="s">
        <v>486</v>
      </c>
      <c r="BI75" s="32" t="s">
        <v>487</v>
      </c>
      <c r="BJ75" s="32" t="s">
        <v>488</v>
      </c>
      <c r="BK75" s="32" t="s">
        <v>489</v>
      </c>
      <c r="BL75" s="32" t="s">
        <v>490</v>
      </c>
      <c r="BM75" s="32" t="s">
        <v>491</v>
      </c>
      <c r="BN75" s="32" t="s">
        <v>492</v>
      </c>
      <c r="BO75" s="32" t="s">
        <v>493</v>
      </c>
      <c r="BP75" s="32" t="s">
        <v>494</v>
      </c>
      <c r="BQ75" s="32" t="s">
        <v>495</v>
      </c>
      <c r="BR75" s="32" t="s">
        <v>496</v>
      </c>
      <c r="BS75" s="32" t="s">
        <v>497</v>
      </c>
      <c r="BT75" s="32" t="s">
        <v>498</v>
      </c>
      <c r="BU75" s="32" t="s">
        <v>499</v>
      </c>
      <c r="BV75" s="32" t="s">
        <v>500</v>
      </c>
      <c r="BW75" s="32" t="s">
        <v>501</v>
      </c>
      <c r="BX75" s="32" t="s">
        <v>502</v>
      </c>
      <c r="BY75" s="32" t="s">
        <v>503</v>
      </c>
      <c r="BZ75" s="32" t="s">
        <v>504</v>
      </c>
      <c r="CA75" s="32" t="s">
        <v>505</v>
      </c>
      <c r="CB75" s="32" t="s">
        <v>506</v>
      </c>
      <c r="CC75" s="32" t="s">
        <v>507</v>
      </c>
      <c r="CD75" s="32" t="s">
        <v>508</v>
      </c>
      <c r="CE75" s="32" t="s">
        <v>509</v>
      </c>
      <c r="CF75" s="32" t="s">
        <v>510</v>
      </c>
      <c r="CG75" s="32" t="s">
        <v>511</v>
      </c>
      <c r="CH75" s="32" t="s">
        <v>512</v>
      </c>
      <c r="CI75" s="32" t="s">
        <v>513</v>
      </c>
      <c r="CJ75" s="32" t="s">
        <v>514</v>
      </c>
      <c r="CK75" s="32" t="s">
        <v>515</v>
      </c>
      <c r="CL75" s="32" t="s">
        <v>516</v>
      </c>
      <c r="CM75" s="32" t="s">
        <v>517</v>
      </c>
      <c r="CN75" s="32" t="s">
        <v>518</v>
      </c>
      <c r="CO75" s="32" t="s">
        <v>519</v>
      </c>
      <c r="CP75" s="32" t="s">
        <v>520</v>
      </c>
      <c r="CQ75" s="32" t="s">
        <v>521</v>
      </c>
      <c r="CR75" s="32" t="s">
        <v>522</v>
      </c>
      <c r="CS75" s="32" t="s">
        <v>523</v>
      </c>
      <c r="CT75" s="32" t="s">
        <v>524</v>
      </c>
      <c r="CU75" s="32" t="s">
        <v>525</v>
      </c>
      <c r="CV75" s="32" t="s">
        <v>526</v>
      </c>
      <c r="CW75" s="32" t="s">
        <v>527</v>
      </c>
      <c r="CX75" s="32" t="s">
        <v>528</v>
      </c>
      <c r="CY75" s="32" t="s">
        <v>529</v>
      </c>
    </row>
    <row r="76" ht="15.0" customHeight="1">
      <c r="A76" s="24" t="s">
        <v>102</v>
      </c>
      <c r="B76" s="25" t="s">
        <v>103</v>
      </c>
      <c r="C76" s="26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</row>
    <row r="77" ht="15.0" customHeight="1">
      <c r="A77" s="24" t="s">
        <v>104</v>
      </c>
      <c r="B77" s="28" t="s">
        <v>105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</row>
    <row r="78" ht="15.0" customHeight="1">
      <c r="A78" s="24" t="s">
        <v>106</v>
      </c>
      <c r="B78" s="28" t="s">
        <v>107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</row>
    <row r="79" ht="15.0" customHeight="1">
      <c r="A79" s="24" t="s">
        <v>108</v>
      </c>
      <c r="B79" s="28" t="s">
        <v>105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</row>
    <row r="80" ht="15.0" customHeight="1">
      <c r="A80" s="24" t="s">
        <v>109</v>
      </c>
      <c r="B80" s="28" t="s">
        <v>107</v>
      </c>
      <c r="C80" s="29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</row>
    <row r="81" ht="15.0" customHeight="1">
      <c r="A81" s="24" t="s">
        <v>110</v>
      </c>
      <c r="B81" s="28" t="s">
        <v>105</v>
      </c>
      <c r="C81" s="25">
        <v>100.0</v>
      </c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</row>
    <row r="82" ht="15.0" customHeight="1">
      <c r="A82" s="24" t="s">
        <v>111</v>
      </c>
      <c r="B82" s="28" t="s">
        <v>112</v>
      </c>
      <c r="C82" s="25" t="s">
        <v>113</v>
      </c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</row>
    <row r="83" ht="15.0" customHeight="1">
      <c r="A83" s="24" t="s">
        <v>114</v>
      </c>
      <c r="B83" s="28" t="s">
        <v>115</v>
      </c>
      <c r="C83" s="25" t="s">
        <v>116</v>
      </c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</row>
    <row r="84" ht="15.0" customHeight="1">
      <c r="A84" s="24" t="s">
        <v>117</v>
      </c>
      <c r="B84" s="28" t="s">
        <v>118</v>
      </c>
      <c r="C84" s="25">
        <v>0.0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</row>
    <row r="85" ht="15.0" customHeight="1">
      <c r="A85" s="24" t="s">
        <v>119</v>
      </c>
      <c r="B85" s="28" t="s">
        <v>105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</row>
    <row r="86" ht="15.0" customHeight="1">
      <c r="A86" s="24" t="s">
        <v>120</v>
      </c>
      <c r="B86" s="28" t="s">
        <v>105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</row>
    <row r="87" ht="15.0" customHeight="1">
      <c r="A87" s="24" t="s">
        <v>121</v>
      </c>
      <c r="B87" s="28" t="s">
        <v>122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</row>
    <row r="88" ht="15.0" customHeight="1">
      <c r="A88" s="24" t="s">
        <v>123</v>
      </c>
      <c r="B88" s="28" t="s">
        <v>122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</row>
    <row r="89" ht="15.0" customHeight="1">
      <c r="A89" s="24" t="s">
        <v>124</v>
      </c>
      <c r="B89" s="28" t="s">
        <v>122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</row>
    <row r="90" ht="15.0" customHeight="1">
      <c r="A90" s="24" t="s">
        <v>125</v>
      </c>
      <c r="B90" s="28" t="s">
        <v>122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</row>
    <row r="91" ht="15.0" customHeight="1">
      <c r="A91" s="24" t="s">
        <v>126</v>
      </c>
      <c r="B91" s="28" t="s">
        <v>122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</row>
    <row r="92" ht="15.0" customHeight="1">
      <c r="A92" s="24" t="s">
        <v>127</v>
      </c>
      <c r="B92" s="28" t="s">
        <v>122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</row>
    <row r="93" ht="15.0" customHeight="1">
      <c r="A93" s="24" t="s">
        <v>128</v>
      </c>
      <c r="B93" s="25" t="s">
        <v>129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</row>
    <row r="94" ht="15.0" customHeight="1">
      <c r="A94" s="31"/>
      <c r="B94" s="31"/>
      <c r="C94" s="31"/>
      <c r="D94" s="32" t="s">
        <v>530</v>
      </c>
      <c r="E94" s="32" t="s">
        <v>531</v>
      </c>
      <c r="F94" s="32" t="s">
        <v>532</v>
      </c>
      <c r="G94" s="32" t="s">
        <v>533</v>
      </c>
      <c r="H94" s="32" t="s">
        <v>534</v>
      </c>
      <c r="I94" s="32" t="s">
        <v>535</v>
      </c>
      <c r="J94" s="32" t="s">
        <v>536</v>
      </c>
      <c r="K94" s="32" t="s">
        <v>537</v>
      </c>
      <c r="L94" s="32" t="s">
        <v>538</v>
      </c>
      <c r="M94" s="32" t="s">
        <v>539</v>
      </c>
      <c r="N94" s="32" t="s">
        <v>540</v>
      </c>
      <c r="O94" s="32" t="s">
        <v>541</v>
      </c>
      <c r="P94" s="32" t="s">
        <v>542</v>
      </c>
      <c r="Q94" s="32" t="s">
        <v>543</v>
      </c>
      <c r="R94" s="32" t="s">
        <v>544</v>
      </c>
      <c r="S94" s="32" t="s">
        <v>545</v>
      </c>
      <c r="T94" s="32" t="s">
        <v>546</v>
      </c>
      <c r="U94" s="32" t="s">
        <v>547</v>
      </c>
      <c r="V94" s="32" t="s">
        <v>548</v>
      </c>
      <c r="W94" s="32" t="s">
        <v>549</v>
      </c>
      <c r="X94" s="32" t="s">
        <v>550</v>
      </c>
      <c r="Y94" s="32" t="s">
        <v>551</v>
      </c>
      <c r="Z94" s="32" t="s">
        <v>552</v>
      </c>
      <c r="AA94" s="32" t="s">
        <v>553</v>
      </c>
      <c r="AB94" s="32" t="s">
        <v>554</v>
      </c>
      <c r="AC94" s="32" t="s">
        <v>555</v>
      </c>
      <c r="AD94" s="32" t="s">
        <v>556</v>
      </c>
      <c r="AE94" s="32" t="s">
        <v>557</v>
      </c>
      <c r="AF94" s="32" t="s">
        <v>558</v>
      </c>
      <c r="AG94" s="32" t="s">
        <v>559</v>
      </c>
      <c r="AH94" s="32" t="s">
        <v>560</v>
      </c>
      <c r="AI94" s="32" t="s">
        <v>561</v>
      </c>
      <c r="AJ94" s="32" t="s">
        <v>562</v>
      </c>
      <c r="AK94" s="32" t="s">
        <v>563</v>
      </c>
      <c r="AL94" s="32" t="s">
        <v>564</v>
      </c>
      <c r="AM94" s="32" t="s">
        <v>565</v>
      </c>
      <c r="AN94" s="32" t="s">
        <v>566</v>
      </c>
      <c r="AO94" s="32" t="s">
        <v>567</v>
      </c>
      <c r="AP94" s="32" t="s">
        <v>568</v>
      </c>
      <c r="AQ94" s="32" t="s">
        <v>569</v>
      </c>
      <c r="AR94" s="32" t="s">
        <v>570</v>
      </c>
      <c r="AS94" s="32" t="s">
        <v>571</v>
      </c>
      <c r="AT94" s="32" t="s">
        <v>572</v>
      </c>
      <c r="AU94" s="32" t="s">
        <v>573</v>
      </c>
      <c r="AV94" s="32" t="s">
        <v>574</v>
      </c>
      <c r="AW94" s="32" t="s">
        <v>575</v>
      </c>
      <c r="AX94" s="32" t="s">
        <v>576</v>
      </c>
      <c r="AY94" s="32" t="s">
        <v>577</v>
      </c>
      <c r="AZ94" s="32" t="s">
        <v>578</v>
      </c>
      <c r="BA94" s="32" t="s">
        <v>579</v>
      </c>
      <c r="BB94" s="32" t="s">
        <v>580</v>
      </c>
      <c r="BC94" s="32" t="s">
        <v>581</v>
      </c>
      <c r="BD94" s="32" t="s">
        <v>582</v>
      </c>
      <c r="BE94" s="32" t="s">
        <v>583</v>
      </c>
      <c r="BF94" s="32" t="s">
        <v>584</v>
      </c>
      <c r="BG94" s="32" t="s">
        <v>585</v>
      </c>
      <c r="BH94" s="32" t="s">
        <v>586</v>
      </c>
      <c r="BI94" s="32" t="s">
        <v>587</v>
      </c>
      <c r="BJ94" s="32" t="s">
        <v>588</v>
      </c>
      <c r="BK94" s="32" t="s">
        <v>589</v>
      </c>
      <c r="BL94" s="32" t="s">
        <v>590</v>
      </c>
      <c r="BM94" s="32" t="s">
        <v>591</v>
      </c>
      <c r="BN94" s="32" t="s">
        <v>592</v>
      </c>
      <c r="BO94" s="32" t="s">
        <v>593</v>
      </c>
      <c r="BP94" s="32" t="s">
        <v>594</v>
      </c>
      <c r="BQ94" s="32" t="s">
        <v>595</v>
      </c>
      <c r="BR94" s="32" t="s">
        <v>596</v>
      </c>
      <c r="BS94" s="32" t="s">
        <v>597</v>
      </c>
      <c r="BT94" s="32" t="s">
        <v>598</v>
      </c>
      <c r="BU94" s="32" t="s">
        <v>599</v>
      </c>
      <c r="BV94" s="32" t="s">
        <v>600</v>
      </c>
      <c r="BW94" s="32" t="s">
        <v>601</v>
      </c>
      <c r="BX94" s="32" t="s">
        <v>602</v>
      </c>
      <c r="BY94" s="32" t="s">
        <v>603</v>
      </c>
      <c r="BZ94" s="32" t="s">
        <v>604</v>
      </c>
      <c r="CA94" s="32" t="s">
        <v>605</v>
      </c>
      <c r="CB94" s="32" t="s">
        <v>606</v>
      </c>
      <c r="CC94" s="32" t="s">
        <v>607</v>
      </c>
      <c r="CD94" s="32" t="s">
        <v>608</v>
      </c>
      <c r="CE94" s="32" t="s">
        <v>609</v>
      </c>
      <c r="CF94" s="32" t="s">
        <v>610</v>
      </c>
      <c r="CG94" s="32" t="s">
        <v>611</v>
      </c>
      <c r="CH94" s="32" t="s">
        <v>612</v>
      </c>
      <c r="CI94" s="32" t="s">
        <v>613</v>
      </c>
      <c r="CJ94" s="32" t="s">
        <v>614</v>
      </c>
      <c r="CK94" s="32" t="s">
        <v>615</v>
      </c>
      <c r="CL94" s="32" t="s">
        <v>616</v>
      </c>
      <c r="CM94" s="32" t="s">
        <v>617</v>
      </c>
      <c r="CN94" s="32" t="s">
        <v>618</v>
      </c>
      <c r="CO94" s="32" t="s">
        <v>619</v>
      </c>
      <c r="CP94" s="32" t="s">
        <v>620</v>
      </c>
      <c r="CQ94" s="32" t="s">
        <v>621</v>
      </c>
      <c r="CR94" s="32" t="s">
        <v>622</v>
      </c>
      <c r="CS94" s="32" t="s">
        <v>623</v>
      </c>
      <c r="CT94" s="32" t="s">
        <v>624</v>
      </c>
      <c r="CU94" s="32" t="s">
        <v>625</v>
      </c>
      <c r="CV94" s="32" t="s">
        <v>626</v>
      </c>
      <c r="CW94" s="32" t="s">
        <v>627</v>
      </c>
      <c r="CX94" s="32" t="s">
        <v>628</v>
      </c>
      <c r="CY94" s="32" t="s">
        <v>629</v>
      </c>
    </row>
    <row r="95" ht="15.0" customHeight="1">
      <c r="A95" s="24" t="s">
        <v>102</v>
      </c>
      <c r="B95" s="25" t="s">
        <v>103</v>
      </c>
      <c r="C95" s="26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</row>
    <row r="96" ht="15.0" customHeight="1">
      <c r="A96" s="24" t="s">
        <v>104</v>
      </c>
      <c r="B96" s="28" t="s">
        <v>105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</row>
    <row r="97" ht="15.0" customHeight="1">
      <c r="A97" s="24" t="s">
        <v>106</v>
      </c>
      <c r="B97" s="28" t="s">
        <v>107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</row>
    <row r="98" ht="15.0" customHeight="1">
      <c r="A98" s="24" t="s">
        <v>108</v>
      </c>
      <c r="B98" s="28" t="s">
        <v>105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</row>
    <row r="99" ht="15.0" customHeight="1">
      <c r="A99" s="24" t="s">
        <v>109</v>
      </c>
      <c r="B99" s="28" t="s">
        <v>107</v>
      </c>
      <c r="C99" s="29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</row>
    <row r="100" ht="15.0" customHeight="1">
      <c r="A100" s="24" t="s">
        <v>110</v>
      </c>
      <c r="B100" s="28" t="s">
        <v>105</v>
      </c>
      <c r="C100" s="25">
        <v>100.0</v>
      </c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</row>
    <row r="101" ht="15.0" customHeight="1">
      <c r="A101" s="24" t="s">
        <v>111</v>
      </c>
      <c r="B101" s="28" t="s">
        <v>112</v>
      </c>
      <c r="C101" s="25" t="s">
        <v>113</v>
      </c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</row>
    <row r="102" ht="15.0" customHeight="1">
      <c r="A102" s="24" t="s">
        <v>114</v>
      </c>
      <c r="B102" s="28" t="s">
        <v>115</v>
      </c>
      <c r="C102" s="25" t="s">
        <v>116</v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</row>
    <row r="103" ht="15.0" customHeight="1">
      <c r="A103" s="24" t="s">
        <v>117</v>
      </c>
      <c r="B103" s="28" t="s">
        <v>118</v>
      </c>
      <c r="C103" s="25">
        <v>0.0</v>
      </c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</row>
    <row r="104" ht="15.0" customHeight="1">
      <c r="A104" s="24" t="s">
        <v>119</v>
      </c>
      <c r="B104" s="28" t="s">
        <v>105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</row>
    <row r="105" ht="15.0" customHeight="1">
      <c r="A105" s="24" t="s">
        <v>120</v>
      </c>
      <c r="B105" s="28" t="s">
        <v>105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</row>
    <row r="106" ht="15.0" customHeight="1">
      <c r="A106" s="24" t="s">
        <v>121</v>
      </c>
      <c r="B106" s="28" t="s">
        <v>122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</row>
    <row r="107" ht="15.0" customHeight="1">
      <c r="A107" s="24" t="s">
        <v>123</v>
      </c>
      <c r="B107" s="28" t="s">
        <v>122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</row>
    <row r="108" ht="15.0" customHeight="1">
      <c r="A108" s="24" t="s">
        <v>124</v>
      </c>
      <c r="B108" s="28" t="s">
        <v>122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</row>
    <row r="109" ht="15.0" customHeight="1">
      <c r="A109" s="24" t="s">
        <v>125</v>
      </c>
      <c r="B109" s="28" t="s">
        <v>122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</row>
    <row r="110" ht="15.0" customHeight="1">
      <c r="A110" s="24" t="s">
        <v>126</v>
      </c>
      <c r="B110" s="28" t="s">
        <v>122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</row>
    <row r="111" ht="15.0" customHeight="1">
      <c r="A111" s="24" t="s">
        <v>127</v>
      </c>
      <c r="B111" s="28" t="s">
        <v>122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</row>
    <row r="112" ht="15.0" customHeight="1">
      <c r="A112" s="24" t="s">
        <v>128</v>
      </c>
      <c r="B112" s="25" t="s">
        <v>129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</row>
    <row r="113" ht="15.0" customHeight="1">
      <c r="A113" s="31"/>
      <c r="B113" s="31"/>
      <c r="C113" s="31"/>
      <c r="D113" s="32" t="s">
        <v>630</v>
      </c>
      <c r="E113" s="32" t="s">
        <v>631</v>
      </c>
      <c r="F113" s="32" t="s">
        <v>632</v>
      </c>
      <c r="G113" s="32" t="s">
        <v>633</v>
      </c>
      <c r="H113" s="32" t="s">
        <v>634</v>
      </c>
      <c r="I113" s="32" t="s">
        <v>635</v>
      </c>
      <c r="J113" s="32" t="s">
        <v>636</v>
      </c>
      <c r="K113" s="32" t="s">
        <v>637</v>
      </c>
      <c r="L113" s="32" t="s">
        <v>638</v>
      </c>
      <c r="M113" s="32" t="s">
        <v>639</v>
      </c>
      <c r="N113" s="32" t="s">
        <v>640</v>
      </c>
      <c r="O113" s="32" t="s">
        <v>641</v>
      </c>
      <c r="P113" s="32" t="s">
        <v>642</v>
      </c>
      <c r="Q113" s="32" t="s">
        <v>643</v>
      </c>
      <c r="R113" s="32" t="s">
        <v>644</v>
      </c>
      <c r="S113" s="32" t="s">
        <v>645</v>
      </c>
      <c r="T113" s="32" t="s">
        <v>646</v>
      </c>
      <c r="U113" s="32" t="s">
        <v>647</v>
      </c>
      <c r="V113" s="32" t="s">
        <v>648</v>
      </c>
      <c r="W113" s="32" t="s">
        <v>649</v>
      </c>
      <c r="X113" s="32" t="s">
        <v>650</v>
      </c>
      <c r="Y113" s="32" t="s">
        <v>651</v>
      </c>
      <c r="Z113" s="32" t="s">
        <v>652</v>
      </c>
      <c r="AA113" s="32" t="s">
        <v>653</v>
      </c>
      <c r="AB113" s="32" t="s">
        <v>654</v>
      </c>
      <c r="AC113" s="32" t="s">
        <v>655</v>
      </c>
      <c r="AD113" s="32" t="s">
        <v>656</v>
      </c>
      <c r="AE113" s="32" t="s">
        <v>657</v>
      </c>
      <c r="AF113" s="32" t="s">
        <v>658</v>
      </c>
      <c r="AG113" s="32" t="s">
        <v>659</v>
      </c>
      <c r="AH113" s="32" t="s">
        <v>660</v>
      </c>
      <c r="AI113" s="32" t="s">
        <v>661</v>
      </c>
      <c r="AJ113" s="32" t="s">
        <v>662</v>
      </c>
      <c r="AK113" s="32" t="s">
        <v>663</v>
      </c>
      <c r="AL113" s="32" t="s">
        <v>664</v>
      </c>
      <c r="AM113" s="32" t="s">
        <v>665</v>
      </c>
      <c r="AN113" s="32" t="s">
        <v>666</v>
      </c>
      <c r="AO113" s="32" t="s">
        <v>667</v>
      </c>
      <c r="AP113" s="32" t="s">
        <v>668</v>
      </c>
      <c r="AQ113" s="32" t="s">
        <v>669</v>
      </c>
      <c r="AR113" s="32" t="s">
        <v>670</v>
      </c>
      <c r="AS113" s="32" t="s">
        <v>671</v>
      </c>
      <c r="AT113" s="32" t="s">
        <v>672</v>
      </c>
      <c r="AU113" s="32" t="s">
        <v>673</v>
      </c>
      <c r="AV113" s="32" t="s">
        <v>674</v>
      </c>
      <c r="AW113" s="32" t="s">
        <v>675</v>
      </c>
      <c r="AX113" s="32" t="s">
        <v>676</v>
      </c>
      <c r="AY113" s="32" t="s">
        <v>677</v>
      </c>
      <c r="AZ113" s="32" t="s">
        <v>678</v>
      </c>
      <c r="BA113" s="32" t="s">
        <v>679</v>
      </c>
      <c r="BB113" s="32" t="s">
        <v>680</v>
      </c>
      <c r="BC113" s="32" t="s">
        <v>681</v>
      </c>
      <c r="BD113" s="32" t="s">
        <v>682</v>
      </c>
      <c r="BE113" s="32" t="s">
        <v>683</v>
      </c>
      <c r="BF113" s="32" t="s">
        <v>684</v>
      </c>
      <c r="BG113" s="32" t="s">
        <v>685</v>
      </c>
      <c r="BH113" s="32" t="s">
        <v>686</v>
      </c>
      <c r="BI113" s="32" t="s">
        <v>687</v>
      </c>
      <c r="BJ113" s="32" t="s">
        <v>688</v>
      </c>
      <c r="BK113" s="32" t="s">
        <v>689</v>
      </c>
      <c r="BL113" s="32" t="s">
        <v>690</v>
      </c>
      <c r="BM113" s="32" t="s">
        <v>691</v>
      </c>
      <c r="BN113" s="32" t="s">
        <v>692</v>
      </c>
      <c r="BO113" s="32" t="s">
        <v>693</v>
      </c>
      <c r="BP113" s="32" t="s">
        <v>694</v>
      </c>
      <c r="BQ113" s="32" t="s">
        <v>695</v>
      </c>
      <c r="BR113" s="32" t="s">
        <v>696</v>
      </c>
      <c r="BS113" s="32" t="s">
        <v>697</v>
      </c>
      <c r="BT113" s="32" t="s">
        <v>698</v>
      </c>
      <c r="BU113" s="32" t="s">
        <v>699</v>
      </c>
      <c r="BV113" s="32" t="s">
        <v>700</v>
      </c>
      <c r="BW113" s="32" t="s">
        <v>701</v>
      </c>
      <c r="BX113" s="32" t="s">
        <v>702</v>
      </c>
      <c r="BY113" s="32" t="s">
        <v>703</v>
      </c>
      <c r="BZ113" s="32" t="s">
        <v>704</v>
      </c>
      <c r="CA113" s="32" t="s">
        <v>705</v>
      </c>
      <c r="CB113" s="32" t="s">
        <v>706</v>
      </c>
      <c r="CC113" s="32" t="s">
        <v>707</v>
      </c>
      <c r="CD113" s="32" t="s">
        <v>708</v>
      </c>
      <c r="CE113" s="32" t="s">
        <v>709</v>
      </c>
      <c r="CF113" s="32" t="s">
        <v>710</v>
      </c>
      <c r="CG113" s="32" t="s">
        <v>711</v>
      </c>
      <c r="CH113" s="32" t="s">
        <v>712</v>
      </c>
      <c r="CI113" s="32" t="s">
        <v>713</v>
      </c>
      <c r="CJ113" s="32" t="s">
        <v>714</v>
      </c>
      <c r="CK113" s="32" t="s">
        <v>715</v>
      </c>
      <c r="CL113" s="32" t="s">
        <v>716</v>
      </c>
      <c r="CM113" s="32" t="s">
        <v>717</v>
      </c>
      <c r="CN113" s="32" t="s">
        <v>718</v>
      </c>
      <c r="CO113" s="32" t="s">
        <v>719</v>
      </c>
      <c r="CP113" s="32" t="s">
        <v>720</v>
      </c>
      <c r="CQ113" s="32" t="s">
        <v>721</v>
      </c>
      <c r="CR113" s="32" t="s">
        <v>722</v>
      </c>
      <c r="CS113" s="32" t="s">
        <v>723</v>
      </c>
      <c r="CT113" s="32" t="s">
        <v>724</v>
      </c>
      <c r="CU113" s="32" t="s">
        <v>725</v>
      </c>
      <c r="CV113" s="32" t="s">
        <v>726</v>
      </c>
      <c r="CW113" s="32" t="s">
        <v>727</v>
      </c>
      <c r="CX113" s="32" t="s">
        <v>728</v>
      </c>
      <c r="CY113" s="32" t="s">
        <v>729</v>
      </c>
    </row>
    <row r="114" ht="15.0" customHeight="1">
      <c r="A114" s="24" t="s">
        <v>102</v>
      </c>
      <c r="B114" s="25" t="s">
        <v>103</v>
      </c>
      <c r="C114" s="26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</row>
    <row r="115" ht="15.0" customHeight="1">
      <c r="A115" s="24" t="s">
        <v>104</v>
      </c>
      <c r="B115" s="28" t="s">
        <v>105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</row>
    <row r="116" ht="15.0" customHeight="1">
      <c r="A116" s="24" t="s">
        <v>106</v>
      </c>
      <c r="B116" s="28" t="s">
        <v>107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</row>
    <row r="117" ht="15.0" customHeight="1">
      <c r="A117" s="24" t="s">
        <v>108</v>
      </c>
      <c r="B117" s="28" t="s">
        <v>105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</row>
    <row r="118" ht="15.0" customHeight="1">
      <c r="A118" s="24" t="s">
        <v>109</v>
      </c>
      <c r="B118" s="28" t="s">
        <v>107</v>
      </c>
      <c r="C118" s="29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</row>
    <row r="119" ht="15.0" customHeight="1">
      <c r="A119" s="24" t="s">
        <v>110</v>
      </c>
      <c r="B119" s="28" t="s">
        <v>105</v>
      </c>
      <c r="C119" s="25">
        <v>100.0</v>
      </c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</row>
    <row r="120" ht="15.0" customHeight="1">
      <c r="A120" s="24" t="s">
        <v>111</v>
      </c>
      <c r="B120" s="28" t="s">
        <v>112</v>
      </c>
      <c r="C120" s="25" t="s">
        <v>113</v>
      </c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</row>
    <row r="121" ht="15.0" customHeight="1">
      <c r="A121" s="24" t="s">
        <v>114</v>
      </c>
      <c r="B121" s="28" t="s">
        <v>115</v>
      </c>
      <c r="C121" s="25" t="s">
        <v>116</v>
      </c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</row>
    <row r="122" ht="15.0" customHeight="1">
      <c r="A122" s="24" t="s">
        <v>117</v>
      </c>
      <c r="B122" s="28" t="s">
        <v>118</v>
      </c>
      <c r="C122" s="25">
        <v>0.0</v>
      </c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</row>
    <row r="123" ht="15.0" customHeight="1">
      <c r="A123" s="24" t="s">
        <v>119</v>
      </c>
      <c r="B123" s="28" t="s">
        <v>105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</row>
    <row r="124" ht="15.0" customHeight="1">
      <c r="A124" s="24" t="s">
        <v>120</v>
      </c>
      <c r="B124" s="28" t="s">
        <v>105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</row>
    <row r="125" ht="15.0" customHeight="1">
      <c r="A125" s="24" t="s">
        <v>121</v>
      </c>
      <c r="B125" s="28" t="s">
        <v>122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</row>
    <row r="126" ht="15.0" customHeight="1">
      <c r="A126" s="24" t="s">
        <v>123</v>
      </c>
      <c r="B126" s="28" t="s">
        <v>122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</row>
    <row r="127" ht="15.0" customHeight="1">
      <c r="A127" s="24" t="s">
        <v>124</v>
      </c>
      <c r="B127" s="28" t="s">
        <v>122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</row>
    <row r="128" ht="15.0" customHeight="1">
      <c r="A128" s="24" t="s">
        <v>125</v>
      </c>
      <c r="B128" s="28" t="s">
        <v>122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</row>
    <row r="129" ht="15.0" customHeight="1">
      <c r="A129" s="24" t="s">
        <v>126</v>
      </c>
      <c r="B129" s="28" t="s">
        <v>122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</row>
    <row r="130" ht="15.0" customHeight="1">
      <c r="A130" s="24" t="s">
        <v>127</v>
      </c>
      <c r="B130" s="28" t="s">
        <v>122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</row>
    <row r="131" ht="15.0" customHeight="1">
      <c r="A131" s="24" t="s">
        <v>128</v>
      </c>
      <c r="B131" s="25" t="s">
        <v>129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</row>
    <row r="132" ht="15.0" customHeight="1">
      <c r="A132" s="31"/>
      <c r="B132" s="31"/>
      <c r="C132" s="31"/>
      <c r="D132" s="32" t="s">
        <v>730</v>
      </c>
      <c r="E132" s="32" t="s">
        <v>731</v>
      </c>
      <c r="F132" s="32" t="s">
        <v>732</v>
      </c>
      <c r="G132" s="32" t="s">
        <v>733</v>
      </c>
      <c r="H132" s="32" t="s">
        <v>734</v>
      </c>
      <c r="I132" s="32" t="s">
        <v>735</v>
      </c>
      <c r="J132" s="32" t="s">
        <v>736</v>
      </c>
      <c r="K132" s="32" t="s">
        <v>737</v>
      </c>
      <c r="L132" s="32" t="s">
        <v>738</v>
      </c>
      <c r="M132" s="32" t="s">
        <v>739</v>
      </c>
      <c r="N132" s="32" t="s">
        <v>740</v>
      </c>
      <c r="O132" s="32" t="s">
        <v>741</v>
      </c>
      <c r="P132" s="32" t="s">
        <v>742</v>
      </c>
      <c r="Q132" s="32" t="s">
        <v>743</v>
      </c>
      <c r="R132" s="32" t="s">
        <v>744</v>
      </c>
      <c r="S132" s="32" t="s">
        <v>745</v>
      </c>
      <c r="T132" s="32" t="s">
        <v>746</v>
      </c>
      <c r="U132" s="32" t="s">
        <v>747</v>
      </c>
      <c r="V132" s="32" t="s">
        <v>748</v>
      </c>
      <c r="W132" s="32" t="s">
        <v>749</v>
      </c>
      <c r="X132" s="32" t="s">
        <v>750</v>
      </c>
      <c r="Y132" s="32" t="s">
        <v>751</v>
      </c>
      <c r="Z132" s="32" t="s">
        <v>752</v>
      </c>
      <c r="AA132" s="32" t="s">
        <v>753</v>
      </c>
      <c r="AB132" s="32" t="s">
        <v>754</v>
      </c>
      <c r="AC132" s="32" t="s">
        <v>755</v>
      </c>
      <c r="AD132" s="32" t="s">
        <v>756</v>
      </c>
      <c r="AE132" s="32" t="s">
        <v>757</v>
      </c>
      <c r="AF132" s="32" t="s">
        <v>758</v>
      </c>
      <c r="AG132" s="32" t="s">
        <v>759</v>
      </c>
      <c r="AH132" s="32" t="s">
        <v>760</v>
      </c>
      <c r="AI132" s="32" t="s">
        <v>761</v>
      </c>
      <c r="AJ132" s="32" t="s">
        <v>762</v>
      </c>
      <c r="AK132" s="32" t="s">
        <v>763</v>
      </c>
      <c r="AL132" s="32" t="s">
        <v>764</v>
      </c>
      <c r="AM132" s="32" t="s">
        <v>765</v>
      </c>
      <c r="AN132" s="32" t="s">
        <v>766</v>
      </c>
      <c r="AO132" s="32" t="s">
        <v>767</v>
      </c>
      <c r="AP132" s="32" t="s">
        <v>768</v>
      </c>
      <c r="AQ132" s="32" t="s">
        <v>769</v>
      </c>
      <c r="AR132" s="32" t="s">
        <v>770</v>
      </c>
      <c r="AS132" s="32" t="s">
        <v>771</v>
      </c>
      <c r="AT132" s="32" t="s">
        <v>772</v>
      </c>
      <c r="AU132" s="32" t="s">
        <v>773</v>
      </c>
      <c r="AV132" s="32" t="s">
        <v>774</v>
      </c>
      <c r="AW132" s="32" t="s">
        <v>775</v>
      </c>
      <c r="AX132" s="32" t="s">
        <v>776</v>
      </c>
      <c r="AY132" s="32" t="s">
        <v>777</v>
      </c>
      <c r="AZ132" s="32" t="s">
        <v>778</v>
      </c>
      <c r="BA132" s="32" t="s">
        <v>779</v>
      </c>
      <c r="BB132" s="32" t="s">
        <v>780</v>
      </c>
      <c r="BC132" s="32" t="s">
        <v>781</v>
      </c>
      <c r="BD132" s="32" t="s">
        <v>782</v>
      </c>
      <c r="BE132" s="32" t="s">
        <v>783</v>
      </c>
      <c r="BF132" s="32" t="s">
        <v>784</v>
      </c>
      <c r="BG132" s="32" t="s">
        <v>785</v>
      </c>
      <c r="BH132" s="32" t="s">
        <v>786</v>
      </c>
      <c r="BI132" s="32" t="s">
        <v>787</v>
      </c>
      <c r="BJ132" s="32" t="s">
        <v>788</v>
      </c>
      <c r="BK132" s="32" t="s">
        <v>789</v>
      </c>
      <c r="BL132" s="32" t="s">
        <v>790</v>
      </c>
      <c r="BM132" s="32" t="s">
        <v>791</v>
      </c>
      <c r="BN132" s="32" t="s">
        <v>792</v>
      </c>
      <c r="BO132" s="32" t="s">
        <v>793</v>
      </c>
      <c r="BP132" s="32" t="s">
        <v>794</v>
      </c>
      <c r="BQ132" s="32" t="s">
        <v>795</v>
      </c>
      <c r="BR132" s="32" t="s">
        <v>796</v>
      </c>
      <c r="BS132" s="32" t="s">
        <v>797</v>
      </c>
      <c r="BT132" s="32" t="s">
        <v>798</v>
      </c>
      <c r="BU132" s="32" t="s">
        <v>799</v>
      </c>
      <c r="BV132" s="32" t="s">
        <v>800</v>
      </c>
      <c r="BW132" s="32" t="s">
        <v>801</v>
      </c>
      <c r="BX132" s="32" t="s">
        <v>802</v>
      </c>
      <c r="BY132" s="32" t="s">
        <v>803</v>
      </c>
      <c r="BZ132" s="32" t="s">
        <v>804</v>
      </c>
      <c r="CA132" s="32" t="s">
        <v>805</v>
      </c>
      <c r="CB132" s="32" t="s">
        <v>806</v>
      </c>
      <c r="CC132" s="32" t="s">
        <v>807</v>
      </c>
      <c r="CD132" s="32" t="s">
        <v>808</v>
      </c>
      <c r="CE132" s="32" t="s">
        <v>809</v>
      </c>
      <c r="CF132" s="32" t="s">
        <v>810</v>
      </c>
      <c r="CG132" s="32" t="s">
        <v>811</v>
      </c>
      <c r="CH132" s="32" t="s">
        <v>812</v>
      </c>
      <c r="CI132" s="32" t="s">
        <v>813</v>
      </c>
      <c r="CJ132" s="32" t="s">
        <v>814</v>
      </c>
      <c r="CK132" s="32" t="s">
        <v>815</v>
      </c>
      <c r="CL132" s="32" t="s">
        <v>816</v>
      </c>
      <c r="CM132" s="32" t="s">
        <v>817</v>
      </c>
      <c r="CN132" s="32" t="s">
        <v>818</v>
      </c>
      <c r="CO132" s="32" t="s">
        <v>819</v>
      </c>
      <c r="CP132" s="32" t="s">
        <v>820</v>
      </c>
      <c r="CQ132" s="32" t="s">
        <v>821</v>
      </c>
      <c r="CR132" s="32" t="s">
        <v>822</v>
      </c>
      <c r="CS132" s="32" t="s">
        <v>823</v>
      </c>
      <c r="CT132" s="32" t="s">
        <v>824</v>
      </c>
      <c r="CU132" s="32" t="s">
        <v>825</v>
      </c>
      <c r="CV132" s="32" t="s">
        <v>826</v>
      </c>
      <c r="CW132" s="32" t="s">
        <v>827</v>
      </c>
      <c r="CX132" s="32" t="s">
        <v>828</v>
      </c>
      <c r="CY132" s="32" t="s">
        <v>829</v>
      </c>
    </row>
    <row r="133" ht="15.0" customHeight="1">
      <c r="A133" s="24" t="s">
        <v>102</v>
      </c>
      <c r="B133" s="25" t="s">
        <v>103</v>
      </c>
      <c r="C133" s="26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</row>
    <row r="134" ht="15.0" customHeight="1">
      <c r="A134" s="24" t="s">
        <v>104</v>
      </c>
      <c r="B134" s="28" t="s">
        <v>105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</row>
    <row r="135" ht="15.0" customHeight="1">
      <c r="A135" s="24" t="s">
        <v>106</v>
      </c>
      <c r="B135" s="28" t="s">
        <v>107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</row>
    <row r="136" ht="15.0" customHeight="1">
      <c r="A136" s="24" t="s">
        <v>108</v>
      </c>
      <c r="B136" s="28" t="s">
        <v>105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</row>
    <row r="137" ht="15.0" customHeight="1">
      <c r="A137" s="24" t="s">
        <v>109</v>
      </c>
      <c r="B137" s="28" t="s">
        <v>107</v>
      </c>
      <c r="C137" s="29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</row>
    <row r="138" ht="15.0" customHeight="1">
      <c r="A138" s="24" t="s">
        <v>110</v>
      </c>
      <c r="B138" s="28" t="s">
        <v>105</v>
      </c>
      <c r="C138" s="25">
        <v>100.0</v>
      </c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</row>
    <row r="139" ht="15.0" customHeight="1">
      <c r="A139" s="24" t="s">
        <v>111</v>
      </c>
      <c r="B139" s="28" t="s">
        <v>112</v>
      </c>
      <c r="C139" s="25" t="s">
        <v>113</v>
      </c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</row>
    <row r="140" ht="15.0" customHeight="1">
      <c r="A140" s="24" t="s">
        <v>114</v>
      </c>
      <c r="B140" s="28" t="s">
        <v>115</v>
      </c>
      <c r="C140" s="25" t="s">
        <v>116</v>
      </c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</row>
    <row r="141" ht="15.0" customHeight="1">
      <c r="A141" s="24" t="s">
        <v>117</v>
      </c>
      <c r="B141" s="28" t="s">
        <v>118</v>
      </c>
      <c r="C141" s="25">
        <v>0.0</v>
      </c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</row>
    <row r="142" ht="15.0" customHeight="1">
      <c r="A142" s="24" t="s">
        <v>119</v>
      </c>
      <c r="B142" s="28" t="s">
        <v>105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</row>
    <row r="143" ht="15.0" customHeight="1">
      <c r="A143" s="24" t="s">
        <v>120</v>
      </c>
      <c r="B143" s="28" t="s">
        <v>105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</row>
    <row r="144" ht="15.0" customHeight="1">
      <c r="A144" s="24" t="s">
        <v>121</v>
      </c>
      <c r="B144" s="28" t="s">
        <v>122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</row>
    <row r="145" ht="15.0" customHeight="1">
      <c r="A145" s="24" t="s">
        <v>123</v>
      </c>
      <c r="B145" s="28" t="s">
        <v>122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</row>
    <row r="146" ht="15.0" customHeight="1">
      <c r="A146" s="24" t="s">
        <v>124</v>
      </c>
      <c r="B146" s="28" t="s">
        <v>122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</row>
    <row r="147" ht="15.0" customHeight="1">
      <c r="A147" s="24" t="s">
        <v>125</v>
      </c>
      <c r="B147" s="28" t="s">
        <v>122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</row>
    <row r="148" ht="15.0" customHeight="1">
      <c r="A148" s="24" t="s">
        <v>126</v>
      </c>
      <c r="B148" s="28" t="s">
        <v>122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</row>
    <row r="149" ht="15.0" customHeight="1">
      <c r="A149" s="24" t="s">
        <v>127</v>
      </c>
      <c r="B149" s="28" t="s">
        <v>122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</row>
    <row r="150" ht="15.0" customHeight="1">
      <c r="A150" s="24" t="s">
        <v>128</v>
      </c>
      <c r="B150" s="25" t="s">
        <v>129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</row>
    <row r="151" ht="15.0" customHeight="1">
      <c r="A151" s="31"/>
      <c r="B151" s="31"/>
      <c r="C151" s="31"/>
      <c r="D151" s="32" t="s">
        <v>830</v>
      </c>
      <c r="E151" s="32" t="s">
        <v>831</v>
      </c>
      <c r="F151" s="32" t="s">
        <v>832</v>
      </c>
      <c r="G151" s="32" t="s">
        <v>833</v>
      </c>
      <c r="H151" s="32" t="s">
        <v>834</v>
      </c>
      <c r="I151" s="32" t="s">
        <v>835</v>
      </c>
      <c r="J151" s="32" t="s">
        <v>836</v>
      </c>
      <c r="K151" s="32" t="s">
        <v>837</v>
      </c>
      <c r="L151" s="32" t="s">
        <v>838</v>
      </c>
      <c r="M151" s="32" t="s">
        <v>839</v>
      </c>
      <c r="N151" s="32" t="s">
        <v>840</v>
      </c>
      <c r="O151" s="32" t="s">
        <v>841</v>
      </c>
      <c r="P151" s="32" t="s">
        <v>842</v>
      </c>
      <c r="Q151" s="32" t="s">
        <v>843</v>
      </c>
      <c r="R151" s="32" t="s">
        <v>844</v>
      </c>
      <c r="S151" s="32" t="s">
        <v>845</v>
      </c>
      <c r="T151" s="32" t="s">
        <v>846</v>
      </c>
      <c r="U151" s="32" t="s">
        <v>847</v>
      </c>
      <c r="V151" s="32" t="s">
        <v>848</v>
      </c>
      <c r="W151" s="32" t="s">
        <v>849</v>
      </c>
      <c r="X151" s="32" t="s">
        <v>850</v>
      </c>
      <c r="Y151" s="32" t="s">
        <v>851</v>
      </c>
      <c r="Z151" s="32" t="s">
        <v>852</v>
      </c>
      <c r="AA151" s="32" t="s">
        <v>853</v>
      </c>
      <c r="AB151" s="32" t="s">
        <v>854</v>
      </c>
      <c r="AC151" s="32" t="s">
        <v>855</v>
      </c>
      <c r="AD151" s="32" t="s">
        <v>856</v>
      </c>
      <c r="AE151" s="32" t="s">
        <v>857</v>
      </c>
      <c r="AF151" s="32" t="s">
        <v>858</v>
      </c>
      <c r="AG151" s="32" t="s">
        <v>859</v>
      </c>
      <c r="AH151" s="32" t="s">
        <v>860</v>
      </c>
      <c r="AI151" s="32" t="s">
        <v>861</v>
      </c>
      <c r="AJ151" s="32" t="s">
        <v>862</v>
      </c>
      <c r="AK151" s="32" t="s">
        <v>863</v>
      </c>
      <c r="AL151" s="32" t="s">
        <v>864</v>
      </c>
      <c r="AM151" s="32" t="s">
        <v>865</v>
      </c>
      <c r="AN151" s="32" t="s">
        <v>866</v>
      </c>
      <c r="AO151" s="32" t="s">
        <v>867</v>
      </c>
      <c r="AP151" s="32" t="s">
        <v>868</v>
      </c>
      <c r="AQ151" s="32" t="s">
        <v>869</v>
      </c>
      <c r="AR151" s="32" t="s">
        <v>870</v>
      </c>
      <c r="AS151" s="32" t="s">
        <v>871</v>
      </c>
      <c r="AT151" s="32" t="s">
        <v>872</v>
      </c>
      <c r="AU151" s="32" t="s">
        <v>873</v>
      </c>
      <c r="AV151" s="32" t="s">
        <v>874</v>
      </c>
      <c r="AW151" s="32" t="s">
        <v>875</v>
      </c>
      <c r="AX151" s="32" t="s">
        <v>876</v>
      </c>
      <c r="AY151" s="32" t="s">
        <v>877</v>
      </c>
      <c r="AZ151" s="32" t="s">
        <v>878</v>
      </c>
      <c r="BA151" s="32" t="s">
        <v>879</v>
      </c>
      <c r="BB151" s="32" t="s">
        <v>880</v>
      </c>
      <c r="BC151" s="32" t="s">
        <v>881</v>
      </c>
      <c r="BD151" s="32" t="s">
        <v>882</v>
      </c>
      <c r="BE151" s="32" t="s">
        <v>883</v>
      </c>
      <c r="BF151" s="32" t="s">
        <v>884</v>
      </c>
      <c r="BG151" s="32" t="s">
        <v>885</v>
      </c>
      <c r="BH151" s="32" t="s">
        <v>886</v>
      </c>
      <c r="BI151" s="32" t="s">
        <v>887</v>
      </c>
      <c r="BJ151" s="32" t="s">
        <v>888</v>
      </c>
      <c r="BK151" s="32" t="s">
        <v>889</v>
      </c>
      <c r="BL151" s="32" t="s">
        <v>890</v>
      </c>
      <c r="BM151" s="32" t="s">
        <v>891</v>
      </c>
      <c r="BN151" s="32" t="s">
        <v>892</v>
      </c>
      <c r="BO151" s="32" t="s">
        <v>893</v>
      </c>
      <c r="BP151" s="32" t="s">
        <v>894</v>
      </c>
      <c r="BQ151" s="32" t="s">
        <v>895</v>
      </c>
      <c r="BR151" s="32" t="s">
        <v>896</v>
      </c>
      <c r="BS151" s="32" t="s">
        <v>897</v>
      </c>
      <c r="BT151" s="32" t="s">
        <v>898</v>
      </c>
      <c r="BU151" s="32" t="s">
        <v>899</v>
      </c>
      <c r="BV151" s="32" t="s">
        <v>900</v>
      </c>
      <c r="BW151" s="32" t="s">
        <v>901</v>
      </c>
      <c r="BX151" s="32" t="s">
        <v>902</v>
      </c>
      <c r="BY151" s="32" t="s">
        <v>903</v>
      </c>
      <c r="BZ151" s="32" t="s">
        <v>904</v>
      </c>
      <c r="CA151" s="32" t="s">
        <v>905</v>
      </c>
      <c r="CB151" s="32" t="s">
        <v>906</v>
      </c>
      <c r="CC151" s="32" t="s">
        <v>907</v>
      </c>
      <c r="CD151" s="32" t="s">
        <v>908</v>
      </c>
      <c r="CE151" s="32" t="s">
        <v>909</v>
      </c>
      <c r="CF151" s="32" t="s">
        <v>910</v>
      </c>
      <c r="CG151" s="32" t="s">
        <v>911</v>
      </c>
      <c r="CH151" s="32" t="s">
        <v>912</v>
      </c>
      <c r="CI151" s="32" t="s">
        <v>913</v>
      </c>
      <c r="CJ151" s="32" t="s">
        <v>914</v>
      </c>
      <c r="CK151" s="32" t="s">
        <v>915</v>
      </c>
      <c r="CL151" s="32" t="s">
        <v>916</v>
      </c>
      <c r="CM151" s="32" t="s">
        <v>917</v>
      </c>
      <c r="CN151" s="32" t="s">
        <v>918</v>
      </c>
      <c r="CO151" s="32" t="s">
        <v>919</v>
      </c>
      <c r="CP151" s="32" t="s">
        <v>920</v>
      </c>
      <c r="CQ151" s="32" t="s">
        <v>921</v>
      </c>
      <c r="CR151" s="32" t="s">
        <v>922</v>
      </c>
      <c r="CS151" s="32" t="s">
        <v>923</v>
      </c>
      <c r="CT151" s="32" t="s">
        <v>924</v>
      </c>
      <c r="CU151" s="32" t="s">
        <v>925</v>
      </c>
      <c r="CV151" s="32" t="s">
        <v>926</v>
      </c>
      <c r="CW151" s="32" t="s">
        <v>927</v>
      </c>
      <c r="CX151" s="32" t="s">
        <v>928</v>
      </c>
      <c r="CY151" s="32" t="s">
        <v>929</v>
      </c>
    </row>
    <row r="152" ht="15.0" customHeight="1">
      <c r="A152" s="24" t="s">
        <v>102</v>
      </c>
      <c r="B152" s="25" t="s">
        <v>103</v>
      </c>
      <c r="C152" s="26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</row>
    <row r="153" ht="15.0" customHeight="1">
      <c r="A153" s="24" t="s">
        <v>104</v>
      </c>
      <c r="B153" s="28" t="s">
        <v>105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</row>
    <row r="154" ht="15.0" customHeight="1">
      <c r="A154" s="24" t="s">
        <v>106</v>
      </c>
      <c r="B154" s="28" t="s">
        <v>107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</row>
    <row r="155" ht="15.0" customHeight="1">
      <c r="A155" s="24" t="s">
        <v>108</v>
      </c>
      <c r="B155" s="28" t="s">
        <v>105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</row>
    <row r="156" ht="15.0" customHeight="1">
      <c r="A156" s="24" t="s">
        <v>109</v>
      </c>
      <c r="B156" s="28" t="s">
        <v>107</v>
      </c>
      <c r="C156" s="29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</row>
    <row r="157" ht="15.0" customHeight="1">
      <c r="A157" s="24" t="s">
        <v>110</v>
      </c>
      <c r="B157" s="28" t="s">
        <v>105</v>
      </c>
      <c r="C157" s="25">
        <v>100.0</v>
      </c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</row>
    <row r="158" ht="15.0" customHeight="1">
      <c r="A158" s="24" t="s">
        <v>111</v>
      </c>
      <c r="B158" s="28" t="s">
        <v>112</v>
      </c>
      <c r="C158" s="25" t="s">
        <v>113</v>
      </c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</row>
    <row r="159" ht="15.0" customHeight="1">
      <c r="A159" s="24" t="s">
        <v>114</v>
      </c>
      <c r="B159" s="28" t="s">
        <v>115</v>
      </c>
      <c r="C159" s="25" t="s">
        <v>116</v>
      </c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</row>
    <row r="160" ht="15.0" customHeight="1">
      <c r="A160" s="24" t="s">
        <v>117</v>
      </c>
      <c r="B160" s="28" t="s">
        <v>118</v>
      </c>
      <c r="C160" s="25">
        <v>0.0</v>
      </c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</row>
    <row r="161" ht="15.0" customHeight="1">
      <c r="A161" s="24" t="s">
        <v>119</v>
      </c>
      <c r="B161" s="28" t="s">
        <v>105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</row>
    <row r="162" ht="15.0" customHeight="1">
      <c r="A162" s="24" t="s">
        <v>120</v>
      </c>
      <c r="B162" s="28" t="s">
        <v>105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</row>
    <row r="163" ht="15.0" customHeight="1">
      <c r="A163" s="24" t="s">
        <v>121</v>
      </c>
      <c r="B163" s="28" t="s">
        <v>122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</row>
    <row r="164" ht="15.0" customHeight="1">
      <c r="A164" s="24" t="s">
        <v>123</v>
      </c>
      <c r="B164" s="28" t="s">
        <v>122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</row>
    <row r="165" ht="15.0" customHeight="1">
      <c r="A165" s="24" t="s">
        <v>124</v>
      </c>
      <c r="B165" s="28" t="s">
        <v>122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</row>
    <row r="166" ht="15.0" customHeight="1">
      <c r="A166" s="24" t="s">
        <v>125</v>
      </c>
      <c r="B166" s="28" t="s">
        <v>122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</row>
    <row r="167" ht="15.0" customHeight="1">
      <c r="A167" s="24" t="s">
        <v>126</v>
      </c>
      <c r="B167" s="28" t="s">
        <v>122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</row>
    <row r="168" ht="15.0" customHeight="1">
      <c r="A168" s="24" t="s">
        <v>127</v>
      </c>
      <c r="B168" s="28" t="s">
        <v>122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</row>
    <row r="169" ht="15.0" customHeight="1">
      <c r="A169" s="24" t="s">
        <v>128</v>
      </c>
      <c r="B169" s="25" t="s">
        <v>129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</row>
    <row r="170" ht="15.0" customHeight="1">
      <c r="A170" s="31"/>
      <c r="B170" s="31"/>
      <c r="C170" s="31"/>
      <c r="D170" s="32" t="s">
        <v>930</v>
      </c>
      <c r="E170" s="32" t="s">
        <v>931</v>
      </c>
      <c r="F170" s="32" t="s">
        <v>932</v>
      </c>
      <c r="G170" s="32" t="s">
        <v>933</v>
      </c>
      <c r="H170" s="32" t="s">
        <v>934</v>
      </c>
      <c r="I170" s="32" t="s">
        <v>935</v>
      </c>
      <c r="J170" s="32" t="s">
        <v>936</v>
      </c>
      <c r="K170" s="32" t="s">
        <v>937</v>
      </c>
      <c r="L170" s="32" t="s">
        <v>938</v>
      </c>
      <c r="M170" s="32" t="s">
        <v>939</v>
      </c>
      <c r="N170" s="32" t="s">
        <v>940</v>
      </c>
      <c r="O170" s="32" t="s">
        <v>941</v>
      </c>
      <c r="P170" s="32" t="s">
        <v>942</v>
      </c>
      <c r="Q170" s="32" t="s">
        <v>943</v>
      </c>
      <c r="R170" s="32" t="s">
        <v>944</v>
      </c>
      <c r="S170" s="32" t="s">
        <v>945</v>
      </c>
      <c r="T170" s="32" t="s">
        <v>946</v>
      </c>
      <c r="U170" s="32" t="s">
        <v>947</v>
      </c>
      <c r="V170" s="32" t="s">
        <v>948</v>
      </c>
      <c r="W170" s="32" t="s">
        <v>949</v>
      </c>
      <c r="X170" s="32" t="s">
        <v>950</v>
      </c>
      <c r="Y170" s="32" t="s">
        <v>951</v>
      </c>
      <c r="Z170" s="32" t="s">
        <v>952</v>
      </c>
      <c r="AA170" s="32" t="s">
        <v>953</v>
      </c>
      <c r="AB170" s="32" t="s">
        <v>954</v>
      </c>
      <c r="AC170" s="32" t="s">
        <v>955</v>
      </c>
      <c r="AD170" s="32" t="s">
        <v>956</v>
      </c>
      <c r="AE170" s="32" t="s">
        <v>957</v>
      </c>
      <c r="AF170" s="32" t="s">
        <v>958</v>
      </c>
      <c r="AG170" s="32" t="s">
        <v>959</v>
      </c>
      <c r="AH170" s="32" t="s">
        <v>960</v>
      </c>
      <c r="AI170" s="32" t="s">
        <v>961</v>
      </c>
      <c r="AJ170" s="32" t="s">
        <v>962</v>
      </c>
      <c r="AK170" s="32" t="s">
        <v>963</v>
      </c>
      <c r="AL170" s="32" t="s">
        <v>964</v>
      </c>
      <c r="AM170" s="32" t="s">
        <v>965</v>
      </c>
      <c r="AN170" s="32" t="s">
        <v>966</v>
      </c>
      <c r="AO170" s="32" t="s">
        <v>967</v>
      </c>
      <c r="AP170" s="32" t="s">
        <v>968</v>
      </c>
      <c r="AQ170" s="32" t="s">
        <v>969</v>
      </c>
      <c r="AR170" s="32" t="s">
        <v>970</v>
      </c>
      <c r="AS170" s="32" t="s">
        <v>971</v>
      </c>
      <c r="AT170" s="32" t="s">
        <v>972</v>
      </c>
      <c r="AU170" s="32" t="s">
        <v>973</v>
      </c>
      <c r="AV170" s="32" t="s">
        <v>974</v>
      </c>
      <c r="AW170" s="32" t="s">
        <v>975</v>
      </c>
      <c r="AX170" s="32" t="s">
        <v>976</v>
      </c>
      <c r="AY170" s="32" t="s">
        <v>977</v>
      </c>
      <c r="AZ170" s="32" t="s">
        <v>978</v>
      </c>
      <c r="BA170" s="32" t="s">
        <v>979</v>
      </c>
      <c r="BB170" s="32" t="s">
        <v>980</v>
      </c>
      <c r="BC170" s="32" t="s">
        <v>981</v>
      </c>
      <c r="BD170" s="32" t="s">
        <v>982</v>
      </c>
      <c r="BE170" s="32" t="s">
        <v>983</v>
      </c>
      <c r="BF170" s="32" t="s">
        <v>984</v>
      </c>
      <c r="BG170" s="32" t="s">
        <v>985</v>
      </c>
      <c r="BH170" s="32" t="s">
        <v>986</v>
      </c>
      <c r="BI170" s="32" t="s">
        <v>987</v>
      </c>
      <c r="BJ170" s="32" t="s">
        <v>988</v>
      </c>
      <c r="BK170" s="32" t="s">
        <v>989</v>
      </c>
      <c r="BL170" s="32" t="s">
        <v>990</v>
      </c>
      <c r="BM170" s="32" t="s">
        <v>991</v>
      </c>
      <c r="BN170" s="32" t="s">
        <v>992</v>
      </c>
      <c r="BO170" s="32" t="s">
        <v>993</v>
      </c>
      <c r="BP170" s="32" t="s">
        <v>994</v>
      </c>
      <c r="BQ170" s="32" t="s">
        <v>995</v>
      </c>
      <c r="BR170" s="32" t="s">
        <v>996</v>
      </c>
      <c r="BS170" s="32" t="s">
        <v>997</v>
      </c>
      <c r="BT170" s="32" t="s">
        <v>998</v>
      </c>
      <c r="BU170" s="32" t="s">
        <v>999</v>
      </c>
      <c r="BV170" s="32" t="s">
        <v>1000</v>
      </c>
      <c r="BW170" s="32" t="s">
        <v>1001</v>
      </c>
      <c r="BX170" s="32" t="s">
        <v>1002</v>
      </c>
      <c r="BY170" s="32" t="s">
        <v>1003</v>
      </c>
      <c r="BZ170" s="32" t="s">
        <v>1004</v>
      </c>
      <c r="CA170" s="32" t="s">
        <v>1005</v>
      </c>
      <c r="CB170" s="32" t="s">
        <v>1006</v>
      </c>
      <c r="CC170" s="32" t="s">
        <v>1007</v>
      </c>
      <c r="CD170" s="32" t="s">
        <v>1008</v>
      </c>
      <c r="CE170" s="32" t="s">
        <v>1009</v>
      </c>
      <c r="CF170" s="32" t="s">
        <v>1010</v>
      </c>
      <c r="CG170" s="32" t="s">
        <v>1011</v>
      </c>
      <c r="CH170" s="32" t="s">
        <v>1012</v>
      </c>
      <c r="CI170" s="32" t="s">
        <v>1013</v>
      </c>
      <c r="CJ170" s="32" t="s">
        <v>1014</v>
      </c>
      <c r="CK170" s="32" t="s">
        <v>1015</v>
      </c>
      <c r="CL170" s="32" t="s">
        <v>1016</v>
      </c>
      <c r="CM170" s="32" t="s">
        <v>1017</v>
      </c>
      <c r="CN170" s="32" t="s">
        <v>1018</v>
      </c>
      <c r="CO170" s="32" t="s">
        <v>1019</v>
      </c>
      <c r="CP170" s="32" t="s">
        <v>1020</v>
      </c>
      <c r="CQ170" s="32" t="s">
        <v>1021</v>
      </c>
      <c r="CR170" s="32" t="s">
        <v>1022</v>
      </c>
      <c r="CS170" s="32" t="s">
        <v>1023</v>
      </c>
      <c r="CT170" s="32" t="s">
        <v>1024</v>
      </c>
      <c r="CU170" s="32" t="s">
        <v>1025</v>
      </c>
      <c r="CV170" s="32" t="s">
        <v>1026</v>
      </c>
      <c r="CW170" s="32" t="s">
        <v>1027</v>
      </c>
      <c r="CX170" s="32" t="s">
        <v>1028</v>
      </c>
      <c r="CY170" s="32" t="s">
        <v>1029</v>
      </c>
    </row>
    <row r="171" ht="15.0" customHeight="1">
      <c r="A171" s="24" t="s">
        <v>102</v>
      </c>
      <c r="B171" s="25" t="s">
        <v>103</v>
      </c>
      <c r="C171" s="26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</row>
    <row r="172" ht="15.0" customHeight="1">
      <c r="A172" s="24" t="s">
        <v>104</v>
      </c>
      <c r="B172" s="28" t="s">
        <v>105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</row>
    <row r="173" ht="15.0" customHeight="1">
      <c r="A173" s="24" t="s">
        <v>106</v>
      </c>
      <c r="B173" s="28" t="s">
        <v>107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</row>
    <row r="174" ht="15.0" customHeight="1">
      <c r="A174" s="24" t="s">
        <v>108</v>
      </c>
      <c r="B174" s="28" t="s">
        <v>105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</row>
    <row r="175" ht="15.0" customHeight="1">
      <c r="A175" s="24" t="s">
        <v>109</v>
      </c>
      <c r="B175" s="28" t="s">
        <v>107</v>
      </c>
      <c r="C175" s="29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</row>
    <row r="176" ht="15.0" customHeight="1">
      <c r="A176" s="24" t="s">
        <v>110</v>
      </c>
      <c r="B176" s="28" t="s">
        <v>105</v>
      </c>
      <c r="C176" s="25">
        <v>100.0</v>
      </c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</row>
    <row r="177" ht="15.0" customHeight="1">
      <c r="A177" s="24" t="s">
        <v>111</v>
      </c>
      <c r="B177" s="28" t="s">
        <v>112</v>
      </c>
      <c r="C177" s="25" t="s">
        <v>113</v>
      </c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</row>
    <row r="178" ht="15.0" customHeight="1">
      <c r="A178" s="24" t="s">
        <v>114</v>
      </c>
      <c r="B178" s="28" t="s">
        <v>115</v>
      </c>
      <c r="C178" s="25" t="s">
        <v>116</v>
      </c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</row>
    <row r="179" ht="15.0" customHeight="1">
      <c r="A179" s="24" t="s">
        <v>117</v>
      </c>
      <c r="B179" s="28" t="s">
        <v>118</v>
      </c>
      <c r="C179" s="25">
        <v>0.0</v>
      </c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</row>
    <row r="180" ht="15.0" customHeight="1">
      <c r="A180" s="24" t="s">
        <v>119</v>
      </c>
      <c r="B180" s="28" t="s">
        <v>105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</row>
    <row r="181" ht="15.0" customHeight="1">
      <c r="A181" s="24" t="s">
        <v>120</v>
      </c>
      <c r="B181" s="28" t="s">
        <v>105</v>
      </c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</row>
    <row r="182" ht="15.0" customHeight="1">
      <c r="A182" s="24" t="s">
        <v>121</v>
      </c>
      <c r="B182" s="28" t="s">
        <v>122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</row>
    <row r="183" ht="15.0" customHeight="1">
      <c r="A183" s="24" t="s">
        <v>123</v>
      </c>
      <c r="B183" s="28" t="s">
        <v>122</v>
      </c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</row>
    <row r="184" ht="15.0" customHeight="1">
      <c r="A184" s="24" t="s">
        <v>124</v>
      </c>
      <c r="B184" s="28" t="s">
        <v>122</v>
      </c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</row>
    <row r="185" ht="15.0" customHeight="1">
      <c r="A185" s="24" t="s">
        <v>125</v>
      </c>
      <c r="B185" s="28" t="s">
        <v>122</v>
      </c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</row>
    <row r="186" ht="15.0" customHeight="1">
      <c r="A186" s="24" t="s">
        <v>126</v>
      </c>
      <c r="B186" s="28" t="s">
        <v>122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</row>
    <row r="187" ht="15.0" customHeight="1">
      <c r="A187" s="24" t="s">
        <v>127</v>
      </c>
      <c r="B187" s="28" t="s">
        <v>122</v>
      </c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</row>
    <row r="188" ht="15.0" customHeight="1">
      <c r="A188" s="24" t="s">
        <v>128</v>
      </c>
      <c r="B188" s="25" t="s">
        <v>129</v>
      </c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</row>
    <row r="189" ht="15.0" customHeight="1">
      <c r="A189" s="31"/>
      <c r="B189" s="31"/>
      <c r="C189" s="31"/>
      <c r="D189" s="32" t="s">
        <v>1030</v>
      </c>
      <c r="E189" s="32" t="s">
        <v>1031</v>
      </c>
      <c r="F189" s="32" t="s">
        <v>1032</v>
      </c>
      <c r="G189" s="32" t="s">
        <v>1033</v>
      </c>
      <c r="H189" s="32" t="s">
        <v>1034</v>
      </c>
      <c r="I189" s="32" t="s">
        <v>1035</v>
      </c>
      <c r="J189" s="32" t="s">
        <v>1036</v>
      </c>
      <c r="K189" s="32" t="s">
        <v>1037</v>
      </c>
      <c r="L189" s="32" t="s">
        <v>1038</v>
      </c>
      <c r="M189" s="32" t="s">
        <v>1039</v>
      </c>
      <c r="N189" s="32" t="s">
        <v>1040</v>
      </c>
      <c r="O189" s="32" t="s">
        <v>1041</v>
      </c>
      <c r="P189" s="32" t="s">
        <v>1042</v>
      </c>
      <c r="Q189" s="32" t="s">
        <v>1043</v>
      </c>
      <c r="R189" s="32" t="s">
        <v>1044</v>
      </c>
      <c r="S189" s="32" t="s">
        <v>1045</v>
      </c>
      <c r="T189" s="32" t="s">
        <v>1046</v>
      </c>
      <c r="U189" s="32" t="s">
        <v>1047</v>
      </c>
      <c r="V189" s="32" t="s">
        <v>1048</v>
      </c>
      <c r="W189" s="32" t="s">
        <v>1049</v>
      </c>
      <c r="X189" s="32" t="s">
        <v>1050</v>
      </c>
      <c r="Y189" s="32" t="s">
        <v>1051</v>
      </c>
      <c r="Z189" s="32" t="s">
        <v>1052</v>
      </c>
      <c r="AA189" s="32" t="s">
        <v>1053</v>
      </c>
      <c r="AB189" s="32" t="s">
        <v>1054</v>
      </c>
      <c r="AC189" s="32" t="s">
        <v>1055</v>
      </c>
      <c r="AD189" s="32" t="s">
        <v>1056</v>
      </c>
      <c r="AE189" s="32" t="s">
        <v>1057</v>
      </c>
      <c r="AF189" s="32" t="s">
        <v>1058</v>
      </c>
      <c r="AG189" s="32" t="s">
        <v>1059</v>
      </c>
      <c r="AH189" s="32" t="s">
        <v>1060</v>
      </c>
      <c r="AI189" s="32" t="s">
        <v>1061</v>
      </c>
      <c r="AJ189" s="32" t="s">
        <v>1062</v>
      </c>
      <c r="AK189" s="32" t="s">
        <v>1063</v>
      </c>
      <c r="AL189" s="32" t="s">
        <v>1064</v>
      </c>
      <c r="AM189" s="32" t="s">
        <v>1065</v>
      </c>
      <c r="AN189" s="32" t="s">
        <v>1066</v>
      </c>
      <c r="AO189" s="32" t="s">
        <v>1067</v>
      </c>
      <c r="AP189" s="32" t="s">
        <v>1068</v>
      </c>
      <c r="AQ189" s="32" t="s">
        <v>1069</v>
      </c>
      <c r="AR189" s="32" t="s">
        <v>1070</v>
      </c>
      <c r="AS189" s="32" t="s">
        <v>1071</v>
      </c>
      <c r="AT189" s="32" t="s">
        <v>1072</v>
      </c>
      <c r="AU189" s="32" t="s">
        <v>1073</v>
      </c>
      <c r="AV189" s="32" t="s">
        <v>1074</v>
      </c>
      <c r="AW189" s="32" t="s">
        <v>1075</v>
      </c>
      <c r="AX189" s="32" t="s">
        <v>1076</v>
      </c>
      <c r="AY189" s="32" t="s">
        <v>1077</v>
      </c>
      <c r="AZ189" s="32" t="s">
        <v>1078</v>
      </c>
      <c r="BA189" s="32" t="s">
        <v>1079</v>
      </c>
      <c r="BB189" s="32" t="s">
        <v>1080</v>
      </c>
      <c r="BC189" s="32" t="s">
        <v>1081</v>
      </c>
      <c r="BD189" s="32" t="s">
        <v>1082</v>
      </c>
      <c r="BE189" s="32" t="s">
        <v>1083</v>
      </c>
      <c r="BF189" s="32" t="s">
        <v>1084</v>
      </c>
      <c r="BG189" s="32" t="s">
        <v>1085</v>
      </c>
      <c r="BH189" s="32" t="s">
        <v>1086</v>
      </c>
      <c r="BI189" s="32" t="s">
        <v>1087</v>
      </c>
      <c r="BJ189" s="32" t="s">
        <v>1088</v>
      </c>
      <c r="BK189" s="32" t="s">
        <v>1089</v>
      </c>
      <c r="BL189" s="32" t="s">
        <v>1090</v>
      </c>
      <c r="BM189" s="32" t="s">
        <v>1091</v>
      </c>
      <c r="BN189" s="32" t="s">
        <v>1092</v>
      </c>
      <c r="BO189" s="32" t="s">
        <v>1093</v>
      </c>
      <c r="BP189" s="32" t="s">
        <v>1094</v>
      </c>
      <c r="BQ189" s="32" t="s">
        <v>1095</v>
      </c>
      <c r="BR189" s="32" t="s">
        <v>1096</v>
      </c>
      <c r="BS189" s="32" t="s">
        <v>1097</v>
      </c>
      <c r="BT189" s="32" t="s">
        <v>1098</v>
      </c>
      <c r="BU189" s="32" t="s">
        <v>1099</v>
      </c>
      <c r="BV189" s="32" t="s">
        <v>1100</v>
      </c>
      <c r="BW189" s="32" t="s">
        <v>1101</v>
      </c>
      <c r="BX189" s="32" t="s">
        <v>1102</v>
      </c>
      <c r="BY189" s="32" t="s">
        <v>1103</v>
      </c>
      <c r="BZ189" s="32" t="s">
        <v>1104</v>
      </c>
      <c r="CA189" s="32" t="s">
        <v>1105</v>
      </c>
      <c r="CB189" s="32" t="s">
        <v>1106</v>
      </c>
      <c r="CC189" s="32" t="s">
        <v>1107</v>
      </c>
      <c r="CD189" s="32" t="s">
        <v>1108</v>
      </c>
      <c r="CE189" s="32" t="s">
        <v>1109</v>
      </c>
      <c r="CF189" s="32" t="s">
        <v>1110</v>
      </c>
      <c r="CG189" s="32" t="s">
        <v>1111</v>
      </c>
      <c r="CH189" s="32" t="s">
        <v>1112</v>
      </c>
      <c r="CI189" s="32" t="s">
        <v>1113</v>
      </c>
      <c r="CJ189" s="32" t="s">
        <v>1114</v>
      </c>
      <c r="CK189" s="32" t="s">
        <v>1115</v>
      </c>
      <c r="CL189" s="32" t="s">
        <v>1116</v>
      </c>
      <c r="CM189" s="32" t="s">
        <v>1117</v>
      </c>
      <c r="CN189" s="32" t="s">
        <v>1118</v>
      </c>
      <c r="CO189" s="32" t="s">
        <v>1119</v>
      </c>
      <c r="CP189" s="32" t="s">
        <v>1120</v>
      </c>
      <c r="CQ189" s="32" t="s">
        <v>1121</v>
      </c>
      <c r="CR189" s="32" t="s">
        <v>1122</v>
      </c>
      <c r="CS189" s="32" t="s">
        <v>1123</v>
      </c>
      <c r="CT189" s="32" t="s">
        <v>1124</v>
      </c>
      <c r="CU189" s="32" t="s">
        <v>1125</v>
      </c>
      <c r="CV189" s="32" t="s">
        <v>1126</v>
      </c>
      <c r="CW189" s="32" t="s">
        <v>1127</v>
      </c>
      <c r="CX189" s="32" t="s">
        <v>1128</v>
      </c>
      <c r="CY189" s="32" t="s">
        <v>1129</v>
      </c>
    </row>
    <row r="190" ht="15.0" customHeight="1">
      <c r="A190" s="24" t="s">
        <v>102</v>
      </c>
      <c r="B190" s="25" t="s">
        <v>103</v>
      </c>
      <c r="C190" s="26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</row>
    <row r="191" ht="15.0" customHeight="1">
      <c r="A191" s="24" t="s">
        <v>104</v>
      </c>
      <c r="B191" s="28" t="s">
        <v>105</v>
      </c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</row>
    <row r="192" ht="15.0" customHeight="1">
      <c r="A192" s="24" t="s">
        <v>106</v>
      </c>
      <c r="B192" s="28" t="s">
        <v>107</v>
      </c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</row>
    <row r="193" ht="15.0" customHeight="1">
      <c r="A193" s="24" t="s">
        <v>108</v>
      </c>
      <c r="B193" s="28" t="s">
        <v>105</v>
      </c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</row>
    <row r="194" ht="15.0" customHeight="1">
      <c r="A194" s="24" t="s">
        <v>109</v>
      </c>
      <c r="B194" s="28" t="s">
        <v>107</v>
      </c>
      <c r="C194" s="29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</row>
    <row r="195" ht="15.0" customHeight="1">
      <c r="A195" s="24" t="s">
        <v>110</v>
      </c>
      <c r="B195" s="28" t="s">
        <v>105</v>
      </c>
      <c r="C195" s="25">
        <v>100.0</v>
      </c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</row>
    <row r="196" ht="15.0" customHeight="1">
      <c r="A196" s="24" t="s">
        <v>111</v>
      </c>
      <c r="B196" s="28" t="s">
        <v>112</v>
      </c>
      <c r="C196" s="25" t="s">
        <v>113</v>
      </c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</row>
    <row r="197" ht="15.0" customHeight="1">
      <c r="A197" s="24" t="s">
        <v>114</v>
      </c>
      <c r="B197" s="28" t="s">
        <v>115</v>
      </c>
      <c r="C197" s="25" t="s">
        <v>116</v>
      </c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</row>
    <row r="198" ht="15.0" customHeight="1">
      <c r="A198" s="24" t="s">
        <v>117</v>
      </c>
      <c r="B198" s="28" t="s">
        <v>118</v>
      </c>
      <c r="C198" s="25">
        <v>0.0</v>
      </c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</row>
    <row r="199" ht="15.0" customHeight="1">
      <c r="A199" s="24" t="s">
        <v>119</v>
      </c>
      <c r="B199" s="28" t="s">
        <v>105</v>
      </c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</row>
    <row r="200" ht="15.0" customHeight="1">
      <c r="A200" s="24" t="s">
        <v>120</v>
      </c>
      <c r="B200" s="28" t="s">
        <v>105</v>
      </c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</row>
    <row r="201" ht="15.0" customHeight="1">
      <c r="A201" s="24" t="s">
        <v>121</v>
      </c>
      <c r="B201" s="28" t="s">
        <v>122</v>
      </c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</row>
    <row r="202" ht="15.0" customHeight="1">
      <c r="A202" s="24" t="s">
        <v>123</v>
      </c>
      <c r="B202" s="28" t="s">
        <v>122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</row>
    <row r="203" ht="15.0" customHeight="1">
      <c r="A203" s="24" t="s">
        <v>124</v>
      </c>
      <c r="B203" s="28" t="s">
        <v>122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</row>
    <row r="204" ht="15.0" customHeight="1">
      <c r="A204" s="24" t="s">
        <v>125</v>
      </c>
      <c r="B204" s="28" t="s">
        <v>122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</row>
    <row r="205" ht="15.0" customHeight="1">
      <c r="A205" s="24" t="s">
        <v>126</v>
      </c>
      <c r="B205" s="28" t="s">
        <v>122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</row>
    <row r="206" ht="15.0" customHeight="1">
      <c r="A206" s="24" t="s">
        <v>127</v>
      </c>
      <c r="B206" s="28" t="s">
        <v>122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</row>
    <row r="207" ht="15.0" customHeight="1">
      <c r="A207" s="24" t="s">
        <v>128</v>
      </c>
      <c r="B207" s="25" t="s">
        <v>129</v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</row>
    <row r="208" ht="15.0" customHeight="1">
      <c r="A208" s="31"/>
      <c r="B208" s="31"/>
      <c r="C208" s="31"/>
      <c r="D208" s="32" t="s">
        <v>1130</v>
      </c>
      <c r="E208" s="32" t="s">
        <v>1131</v>
      </c>
      <c r="F208" s="32" t="s">
        <v>1132</v>
      </c>
      <c r="G208" s="32" t="s">
        <v>1133</v>
      </c>
      <c r="H208" s="32" t="s">
        <v>1134</v>
      </c>
      <c r="I208" s="32" t="s">
        <v>1135</v>
      </c>
      <c r="J208" s="32" t="s">
        <v>1136</v>
      </c>
      <c r="K208" s="32" t="s">
        <v>1137</v>
      </c>
      <c r="L208" s="32" t="s">
        <v>1138</v>
      </c>
      <c r="M208" s="32" t="s">
        <v>1139</v>
      </c>
      <c r="N208" s="32" t="s">
        <v>1140</v>
      </c>
      <c r="O208" s="32" t="s">
        <v>1141</v>
      </c>
      <c r="P208" s="32" t="s">
        <v>1142</v>
      </c>
      <c r="Q208" s="32" t="s">
        <v>1143</v>
      </c>
      <c r="R208" s="32" t="s">
        <v>1144</v>
      </c>
      <c r="S208" s="32" t="s">
        <v>1145</v>
      </c>
      <c r="T208" s="32" t="s">
        <v>1146</v>
      </c>
      <c r="U208" s="32" t="s">
        <v>1147</v>
      </c>
      <c r="V208" s="32" t="s">
        <v>1148</v>
      </c>
      <c r="W208" s="32" t="s">
        <v>1149</v>
      </c>
      <c r="X208" s="32" t="s">
        <v>1150</v>
      </c>
      <c r="Y208" s="32" t="s">
        <v>1151</v>
      </c>
      <c r="Z208" s="32" t="s">
        <v>1152</v>
      </c>
      <c r="AA208" s="32" t="s">
        <v>1153</v>
      </c>
      <c r="AB208" s="32" t="s">
        <v>1154</v>
      </c>
      <c r="AC208" s="32" t="s">
        <v>1155</v>
      </c>
      <c r="AD208" s="32" t="s">
        <v>1156</v>
      </c>
      <c r="AE208" s="32" t="s">
        <v>1157</v>
      </c>
      <c r="AF208" s="32" t="s">
        <v>1158</v>
      </c>
      <c r="AG208" s="32" t="s">
        <v>1159</v>
      </c>
      <c r="AH208" s="32" t="s">
        <v>1160</v>
      </c>
      <c r="AI208" s="32" t="s">
        <v>1161</v>
      </c>
      <c r="AJ208" s="32" t="s">
        <v>1162</v>
      </c>
      <c r="AK208" s="32" t="s">
        <v>1163</v>
      </c>
      <c r="AL208" s="32" t="s">
        <v>1164</v>
      </c>
      <c r="AM208" s="32" t="s">
        <v>1165</v>
      </c>
      <c r="AN208" s="32" t="s">
        <v>1166</v>
      </c>
      <c r="AO208" s="32" t="s">
        <v>1167</v>
      </c>
      <c r="AP208" s="32" t="s">
        <v>1168</v>
      </c>
      <c r="AQ208" s="32" t="s">
        <v>1169</v>
      </c>
      <c r="AR208" s="32" t="s">
        <v>1170</v>
      </c>
      <c r="AS208" s="32" t="s">
        <v>1171</v>
      </c>
      <c r="AT208" s="32" t="s">
        <v>1172</v>
      </c>
      <c r="AU208" s="32" t="s">
        <v>1173</v>
      </c>
      <c r="AV208" s="32" t="s">
        <v>1174</v>
      </c>
      <c r="AW208" s="32" t="s">
        <v>1175</v>
      </c>
      <c r="AX208" s="32" t="s">
        <v>1176</v>
      </c>
      <c r="AY208" s="32" t="s">
        <v>1177</v>
      </c>
      <c r="AZ208" s="32" t="s">
        <v>1178</v>
      </c>
      <c r="BA208" s="32" t="s">
        <v>1179</v>
      </c>
      <c r="BB208" s="32" t="s">
        <v>1180</v>
      </c>
      <c r="BC208" s="32" t="s">
        <v>1181</v>
      </c>
      <c r="BD208" s="32" t="s">
        <v>1182</v>
      </c>
      <c r="BE208" s="32" t="s">
        <v>1183</v>
      </c>
      <c r="BF208" s="32" t="s">
        <v>1184</v>
      </c>
      <c r="BG208" s="32" t="s">
        <v>1185</v>
      </c>
      <c r="BH208" s="32" t="s">
        <v>1186</v>
      </c>
      <c r="BI208" s="32" t="s">
        <v>1187</v>
      </c>
      <c r="BJ208" s="32" t="s">
        <v>1188</v>
      </c>
      <c r="BK208" s="32" t="s">
        <v>1189</v>
      </c>
      <c r="BL208" s="32" t="s">
        <v>1190</v>
      </c>
      <c r="BM208" s="32" t="s">
        <v>1191</v>
      </c>
      <c r="BN208" s="32" t="s">
        <v>1192</v>
      </c>
      <c r="BO208" s="32" t="s">
        <v>1193</v>
      </c>
      <c r="BP208" s="32" t="s">
        <v>1194</v>
      </c>
      <c r="BQ208" s="32" t="s">
        <v>1195</v>
      </c>
      <c r="BR208" s="32" t="s">
        <v>1196</v>
      </c>
      <c r="BS208" s="32" t="s">
        <v>1197</v>
      </c>
      <c r="BT208" s="32" t="s">
        <v>1198</v>
      </c>
      <c r="BU208" s="32" t="s">
        <v>1199</v>
      </c>
      <c r="BV208" s="32" t="s">
        <v>1200</v>
      </c>
      <c r="BW208" s="32" t="s">
        <v>1201</v>
      </c>
      <c r="BX208" s="32" t="s">
        <v>1202</v>
      </c>
      <c r="BY208" s="32" t="s">
        <v>1203</v>
      </c>
      <c r="BZ208" s="32" t="s">
        <v>1204</v>
      </c>
      <c r="CA208" s="32" t="s">
        <v>1205</v>
      </c>
      <c r="CB208" s="32" t="s">
        <v>1206</v>
      </c>
      <c r="CC208" s="32" t="s">
        <v>1207</v>
      </c>
      <c r="CD208" s="32" t="s">
        <v>1208</v>
      </c>
      <c r="CE208" s="32" t="s">
        <v>1209</v>
      </c>
      <c r="CF208" s="32" t="s">
        <v>1210</v>
      </c>
      <c r="CG208" s="32" t="s">
        <v>1211</v>
      </c>
      <c r="CH208" s="32" t="s">
        <v>1212</v>
      </c>
      <c r="CI208" s="32" t="s">
        <v>1213</v>
      </c>
      <c r="CJ208" s="32" t="s">
        <v>1214</v>
      </c>
      <c r="CK208" s="32" t="s">
        <v>1215</v>
      </c>
      <c r="CL208" s="32" t="s">
        <v>1216</v>
      </c>
      <c r="CM208" s="32" t="s">
        <v>1217</v>
      </c>
      <c r="CN208" s="32" t="s">
        <v>1218</v>
      </c>
      <c r="CO208" s="32" t="s">
        <v>1219</v>
      </c>
      <c r="CP208" s="32" t="s">
        <v>1220</v>
      </c>
      <c r="CQ208" s="32" t="s">
        <v>1221</v>
      </c>
      <c r="CR208" s="32" t="s">
        <v>1222</v>
      </c>
      <c r="CS208" s="32" t="s">
        <v>1223</v>
      </c>
      <c r="CT208" s="32" t="s">
        <v>1224</v>
      </c>
      <c r="CU208" s="32" t="s">
        <v>1225</v>
      </c>
      <c r="CV208" s="32" t="s">
        <v>1226</v>
      </c>
      <c r="CW208" s="32" t="s">
        <v>1227</v>
      </c>
      <c r="CX208" s="32" t="s">
        <v>1228</v>
      </c>
      <c r="CY208" s="32" t="s">
        <v>1229</v>
      </c>
    </row>
    <row r="209" ht="15.0" customHeight="1">
      <c r="A209" s="24" t="s">
        <v>102</v>
      </c>
      <c r="B209" s="25" t="s">
        <v>103</v>
      </c>
      <c r="C209" s="26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</row>
    <row r="210" ht="15.0" customHeight="1">
      <c r="A210" s="24" t="s">
        <v>104</v>
      </c>
      <c r="B210" s="28" t="s">
        <v>105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</row>
    <row r="211" ht="15.0" customHeight="1">
      <c r="A211" s="24" t="s">
        <v>106</v>
      </c>
      <c r="B211" s="28" t="s">
        <v>107</v>
      </c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</row>
    <row r="212" ht="15.0" customHeight="1">
      <c r="A212" s="24" t="s">
        <v>108</v>
      </c>
      <c r="B212" s="28" t="s">
        <v>105</v>
      </c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</row>
    <row r="213" ht="15.0" customHeight="1">
      <c r="A213" s="24" t="s">
        <v>109</v>
      </c>
      <c r="B213" s="28" t="s">
        <v>107</v>
      </c>
      <c r="C213" s="29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</row>
    <row r="214" ht="15.0" customHeight="1">
      <c r="A214" s="24" t="s">
        <v>110</v>
      </c>
      <c r="B214" s="28" t="s">
        <v>105</v>
      </c>
      <c r="C214" s="25">
        <v>100.0</v>
      </c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</row>
    <row r="215" ht="15.0" customHeight="1">
      <c r="A215" s="24" t="s">
        <v>111</v>
      </c>
      <c r="B215" s="28" t="s">
        <v>112</v>
      </c>
      <c r="C215" s="25" t="s">
        <v>113</v>
      </c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</row>
    <row r="216" ht="15.0" customHeight="1">
      <c r="A216" s="24" t="s">
        <v>114</v>
      </c>
      <c r="B216" s="28" t="s">
        <v>115</v>
      </c>
      <c r="C216" s="25" t="s">
        <v>116</v>
      </c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</row>
    <row r="217" ht="15.0" customHeight="1">
      <c r="A217" s="24" t="s">
        <v>117</v>
      </c>
      <c r="B217" s="28" t="s">
        <v>118</v>
      </c>
      <c r="C217" s="25">
        <v>0.0</v>
      </c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</row>
    <row r="218" ht="15.0" customHeight="1">
      <c r="A218" s="24" t="s">
        <v>119</v>
      </c>
      <c r="B218" s="28" t="s">
        <v>105</v>
      </c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</row>
    <row r="219" ht="15.0" customHeight="1">
      <c r="A219" s="24" t="s">
        <v>120</v>
      </c>
      <c r="B219" s="28" t="s">
        <v>105</v>
      </c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</row>
    <row r="220" ht="15.0" customHeight="1">
      <c r="A220" s="24" t="s">
        <v>121</v>
      </c>
      <c r="B220" s="28" t="s">
        <v>122</v>
      </c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</row>
    <row r="221" ht="15.0" customHeight="1">
      <c r="A221" s="24" t="s">
        <v>123</v>
      </c>
      <c r="B221" s="28" t="s">
        <v>122</v>
      </c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</row>
    <row r="222" ht="15.0" customHeight="1">
      <c r="A222" s="24" t="s">
        <v>124</v>
      </c>
      <c r="B222" s="28" t="s">
        <v>122</v>
      </c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</row>
    <row r="223" ht="15.0" customHeight="1">
      <c r="A223" s="24" t="s">
        <v>125</v>
      </c>
      <c r="B223" s="28" t="s">
        <v>122</v>
      </c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</row>
    <row r="224" ht="15.0" customHeight="1">
      <c r="A224" s="24" t="s">
        <v>126</v>
      </c>
      <c r="B224" s="28" t="s">
        <v>122</v>
      </c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</row>
    <row r="225" ht="15.0" customHeight="1">
      <c r="A225" s="24" t="s">
        <v>127</v>
      </c>
      <c r="B225" s="28" t="s">
        <v>122</v>
      </c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</row>
    <row r="226" ht="15.0" customHeight="1">
      <c r="A226" s="24" t="s">
        <v>128</v>
      </c>
      <c r="B226" s="25" t="s">
        <v>129</v>
      </c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</row>
    <row r="227" ht="15.0" customHeight="1">
      <c r="A227" s="31"/>
      <c r="B227" s="31"/>
      <c r="C227" s="31"/>
      <c r="D227" s="32" t="s">
        <v>1230</v>
      </c>
      <c r="E227" s="32" t="s">
        <v>1231</v>
      </c>
      <c r="F227" s="32" t="s">
        <v>1232</v>
      </c>
      <c r="G227" s="32" t="s">
        <v>1233</v>
      </c>
      <c r="H227" s="32" t="s">
        <v>1234</v>
      </c>
      <c r="I227" s="32" t="s">
        <v>1235</v>
      </c>
      <c r="J227" s="32" t="s">
        <v>1236</v>
      </c>
      <c r="K227" s="32" t="s">
        <v>1237</v>
      </c>
      <c r="L227" s="32" t="s">
        <v>1238</v>
      </c>
      <c r="M227" s="32" t="s">
        <v>1239</v>
      </c>
      <c r="N227" s="32" t="s">
        <v>1240</v>
      </c>
      <c r="O227" s="32" t="s">
        <v>1241</v>
      </c>
      <c r="P227" s="32" t="s">
        <v>1242</v>
      </c>
      <c r="Q227" s="32" t="s">
        <v>1243</v>
      </c>
      <c r="R227" s="32" t="s">
        <v>1244</v>
      </c>
      <c r="S227" s="32" t="s">
        <v>1245</v>
      </c>
      <c r="T227" s="32" t="s">
        <v>1246</v>
      </c>
      <c r="U227" s="32" t="s">
        <v>1247</v>
      </c>
      <c r="V227" s="32" t="s">
        <v>1248</v>
      </c>
      <c r="W227" s="32" t="s">
        <v>1249</v>
      </c>
      <c r="X227" s="32" t="s">
        <v>1250</v>
      </c>
      <c r="Y227" s="32" t="s">
        <v>1251</v>
      </c>
      <c r="Z227" s="32" t="s">
        <v>1252</v>
      </c>
      <c r="AA227" s="32" t="s">
        <v>1253</v>
      </c>
      <c r="AB227" s="32" t="s">
        <v>1254</v>
      </c>
      <c r="AC227" s="32" t="s">
        <v>1255</v>
      </c>
      <c r="AD227" s="32" t="s">
        <v>1256</v>
      </c>
      <c r="AE227" s="32" t="s">
        <v>1257</v>
      </c>
      <c r="AF227" s="32" t="s">
        <v>1258</v>
      </c>
      <c r="AG227" s="32" t="s">
        <v>1259</v>
      </c>
      <c r="AH227" s="32" t="s">
        <v>1260</v>
      </c>
      <c r="AI227" s="32" t="s">
        <v>1261</v>
      </c>
      <c r="AJ227" s="32" t="s">
        <v>1262</v>
      </c>
      <c r="AK227" s="32" t="s">
        <v>1263</v>
      </c>
      <c r="AL227" s="32" t="s">
        <v>1264</v>
      </c>
      <c r="AM227" s="32" t="s">
        <v>1265</v>
      </c>
      <c r="AN227" s="32" t="s">
        <v>1266</v>
      </c>
      <c r="AO227" s="32" t="s">
        <v>1267</v>
      </c>
      <c r="AP227" s="32" t="s">
        <v>1268</v>
      </c>
      <c r="AQ227" s="32" t="s">
        <v>1269</v>
      </c>
      <c r="AR227" s="32" t="s">
        <v>1270</v>
      </c>
      <c r="AS227" s="32" t="s">
        <v>1271</v>
      </c>
      <c r="AT227" s="32" t="s">
        <v>1272</v>
      </c>
      <c r="AU227" s="32" t="s">
        <v>1273</v>
      </c>
      <c r="AV227" s="32" t="s">
        <v>1274</v>
      </c>
      <c r="AW227" s="32" t="s">
        <v>1275</v>
      </c>
      <c r="AX227" s="32" t="s">
        <v>1276</v>
      </c>
      <c r="AY227" s="32" t="s">
        <v>1277</v>
      </c>
      <c r="AZ227" s="32" t="s">
        <v>1278</v>
      </c>
      <c r="BA227" s="32" t="s">
        <v>1279</v>
      </c>
      <c r="BB227" s="32" t="s">
        <v>1280</v>
      </c>
      <c r="BC227" s="32" t="s">
        <v>1281</v>
      </c>
      <c r="BD227" s="32" t="s">
        <v>1282</v>
      </c>
      <c r="BE227" s="32" t="s">
        <v>1283</v>
      </c>
      <c r="BF227" s="32" t="s">
        <v>1284</v>
      </c>
      <c r="BG227" s="32" t="s">
        <v>1285</v>
      </c>
      <c r="BH227" s="32" t="s">
        <v>1286</v>
      </c>
      <c r="BI227" s="32" t="s">
        <v>1287</v>
      </c>
      <c r="BJ227" s="32" t="s">
        <v>1288</v>
      </c>
      <c r="BK227" s="32" t="s">
        <v>1289</v>
      </c>
      <c r="BL227" s="32" t="s">
        <v>1290</v>
      </c>
      <c r="BM227" s="32" t="s">
        <v>1291</v>
      </c>
      <c r="BN227" s="32" t="s">
        <v>1292</v>
      </c>
      <c r="BO227" s="32" t="s">
        <v>1293</v>
      </c>
      <c r="BP227" s="32" t="s">
        <v>1294</v>
      </c>
      <c r="BQ227" s="32" t="s">
        <v>1295</v>
      </c>
      <c r="BR227" s="32" t="s">
        <v>1296</v>
      </c>
      <c r="BS227" s="32" t="s">
        <v>1297</v>
      </c>
      <c r="BT227" s="32" t="s">
        <v>1298</v>
      </c>
      <c r="BU227" s="32" t="s">
        <v>1299</v>
      </c>
      <c r="BV227" s="32" t="s">
        <v>1300</v>
      </c>
      <c r="BW227" s="32" t="s">
        <v>1301</v>
      </c>
      <c r="BX227" s="32" t="s">
        <v>1302</v>
      </c>
      <c r="BY227" s="32" t="s">
        <v>1303</v>
      </c>
      <c r="BZ227" s="32" t="s">
        <v>1304</v>
      </c>
      <c r="CA227" s="32" t="s">
        <v>1305</v>
      </c>
      <c r="CB227" s="32" t="s">
        <v>1306</v>
      </c>
      <c r="CC227" s="32" t="s">
        <v>1307</v>
      </c>
      <c r="CD227" s="32" t="s">
        <v>1308</v>
      </c>
      <c r="CE227" s="32" t="s">
        <v>1309</v>
      </c>
      <c r="CF227" s="32" t="s">
        <v>1310</v>
      </c>
      <c r="CG227" s="32" t="s">
        <v>1311</v>
      </c>
      <c r="CH227" s="32" t="s">
        <v>1312</v>
      </c>
      <c r="CI227" s="32" t="s">
        <v>1313</v>
      </c>
      <c r="CJ227" s="32" t="s">
        <v>1314</v>
      </c>
      <c r="CK227" s="32" t="s">
        <v>1315</v>
      </c>
      <c r="CL227" s="32" t="s">
        <v>1316</v>
      </c>
      <c r="CM227" s="32" t="s">
        <v>1317</v>
      </c>
      <c r="CN227" s="32" t="s">
        <v>1318</v>
      </c>
      <c r="CO227" s="32" t="s">
        <v>1319</v>
      </c>
      <c r="CP227" s="32" t="s">
        <v>1320</v>
      </c>
      <c r="CQ227" s="32" t="s">
        <v>1321</v>
      </c>
      <c r="CR227" s="32" t="s">
        <v>1322</v>
      </c>
      <c r="CS227" s="32" t="s">
        <v>1323</v>
      </c>
      <c r="CT227" s="32" t="s">
        <v>1324</v>
      </c>
      <c r="CU227" s="32" t="s">
        <v>1325</v>
      </c>
      <c r="CV227" s="32" t="s">
        <v>1326</v>
      </c>
      <c r="CW227" s="32" t="s">
        <v>1327</v>
      </c>
      <c r="CX227" s="32" t="s">
        <v>1328</v>
      </c>
      <c r="CY227" s="32" t="s">
        <v>1329</v>
      </c>
    </row>
    <row r="228" ht="15.0" customHeight="1">
      <c r="A228" s="24" t="s">
        <v>102</v>
      </c>
      <c r="B228" s="25" t="s">
        <v>103</v>
      </c>
      <c r="C228" s="26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</row>
    <row r="229" ht="15.0" customHeight="1">
      <c r="A229" s="24" t="s">
        <v>104</v>
      </c>
      <c r="B229" s="28" t="s">
        <v>105</v>
      </c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</row>
    <row r="230" ht="15.0" customHeight="1">
      <c r="A230" s="24" t="s">
        <v>106</v>
      </c>
      <c r="B230" s="28" t="s">
        <v>107</v>
      </c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</row>
    <row r="231" ht="15.0" customHeight="1">
      <c r="A231" s="24" t="s">
        <v>108</v>
      </c>
      <c r="B231" s="28" t="s">
        <v>105</v>
      </c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</row>
    <row r="232" ht="15.0" customHeight="1">
      <c r="A232" s="24" t="s">
        <v>109</v>
      </c>
      <c r="B232" s="28" t="s">
        <v>107</v>
      </c>
      <c r="C232" s="29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</row>
    <row r="233" ht="15.0" customHeight="1">
      <c r="A233" s="24" t="s">
        <v>110</v>
      </c>
      <c r="B233" s="28" t="s">
        <v>105</v>
      </c>
      <c r="C233" s="25">
        <v>100.0</v>
      </c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</row>
    <row r="234" ht="15.0" customHeight="1">
      <c r="A234" s="24" t="s">
        <v>111</v>
      </c>
      <c r="B234" s="28" t="s">
        <v>112</v>
      </c>
      <c r="C234" s="25" t="s">
        <v>113</v>
      </c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</row>
    <row r="235" ht="15.0" customHeight="1">
      <c r="A235" s="24" t="s">
        <v>114</v>
      </c>
      <c r="B235" s="28" t="s">
        <v>115</v>
      </c>
      <c r="C235" s="25" t="s">
        <v>116</v>
      </c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</row>
    <row r="236" ht="15.0" customHeight="1">
      <c r="A236" s="24" t="s">
        <v>117</v>
      </c>
      <c r="B236" s="28" t="s">
        <v>118</v>
      </c>
      <c r="C236" s="25">
        <v>0.0</v>
      </c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</row>
    <row r="237" ht="15.0" customHeight="1">
      <c r="A237" s="24" t="s">
        <v>119</v>
      </c>
      <c r="B237" s="28" t="s">
        <v>105</v>
      </c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</row>
    <row r="238" ht="15.0" customHeight="1">
      <c r="A238" s="24" t="s">
        <v>120</v>
      </c>
      <c r="B238" s="28" t="s">
        <v>105</v>
      </c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</row>
    <row r="239" ht="15.0" customHeight="1">
      <c r="A239" s="24" t="s">
        <v>121</v>
      </c>
      <c r="B239" s="28" t="s">
        <v>122</v>
      </c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</row>
    <row r="240" ht="15.0" customHeight="1">
      <c r="A240" s="24" t="s">
        <v>123</v>
      </c>
      <c r="B240" s="28" t="s">
        <v>122</v>
      </c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</row>
    <row r="241" ht="15.0" customHeight="1">
      <c r="A241" s="24" t="s">
        <v>124</v>
      </c>
      <c r="B241" s="28" t="s">
        <v>122</v>
      </c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</row>
    <row r="242" ht="15.0" customHeight="1">
      <c r="A242" s="24" t="s">
        <v>125</v>
      </c>
      <c r="B242" s="28" t="s">
        <v>122</v>
      </c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</row>
    <row r="243" ht="15.0" customHeight="1">
      <c r="A243" s="24" t="s">
        <v>126</v>
      </c>
      <c r="B243" s="28" t="s">
        <v>122</v>
      </c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</row>
    <row r="244" ht="15.0" customHeight="1">
      <c r="A244" s="24" t="s">
        <v>127</v>
      </c>
      <c r="B244" s="28" t="s">
        <v>122</v>
      </c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</row>
    <row r="245" ht="15.0" customHeight="1">
      <c r="A245" s="24" t="s">
        <v>128</v>
      </c>
      <c r="B245" s="25" t="s">
        <v>129</v>
      </c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</row>
    <row r="246" ht="15.75" customHeight="1">
      <c r="A246" s="24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</row>
    <row r="247" ht="15.75" customHeight="1">
      <c r="A247" s="24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</row>
    <row r="248" ht="15.75" customHeight="1">
      <c r="A248" s="24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</row>
    <row r="249" ht="15.75" customHeight="1">
      <c r="A249" s="24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</row>
    <row r="250" ht="15.75" customHeight="1">
      <c r="A250" s="24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</row>
    <row r="251" ht="15.75" customHeight="1">
      <c r="A251" s="24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</row>
    <row r="252" ht="15.75" customHeight="1">
      <c r="A252" s="24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</row>
    <row r="253" ht="15.75" customHeight="1">
      <c r="A253" s="24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</row>
    <row r="254" ht="15.75" customHeight="1">
      <c r="A254" s="24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</row>
    <row r="255" ht="15.75" customHeight="1">
      <c r="A255" s="24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</row>
    <row r="256" ht="15.75" customHeight="1">
      <c r="A256" s="24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</row>
    <row r="257" ht="15.75" customHeight="1">
      <c r="A257" s="24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</row>
    <row r="258" ht="15.75" customHeight="1">
      <c r="A258" s="24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</row>
    <row r="259" ht="15.75" customHeight="1">
      <c r="A259" s="24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</row>
    <row r="260" ht="15.75" customHeight="1">
      <c r="A260" s="24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</row>
    <row r="261" ht="15.75" customHeight="1">
      <c r="A261" s="24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</row>
    <row r="262" ht="15.75" customHeight="1">
      <c r="A262" s="24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</row>
    <row r="263" ht="15.75" customHeight="1">
      <c r="A263" s="24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</row>
    <row r="264" ht="15.75" customHeight="1">
      <c r="A264" s="24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</row>
    <row r="265" ht="15.75" customHeight="1">
      <c r="A265" s="24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</row>
    <row r="266" ht="15.75" customHeight="1">
      <c r="A266" s="24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</row>
    <row r="267" ht="15.75" customHeight="1">
      <c r="A267" s="24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</row>
    <row r="268" ht="15.75" customHeight="1">
      <c r="A268" s="24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</row>
    <row r="269" ht="15.75" customHeight="1">
      <c r="A269" s="24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</row>
    <row r="270" ht="15.75" customHeight="1">
      <c r="A270" s="24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</row>
    <row r="271" ht="15.75" customHeight="1">
      <c r="A271" s="24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</row>
    <row r="272" ht="15.75" customHeight="1">
      <c r="A272" s="24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</row>
    <row r="273" ht="15.75" customHeight="1">
      <c r="A273" s="24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</row>
    <row r="274" ht="15.75" customHeight="1">
      <c r="A274" s="24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</row>
    <row r="275" ht="15.75" customHeight="1">
      <c r="A275" s="24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</row>
    <row r="276" ht="15.75" customHeight="1">
      <c r="A276" s="24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</row>
    <row r="277" ht="15.75" customHeight="1">
      <c r="A277" s="24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</row>
    <row r="278" ht="15.75" customHeight="1">
      <c r="A278" s="24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</row>
    <row r="279" ht="15.75" customHeight="1">
      <c r="A279" s="24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</row>
    <row r="280" ht="15.75" customHeight="1">
      <c r="A280" s="24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</row>
    <row r="281" ht="15.75" customHeight="1">
      <c r="A281" s="24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</row>
    <row r="282" ht="15.75" customHeight="1">
      <c r="A282" s="24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</row>
    <row r="283" ht="15.75" customHeight="1">
      <c r="A283" s="24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</row>
    <row r="284" ht="15.75" customHeight="1">
      <c r="A284" s="24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</row>
    <row r="285" ht="15.75" customHeight="1">
      <c r="A285" s="24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</row>
    <row r="286" ht="15.75" customHeight="1">
      <c r="A286" s="2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</row>
    <row r="287" ht="15.75" customHeight="1">
      <c r="A287" s="24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</row>
    <row r="288" ht="15.75" customHeight="1">
      <c r="A288" s="24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</row>
    <row r="289" ht="15.75" customHeight="1">
      <c r="A289" s="24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</row>
    <row r="290" ht="15.75" customHeight="1">
      <c r="A290" s="24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</row>
    <row r="291" ht="15.75" customHeight="1">
      <c r="A291" s="24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</row>
    <row r="292" ht="15.75" customHeight="1">
      <c r="A292" s="24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</row>
    <row r="293" ht="15.75" customHeight="1">
      <c r="A293" s="24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</row>
    <row r="294" ht="15.75" customHeight="1">
      <c r="A294" s="24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</row>
    <row r="295" ht="15.75" customHeight="1">
      <c r="A295" s="24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</row>
    <row r="296" ht="15.75" customHeight="1">
      <c r="A296" s="24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</row>
    <row r="297" ht="15.75" customHeight="1">
      <c r="A297" s="24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</row>
    <row r="298" ht="15.75" customHeight="1">
      <c r="A298" s="24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</row>
    <row r="299" ht="15.75" customHeight="1">
      <c r="A299" s="24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</row>
    <row r="300" ht="15.75" customHeight="1">
      <c r="A300" s="24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</row>
    <row r="301" ht="15.75" customHeight="1">
      <c r="A301" s="24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</row>
    <row r="302" ht="15.75" customHeight="1">
      <c r="A302" s="24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</row>
    <row r="303" ht="15.75" customHeight="1">
      <c r="A303" s="24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</row>
    <row r="304" ht="15.75" customHeight="1">
      <c r="A304" s="24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</row>
    <row r="305" ht="15.75" customHeight="1">
      <c r="A305" s="24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</row>
    <row r="306" ht="15.75" customHeight="1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</row>
    <row r="307" ht="15.75" customHeight="1">
      <c r="A307" s="24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</row>
    <row r="308" ht="15.75" customHeight="1">
      <c r="A308" s="24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</row>
    <row r="309" ht="15.75" customHeight="1">
      <c r="A309" s="24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</row>
    <row r="310" ht="15.75" customHeight="1">
      <c r="A310" s="24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</row>
    <row r="311" ht="15.75" customHeight="1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</row>
    <row r="312" ht="15.7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</row>
    <row r="313" ht="15.75" customHeight="1">
      <c r="A313" s="24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</row>
    <row r="314" ht="15.75" customHeight="1">
      <c r="A314" s="24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</row>
    <row r="315" ht="15.75" customHeight="1">
      <c r="A315" s="24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</row>
    <row r="316" ht="15.75" customHeight="1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</row>
    <row r="317" ht="15.75" customHeight="1">
      <c r="A317" s="24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</row>
    <row r="318" ht="15.75" customHeight="1">
      <c r="A318" s="24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</row>
    <row r="319" ht="15.75" customHeight="1">
      <c r="A319" s="24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</row>
    <row r="320" ht="15.75" customHeight="1">
      <c r="A320" s="24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</row>
    <row r="321" ht="15.75" customHeight="1">
      <c r="A321" s="24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</row>
    <row r="322" ht="15.75" customHeight="1">
      <c r="A322" s="24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</row>
    <row r="323" ht="15.75" customHeight="1">
      <c r="A323" s="24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</row>
    <row r="324" ht="15.75" customHeight="1">
      <c r="A324" s="24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</row>
    <row r="325" ht="15.75" customHeight="1">
      <c r="A325" s="24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</row>
    <row r="326" ht="15.75" customHeight="1">
      <c r="A326" s="24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</row>
    <row r="327" ht="15.75" customHeight="1">
      <c r="A327" s="24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</row>
    <row r="328" ht="15.75" customHeight="1">
      <c r="A328" s="24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</row>
    <row r="329" ht="15.75" customHeight="1">
      <c r="A329" s="24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</row>
    <row r="330" ht="15.75" customHeight="1">
      <c r="A330" s="24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</row>
    <row r="331" ht="15.75" customHeight="1">
      <c r="A331" s="24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</row>
    <row r="332" ht="15.75" customHeight="1">
      <c r="A332" s="2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</row>
    <row r="333" ht="15.75" customHeight="1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</row>
    <row r="334" ht="15.75" customHeight="1">
      <c r="A334" s="24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</row>
    <row r="335" ht="15.75" customHeight="1">
      <c r="A335" s="24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</row>
    <row r="336" ht="15.75" customHeight="1">
      <c r="A336" s="24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</row>
    <row r="337" ht="15.75" customHeight="1">
      <c r="A337" s="24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</row>
    <row r="338" ht="15.75" customHeight="1">
      <c r="A338" s="24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</row>
    <row r="339" ht="15.75" customHeight="1">
      <c r="A339" s="24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</row>
    <row r="340" ht="15.75" customHeight="1">
      <c r="A340" s="24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</row>
    <row r="341" ht="15.75" customHeight="1">
      <c r="A341" s="24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</row>
    <row r="342" ht="15.75" customHeight="1">
      <c r="A342" s="24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</row>
    <row r="343" ht="15.75" customHeight="1">
      <c r="A343" s="24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</row>
    <row r="344" ht="15.75" customHeight="1">
      <c r="A344" s="24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</row>
    <row r="345" ht="15.75" customHeight="1">
      <c r="A345" s="24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</row>
    <row r="346" ht="15.75" customHeight="1">
      <c r="A346" s="24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</row>
    <row r="347" ht="15.75" customHeight="1">
      <c r="A347" s="24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</row>
    <row r="348" ht="15.75" customHeight="1">
      <c r="A348" s="24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</row>
    <row r="349" ht="15.75" customHeight="1">
      <c r="A349" s="24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</row>
    <row r="350" ht="15.75" customHeigh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</row>
    <row r="351" ht="15.75" customHeight="1">
      <c r="A351" s="24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</row>
    <row r="352" ht="15.75" customHeight="1">
      <c r="A352" s="24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</row>
    <row r="353" ht="15.75" customHeight="1">
      <c r="A353" s="24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</row>
    <row r="354" ht="15.75" customHeight="1">
      <c r="A354" s="24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</row>
    <row r="355" ht="15.75" customHeight="1">
      <c r="A355" s="24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</row>
    <row r="356" ht="15.75" customHeight="1">
      <c r="A356" s="24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</row>
    <row r="357" ht="15.75" customHeight="1">
      <c r="A357" s="24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</row>
    <row r="358" ht="15.75" customHeight="1">
      <c r="A358" s="24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</row>
    <row r="359" ht="15.75" customHeight="1">
      <c r="A359" s="24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</row>
    <row r="360" ht="15.75" customHeight="1">
      <c r="A360" s="24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</row>
    <row r="361" ht="15.75" customHeight="1">
      <c r="A361" s="24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</row>
    <row r="362" ht="15.75" customHeight="1">
      <c r="A362" s="24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</row>
    <row r="363" ht="15.75" customHeight="1">
      <c r="A363" s="24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</row>
    <row r="364" ht="15.75" customHeight="1">
      <c r="A364" s="24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</row>
    <row r="365" ht="15.75" customHeight="1">
      <c r="A365" s="24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</row>
    <row r="366" ht="15.75" customHeight="1">
      <c r="A366" s="24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</row>
    <row r="367" ht="15.75" customHeight="1">
      <c r="A367" s="24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</row>
    <row r="368" ht="15.75" customHeight="1">
      <c r="A368" s="24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</row>
    <row r="369" ht="15.75" customHeight="1">
      <c r="A369" s="24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</row>
    <row r="370" ht="15.75" customHeight="1">
      <c r="A370" s="24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</row>
    <row r="371" ht="15.75" customHeight="1">
      <c r="A371" s="24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</row>
    <row r="372" ht="15.75" customHeight="1">
      <c r="A372" s="24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</row>
    <row r="373" ht="15.75" customHeight="1">
      <c r="A373" s="24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</row>
    <row r="374" ht="15.75" customHeight="1">
      <c r="A374" s="24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</row>
    <row r="375" ht="15.75" customHeight="1">
      <c r="A375" s="24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</row>
    <row r="376" ht="15.75" customHeight="1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</row>
    <row r="377" ht="15.75" customHeight="1">
      <c r="A377" s="24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</row>
    <row r="378" ht="15.75" customHeight="1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</row>
    <row r="379" ht="15.75" customHeight="1">
      <c r="A379" s="24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</row>
    <row r="380" ht="15.75" customHeight="1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</row>
    <row r="381" ht="15.75" customHeight="1">
      <c r="A381" s="24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</row>
    <row r="382" ht="15.75" customHeight="1">
      <c r="A382" s="24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</row>
    <row r="383" ht="15.75" customHeight="1">
      <c r="A383" s="24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</row>
    <row r="384" ht="15.75" customHeight="1">
      <c r="A384" s="24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</row>
    <row r="385" ht="15.75" customHeight="1">
      <c r="A385" s="24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</row>
    <row r="386" ht="15.75" customHeight="1">
      <c r="A386" s="24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</row>
    <row r="387" ht="15.75" customHeight="1">
      <c r="A387" s="24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</row>
    <row r="388" ht="15.75" customHeight="1">
      <c r="A388" s="24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</row>
    <row r="389" ht="15.75" customHeight="1">
      <c r="A389" s="24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</row>
    <row r="390" ht="15.75" customHeight="1">
      <c r="A390" s="24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</row>
    <row r="391" ht="15.75" customHeight="1">
      <c r="A391" s="24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</row>
    <row r="392" ht="15.75" customHeight="1">
      <c r="A392" s="24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</row>
    <row r="393" ht="15.75" customHeight="1">
      <c r="A393" s="24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</row>
    <row r="394" ht="15.75" customHeight="1">
      <c r="A394" s="24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</row>
    <row r="395" ht="15.75" customHeight="1">
      <c r="A395" s="24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</row>
    <row r="396" ht="15.75" customHeight="1">
      <c r="A396" s="24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</row>
    <row r="397" ht="15.75" customHeight="1">
      <c r="A397" s="24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</row>
    <row r="398" ht="15.75" customHeight="1">
      <c r="A398" s="24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</row>
    <row r="399" ht="15.75" customHeight="1">
      <c r="A399" s="24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</row>
    <row r="400" ht="15.75" customHeight="1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</row>
    <row r="401" ht="15.75" customHeight="1">
      <c r="A401" s="24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</row>
    <row r="402" ht="15.75" customHeight="1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</row>
    <row r="403" ht="15.75" customHeight="1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</row>
    <row r="404" ht="15.75" customHeight="1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</row>
    <row r="405" ht="15.75" customHeight="1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</row>
    <row r="406" ht="15.75" customHeight="1">
      <c r="A406" s="24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</row>
    <row r="407" ht="15.75" customHeight="1">
      <c r="A407" s="24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</row>
    <row r="408" ht="15.75" customHeight="1">
      <c r="A408" s="24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</row>
    <row r="409" ht="15.75" customHeight="1">
      <c r="A409" s="24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</row>
    <row r="410" ht="15.75" customHeight="1">
      <c r="A410" s="24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</row>
    <row r="411" ht="15.75" customHeight="1">
      <c r="A411" s="24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</row>
    <row r="412" ht="15.75" customHeight="1">
      <c r="A412" s="24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</row>
    <row r="413" ht="15.75" customHeight="1">
      <c r="A413" s="24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</row>
    <row r="414" ht="15.75" customHeight="1">
      <c r="A414" s="24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</row>
    <row r="415" ht="15.75" customHeight="1">
      <c r="A415" s="24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</row>
    <row r="416" ht="15.75" customHeight="1">
      <c r="A416" s="24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</row>
    <row r="417" ht="15.75" customHeight="1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</row>
    <row r="418" ht="15.75" customHeight="1">
      <c r="A418" s="24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</row>
    <row r="419" ht="15.75" customHeight="1">
      <c r="A419" s="24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</row>
    <row r="420" ht="15.75" customHeight="1">
      <c r="A420" s="24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</row>
    <row r="421" ht="15.75" customHeight="1">
      <c r="A421" s="24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</row>
    <row r="422" ht="15.75" customHeight="1">
      <c r="A422" s="24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</row>
    <row r="423" ht="15.75" customHeight="1">
      <c r="A423" s="24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</row>
    <row r="424" ht="15.75" customHeight="1">
      <c r="A424" s="24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</row>
    <row r="425" ht="15.75" customHeight="1">
      <c r="A425" s="24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</row>
    <row r="426" ht="15.75" customHeight="1">
      <c r="A426" s="24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</row>
    <row r="427" ht="15.75" customHeight="1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</row>
    <row r="428" ht="15.75" customHeight="1">
      <c r="A428" s="24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</row>
    <row r="429" ht="15.75" customHeight="1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</row>
    <row r="430" ht="15.75" customHeight="1">
      <c r="A430" s="24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</row>
    <row r="431" ht="15.75" customHeight="1">
      <c r="A431" s="24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</row>
    <row r="432" ht="15.75" customHeight="1">
      <c r="A432" s="24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</row>
    <row r="433" ht="15.75" customHeight="1">
      <c r="A433" s="24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</row>
    <row r="434" ht="15.75" customHeight="1">
      <c r="A434" s="24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</row>
    <row r="435" ht="15.75" customHeight="1">
      <c r="A435" s="24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</row>
    <row r="436" ht="15.75" customHeight="1">
      <c r="A436" s="24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</row>
    <row r="437" ht="15.75" customHeight="1">
      <c r="A437" s="24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</row>
    <row r="438" ht="15.75" customHeight="1">
      <c r="A438" s="24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</row>
    <row r="439" ht="15.75" customHeight="1">
      <c r="A439" s="24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</row>
    <row r="440" ht="15.75" customHeight="1">
      <c r="A440" s="24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</row>
    <row r="441" ht="15.75" customHeight="1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</row>
    <row r="442" ht="15.75" customHeight="1">
      <c r="A442" s="24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</row>
    <row r="443" ht="15.75" customHeight="1">
      <c r="A443" s="24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</row>
    <row r="444" ht="15.75" customHeight="1">
      <c r="A444" s="24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</row>
    <row r="445" ht="15.75" customHeight="1">
      <c r="A445" s="24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</row>
    <row r="446" ht="15.75" customHeight="1">
      <c r="A446" s="24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</row>
    <row r="447" ht="15.75" customHeight="1">
      <c r="A447" s="24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</row>
    <row r="448" ht="15.75" customHeight="1">
      <c r="A448" s="24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</row>
    <row r="449" ht="15.75" customHeight="1">
      <c r="A449" s="24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</row>
    <row r="450" ht="15.75" customHeight="1">
      <c r="A450" s="24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</row>
    <row r="451" ht="15.75" customHeight="1">
      <c r="A451" s="24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</row>
    <row r="452" ht="15.75" customHeight="1">
      <c r="A452" s="24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</row>
    <row r="453" ht="15.75" customHeight="1">
      <c r="A453" s="24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</row>
    <row r="454" ht="15.75" customHeight="1">
      <c r="A454" s="24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</row>
    <row r="455" ht="15.75" customHeight="1">
      <c r="A455" s="24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</row>
    <row r="456" ht="15.75" customHeight="1">
      <c r="A456" s="24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</row>
    <row r="457" ht="15.75" customHeight="1">
      <c r="A457" s="24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</row>
    <row r="458" ht="15.75" customHeight="1">
      <c r="A458" s="24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</row>
    <row r="459" ht="15.75" customHeight="1">
      <c r="A459" s="24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</row>
    <row r="460" ht="15.75" customHeight="1">
      <c r="A460" s="24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</row>
    <row r="461" ht="15.75" customHeight="1">
      <c r="A461" s="24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</row>
    <row r="462" ht="15.75" customHeight="1">
      <c r="A462" s="24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</row>
    <row r="463" ht="15.75" customHeight="1">
      <c r="A463" s="24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</row>
    <row r="464" ht="15.75" customHeight="1">
      <c r="A464" s="24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</row>
    <row r="465" ht="15.75" customHeight="1">
      <c r="A465" s="24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</row>
    <row r="466" ht="15.75" customHeight="1">
      <c r="A466" s="24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</row>
    <row r="467" ht="15.75" customHeight="1">
      <c r="A467" s="24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</row>
    <row r="468" ht="15.75" customHeight="1">
      <c r="A468" s="24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</row>
    <row r="469" ht="15.75" customHeight="1">
      <c r="A469" s="24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</row>
    <row r="470" ht="15.75" customHeight="1">
      <c r="A470" s="24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</row>
    <row r="471" ht="15.75" customHeight="1">
      <c r="A471" s="24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</row>
    <row r="472" ht="15.75" customHeight="1">
      <c r="A472" s="24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</row>
    <row r="473" ht="15.75" customHeight="1">
      <c r="A473" s="24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</row>
    <row r="474" ht="15.75" customHeight="1">
      <c r="A474" s="24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</row>
    <row r="475" ht="15.75" customHeight="1">
      <c r="A475" s="24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</row>
    <row r="476" ht="15.75" customHeight="1">
      <c r="A476" s="24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</row>
    <row r="477" ht="15.75" customHeight="1">
      <c r="A477" s="24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</row>
    <row r="478" ht="15.75" customHeight="1">
      <c r="A478" s="24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</row>
    <row r="479" ht="15.75" customHeight="1">
      <c r="A479" s="24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</row>
    <row r="480" ht="15.75" customHeight="1">
      <c r="A480" s="24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</row>
    <row r="481" ht="15.75" customHeight="1">
      <c r="A481" s="24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</row>
    <row r="482" ht="15.75" customHeight="1">
      <c r="A482" s="24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</row>
    <row r="483" ht="15.75" customHeight="1">
      <c r="A483" s="24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</row>
    <row r="484" ht="15.75" customHeight="1">
      <c r="A484" s="24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</row>
    <row r="485" ht="15.75" customHeight="1">
      <c r="A485" s="24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</row>
    <row r="486" ht="15.75" customHeight="1">
      <c r="A486" s="24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</row>
    <row r="487" ht="15.75" customHeight="1">
      <c r="A487" s="24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</row>
    <row r="488" ht="15.75" customHeight="1">
      <c r="A488" s="24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</row>
    <row r="489" ht="15.75" customHeight="1">
      <c r="A489" s="24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</row>
    <row r="490" ht="15.75" customHeight="1">
      <c r="A490" s="24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</row>
    <row r="491" ht="15.75" customHeight="1">
      <c r="A491" s="24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</row>
    <row r="492" ht="15.75" customHeight="1">
      <c r="A492" s="24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</row>
    <row r="493" ht="15.75" customHeight="1">
      <c r="A493" s="24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</row>
    <row r="494" ht="15.75" customHeight="1">
      <c r="A494" s="24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</row>
    <row r="495" ht="15.75" customHeight="1">
      <c r="A495" s="24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</row>
    <row r="496" ht="15.75" customHeight="1">
      <c r="A496" s="24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</row>
    <row r="497" ht="15.75" customHeight="1">
      <c r="A497" s="24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</row>
    <row r="498" ht="15.75" customHeight="1">
      <c r="A498" s="24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</row>
    <row r="499" ht="15.75" customHeight="1">
      <c r="A499" s="24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</row>
    <row r="500" ht="15.75" customHeight="1">
      <c r="A500" s="24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</row>
    <row r="501" ht="15.75" customHeight="1">
      <c r="A501" s="24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</row>
    <row r="502" ht="15.75" customHeight="1">
      <c r="A502" s="24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</row>
    <row r="503" ht="15.75" customHeight="1">
      <c r="A503" s="24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</row>
    <row r="504" ht="15.75" customHeight="1">
      <c r="A504" s="24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</row>
    <row r="505" ht="15.75" customHeight="1">
      <c r="A505" s="24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</row>
    <row r="506" ht="15.75" customHeight="1">
      <c r="A506" s="24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</row>
    <row r="507" ht="15.75" customHeight="1">
      <c r="A507" s="24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</row>
    <row r="508" ht="15.75" customHeight="1">
      <c r="A508" s="24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</row>
    <row r="509" ht="15.75" customHeight="1">
      <c r="A509" s="24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</row>
    <row r="510" ht="15.75" customHeight="1">
      <c r="A510" s="24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</row>
    <row r="511" ht="15.75" customHeight="1">
      <c r="A511" s="24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</row>
    <row r="512" ht="15.75" customHeight="1">
      <c r="A512" s="24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</row>
    <row r="513" ht="15.75" customHeight="1">
      <c r="A513" s="24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</row>
    <row r="514" ht="15.75" customHeight="1">
      <c r="A514" s="24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</row>
    <row r="515" ht="15.75" customHeight="1">
      <c r="A515" s="24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</row>
    <row r="516" ht="15.75" customHeight="1">
      <c r="A516" s="24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</row>
    <row r="517" ht="15.75" customHeight="1">
      <c r="A517" s="24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</row>
    <row r="518" ht="15.75" customHeight="1">
      <c r="A518" s="24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</row>
    <row r="519" ht="15.75" customHeight="1">
      <c r="A519" s="24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</row>
    <row r="520" ht="15.75" customHeight="1">
      <c r="A520" s="24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</row>
    <row r="521" ht="15.75" customHeight="1">
      <c r="A521" s="24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</row>
    <row r="522" ht="15.75" customHeight="1">
      <c r="A522" s="24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</row>
    <row r="523" ht="15.75" customHeight="1">
      <c r="A523" s="24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</row>
    <row r="524" ht="15.75" customHeight="1">
      <c r="A524" s="24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</row>
    <row r="525" ht="15.75" customHeight="1">
      <c r="A525" s="24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</row>
    <row r="526" ht="15.75" customHeight="1">
      <c r="A526" s="24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</row>
    <row r="527" ht="15.75" customHeight="1">
      <c r="A527" s="24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</row>
    <row r="528" ht="15.75" customHeight="1">
      <c r="A528" s="24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</row>
    <row r="529" ht="15.75" customHeight="1">
      <c r="A529" s="24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</row>
    <row r="530" ht="15.75" customHeight="1">
      <c r="A530" s="24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</row>
    <row r="531" ht="15.75" customHeight="1">
      <c r="A531" s="24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</row>
    <row r="532" ht="15.75" customHeight="1">
      <c r="A532" s="24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</row>
    <row r="533" ht="15.75" customHeight="1">
      <c r="A533" s="24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</row>
    <row r="534" ht="15.75" customHeight="1">
      <c r="A534" s="24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</row>
    <row r="535" ht="15.75" customHeight="1">
      <c r="A535" s="24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</row>
    <row r="536" ht="15.75" customHeight="1">
      <c r="A536" s="24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</row>
    <row r="537" ht="15.75" customHeight="1">
      <c r="A537" s="24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</row>
    <row r="538" ht="15.75" customHeight="1">
      <c r="A538" s="24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</row>
    <row r="539" ht="15.75" customHeight="1">
      <c r="A539" s="24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</row>
    <row r="540" ht="15.75" customHeight="1">
      <c r="A540" s="24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</row>
    <row r="541" ht="15.75" customHeight="1">
      <c r="A541" s="24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</row>
    <row r="542" ht="15.75" customHeight="1">
      <c r="A542" s="24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</row>
    <row r="543" ht="15.75" customHeight="1">
      <c r="A543" s="24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</row>
    <row r="544" ht="15.75" customHeight="1">
      <c r="A544" s="24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</row>
    <row r="545" ht="15.75" customHeight="1">
      <c r="A545" s="24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</row>
    <row r="546" ht="15.75" customHeight="1">
      <c r="A546" s="24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</row>
    <row r="547" ht="15.75" customHeight="1">
      <c r="A547" s="24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</row>
    <row r="548" ht="15.75" customHeight="1">
      <c r="A548" s="24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</row>
    <row r="549" ht="15.75" customHeight="1">
      <c r="A549" s="24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</row>
    <row r="550" ht="15.75" customHeight="1">
      <c r="A550" s="24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</row>
    <row r="551" ht="15.75" customHeight="1">
      <c r="A551" s="24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</row>
    <row r="552" ht="15.75" customHeight="1">
      <c r="A552" s="24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</row>
    <row r="553" ht="15.75" customHeight="1">
      <c r="A553" s="24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</row>
    <row r="554" ht="15.75" customHeight="1">
      <c r="A554" s="24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</row>
    <row r="555" ht="15.75" customHeight="1">
      <c r="A555" s="24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</row>
    <row r="556" ht="15.75" customHeight="1">
      <c r="A556" s="24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</row>
    <row r="557" ht="15.75" customHeight="1">
      <c r="A557" s="24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</row>
    <row r="558" ht="15.75" customHeight="1">
      <c r="A558" s="24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</row>
    <row r="559" ht="15.75" customHeight="1">
      <c r="A559" s="24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</row>
    <row r="560" ht="15.75" customHeight="1">
      <c r="A560" s="24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</row>
    <row r="561" ht="15.75" customHeight="1">
      <c r="A561" s="24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</row>
    <row r="562" ht="15.75" customHeight="1">
      <c r="A562" s="24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</row>
    <row r="563" ht="15.75" customHeight="1">
      <c r="A563" s="24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</row>
    <row r="564" ht="15.75" customHeight="1">
      <c r="A564" s="24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</row>
    <row r="565" ht="15.75" customHeight="1">
      <c r="A565" s="24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</row>
    <row r="566" ht="15.75" customHeight="1">
      <c r="A566" s="24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</row>
    <row r="567" ht="15.75" customHeight="1">
      <c r="A567" s="24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</row>
    <row r="568" ht="15.75" customHeight="1">
      <c r="A568" s="24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</row>
    <row r="569" ht="15.75" customHeight="1">
      <c r="A569" s="24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</row>
    <row r="570" ht="15.75" customHeight="1">
      <c r="A570" s="24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</row>
    <row r="571" ht="15.75" customHeight="1">
      <c r="A571" s="24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</row>
    <row r="572" ht="15.75" customHeight="1">
      <c r="A572" s="24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</row>
    <row r="573" ht="15.75" customHeight="1">
      <c r="A573" s="24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</row>
    <row r="574" ht="15.75" customHeight="1">
      <c r="A574" s="24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</row>
    <row r="575" ht="15.75" customHeight="1">
      <c r="A575" s="24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</row>
    <row r="576" ht="15.75" customHeight="1">
      <c r="A576" s="24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</row>
    <row r="577" ht="15.75" customHeight="1">
      <c r="A577" s="24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</row>
    <row r="578" ht="15.75" customHeight="1">
      <c r="A578" s="24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</row>
    <row r="579" ht="15.75" customHeight="1">
      <c r="A579" s="24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</row>
    <row r="580" ht="15.75" customHeight="1">
      <c r="A580" s="24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</row>
    <row r="581" ht="15.75" customHeight="1">
      <c r="A581" s="24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</row>
    <row r="582" ht="15.75" customHeight="1">
      <c r="A582" s="24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</row>
    <row r="583" ht="15.75" customHeight="1">
      <c r="A583" s="24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</row>
    <row r="584" ht="15.75" customHeight="1">
      <c r="A584" s="24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</row>
    <row r="585" ht="15.75" customHeight="1">
      <c r="A585" s="24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</row>
    <row r="586" ht="15.75" customHeight="1">
      <c r="A586" s="24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</row>
    <row r="587" ht="15.75" customHeight="1">
      <c r="A587" s="24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</row>
    <row r="588" ht="15.75" customHeight="1">
      <c r="A588" s="24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</row>
    <row r="589" ht="15.75" customHeight="1">
      <c r="A589" s="24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</row>
    <row r="590" ht="15.75" customHeight="1">
      <c r="A590" s="24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</row>
    <row r="591" ht="15.75" customHeight="1">
      <c r="A591" s="24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</row>
    <row r="592" ht="15.75" customHeight="1">
      <c r="A592" s="24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</row>
    <row r="593" ht="15.75" customHeight="1">
      <c r="A593" s="24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</row>
    <row r="594" ht="15.75" customHeight="1">
      <c r="A594" s="24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</row>
    <row r="595" ht="15.75" customHeight="1">
      <c r="A595" s="24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</row>
    <row r="596" ht="15.75" customHeight="1">
      <c r="A596" s="24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</row>
    <row r="597" ht="15.75" customHeight="1">
      <c r="A597" s="24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</row>
    <row r="598" ht="15.75" customHeight="1">
      <c r="A598" s="24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</row>
    <row r="599" ht="15.75" customHeight="1">
      <c r="A599" s="24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</row>
    <row r="600" ht="15.75" customHeight="1">
      <c r="A600" s="24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</row>
    <row r="601" ht="15.75" customHeight="1">
      <c r="A601" s="24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</row>
    <row r="602" ht="15.75" customHeight="1">
      <c r="A602" s="24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</row>
    <row r="603" ht="15.75" customHeight="1">
      <c r="A603" s="24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</row>
    <row r="604" ht="15.75" customHeight="1">
      <c r="A604" s="24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</row>
    <row r="605" ht="15.75" customHeight="1">
      <c r="A605" s="24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</row>
    <row r="606" ht="15.75" customHeight="1">
      <c r="A606" s="24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</row>
    <row r="607" ht="15.75" customHeight="1">
      <c r="A607" s="24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</row>
    <row r="608" ht="15.75" customHeight="1">
      <c r="A608" s="24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</row>
    <row r="609" ht="15.75" customHeight="1">
      <c r="A609" s="24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</row>
    <row r="610" ht="15.75" customHeight="1">
      <c r="A610" s="24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</row>
    <row r="611" ht="15.75" customHeight="1">
      <c r="A611" s="24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</row>
    <row r="612" ht="15.75" customHeight="1">
      <c r="A612" s="24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</row>
    <row r="613" ht="15.75" customHeight="1">
      <c r="A613" s="24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</row>
    <row r="614" ht="15.75" customHeight="1">
      <c r="A614" s="24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</row>
    <row r="615" ht="15.75" customHeight="1">
      <c r="A615" s="24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</row>
    <row r="616" ht="15.75" customHeight="1">
      <c r="A616" s="24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</row>
    <row r="617" ht="15.75" customHeight="1">
      <c r="A617" s="24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</row>
    <row r="618" ht="15.75" customHeight="1">
      <c r="A618" s="24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</row>
    <row r="619" ht="15.75" customHeight="1">
      <c r="A619" s="24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</row>
    <row r="620" ht="15.75" customHeight="1">
      <c r="A620" s="24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</row>
    <row r="621" ht="15.75" customHeight="1">
      <c r="A621" s="24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</row>
    <row r="622" ht="15.75" customHeight="1">
      <c r="A622" s="24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</row>
    <row r="623" ht="15.75" customHeight="1">
      <c r="A623" s="24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</row>
    <row r="624" ht="15.75" customHeight="1">
      <c r="A624" s="24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</row>
    <row r="625" ht="15.75" customHeight="1">
      <c r="A625" s="24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</row>
    <row r="626" ht="15.75" customHeight="1">
      <c r="A626" s="24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</row>
    <row r="627" ht="15.75" customHeight="1">
      <c r="A627" s="24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</row>
    <row r="628" ht="15.75" customHeight="1">
      <c r="A628" s="24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</row>
    <row r="629" ht="15.75" customHeight="1">
      <c r="A629" s="24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</row>
    <row r="630" ht="15.75" customHeight="1">
      <c r="A630" s="24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</row>
    <row r="631" ht="15.75" customHeight="1">
      <c r="A631" s="24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</row>
    <row r="632" ht="15.75" customHeight="1">
      <c r="A632" s="24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</row>
    <row r="633" ht="15.75" customHeight="1">
      <c r="A633" s="24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</row>
    <row r="634" ht="15.75" customHeight="1">
      <c r="A634" s="24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</row>
    <row r="635" ht="15.75" customHeight="1">
      <c r="A635" s="24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</row>
    <row r="636" ht="15.75" customHeight="1">
      <c r="A636" s="24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</row>
    <row r="637" ht="15.75" customHeight="1">
      <c r="A637" s="24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</row>
    <row r="638" ht="15.75" customHeight="1">
      <c r="A638" s="24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</row>
    <row r="639" ht="15.75" customHeight="1">
      <c r="A639" s="24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</row>
    <row r="640" ht="15.75" customHeight="1">
      <c r="A640" s="24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</row>
    <row r="641" ht="15.75" customHeight="1">
      <c r="A641" s="24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</row>
    <row r="642" ht="15.75" customHeight="1">
      <c r="A642" s="24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</row>
    <row r="643" ht="15.75" customHeight="1">
      <c r="A643" s="24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</row>
    <row r="644" ht="15.75" customHeight="1">
      <c r="A644" s="24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</row>
    <row r="645" ht="15.75" customHeight="1">
      <c r="A645" s="24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</row>
    <row r="646" ht="15.75" customHeight="1">
      <c r="A646" s="24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</row>
    <row r="647" ht="15.75" customHeight="1">
      <c r="A647" s="24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</row>
    <row r="648" ht="15.75" customHeight="1">
      <c r="A648" s="24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</row>
    <row r="649" ht="15.75" customHeight="1">
      <c r="A649" s="24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</row>
    <row r="650" ht="15.75" customHeight="1">
      <c r="A650" s="24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</row>
    <row r="651" ht="15.75" customHeight="1">
      <c r="A651" s="24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</row>
    <row r="652" ht="15.75" customHeight="1">
      <c r="A652" s="24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</row>
    <row r="653" ht="15.75" customHeight="1">
      <c r="A653" s="24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</row>
    <row r="654" ht="15.75" customHeight="1">
      <c r="A654" s="24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</row>
    <row r="655" ht="15.75" customHeight="1">
      <c r="A655" s="24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</row>
    <row r="656" ht="15.75" customHeight="1">
      <c r="A656" s="24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</row>
    <row r="657" ht="15.75" customHeight="1">
      <c r="A657" s="24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</row>
    <row r="658" ht="15.75" customHeight="1">
      <c r="A658" s="24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</row>
    <row r="659" ht="15.75" customHeight="1">
      <c r="A659" s="24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</row>
    <row r="660" ht="15.75" customHeight="1">
      <c r="A660" s="24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</row>
    <row r="661" ht="15.75" customHeight="1">
      <c r="A661" s="24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</row>
    <row r="662" ht="15.75" customHeight="1">
      <c r="A662" s="24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</row>
    <row r="663" ht="15.75" customHeight="1">
      <c r="A663" s="24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</row>
    <row r="664" ht="15.75" customHeight="1">
      <c r="A664" s="24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</row>
    <row r="665" ht="15.75" customHeight="1">
      <c r="A665" s="24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</row>
    <row r="666" ht="15.75" customHeight="1">
      <c r="A666" s="24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</row>
    <row r="667" ht="15.75" customHeight="1">
      <c r="A667" s="24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</row>
    <row r="668" ht="15.75" customHeight="1">
      <c r="A668" s="24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</row>
    <row r="669" ht="15.75" customHeight="1">
      <c r="A669" s="24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</row>
    <row r="670" ht="15.75" customHeight="1">
      <c r="A670" s="24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</row>
    <row r="671" ht="15.75" customHeight="1">
      <c r="A671" s="24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</row>
    <row r="672" ht="15.75" customHeight="1">
      <c r="A672" s="24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</row>
    <row r="673" ht="15.75" customHeight="1">
      <c r="A673" s="24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</row>
    <row r="674" ht="15.75" customHeight="1">
      <c r="A674" s="24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</row>
    <row r="675" ht="15.75" customHeight="1">
      <c r="A675" s="24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</row>
    <row r="676" ht="15.75" customHeight="1">
      <c r="A676" s="24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</row>
    <row r="677" ht="15.75" customHeight="1">
      <c r="A677" s="24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</row>
    <row r="678" ht="15.75" customHeight="1">
      <c r="A678" s="24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</row>
    <row r="679" ht="15.75" customHeight="1">
      <c r="A679" s="24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</row>
    <row r="680" ht="15.75" customHeight="1">
      <c r="A680" s="24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</row>
    <row r="681" ht="15.75" customHeight="1">
      <c r="A681" s="24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</row>
    <row r="682" ht="15.75" customHeight="1">
      <c r="A682" s="24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</row>
    <row r="683" ht="15.75" customHeight="1">
      <c r="A683" s="24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</row>
    <row r="684" ht="15.75" customHeight="1">
      <c r="A684" s="24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</row>
    <row r="685" ht="15.75" customHeight="1">
      <c r="A685" s="24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</row>
    <row r="686" ht="15.75" customHeight="1">
      <c r="A686" s="24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</row>
    <row r="687" ht="15.75" customHeight="1">
      <c r="A687" s="24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</row>
    <row r="688" ht="15.75" customHeight="1">
      <c r="A688" s="24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</row>
    <row r="689" ht="15.75" customHeight="1">
      <c r="A689" s="24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</row>
    <row r="690" ht="15.75" customHeight="1">
      <c r="A690" s="24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</row>
    <row r="691" ht="15.75" customHeight="1">
      <c r="A691" s="24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</row>
    <row r="692" ht="15.75" customHeight="1">
      <c r="A692" s="24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</row>
    <row r="693" ht="15.75" customHeight="1">
      <c r="A693" s="24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</row>
    <row r="694" ht="15.75" customHeight="1">
      <c r="A694" s="24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</row>
    <row r="695" ht="15.75" customHeight="1">
      <c r="A695" s="24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</row>
    <row r="696" ht="15.75" customHeight="1">
      <c r="A696" s="24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</row>
    <row r="697" ht="15.75" customHeight="1">
      <c r="A697" s="24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</row>
    <row r="698" ht="15.75" customHeight="1">
      <c r="A698" s="24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</row>
    <row r="699" ht="15.75" customHeight="1">
      <c r="A699" s="24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</row>
    <row r="700" ht="15.75" customHeight="1">
      <c r="A700" s="24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</row>
    <row r="701" ht="15.75" customHeight="1">
      <c r="A701" s="24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</row>
    <row r="702" ht="15.75" customHeight="1">
      <c r="A702" s="24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</row>
    <row r="703" ht="15.75" customHeight="1">
      <c r="A703" s="24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</row>
    <row r="704" ht="15.75" customHeight="1">
      <c r="A704" s="24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</row>
    <row r="705" ht="15.75" customHeight="1">
      <c r="A705" s="24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</row>
    <row r="706" ht="15.75" customHeight="1">
      <c r="A706" s="24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</row>
    <row r="707" ht="15.75" customHeight="1">
      <c r="A707" s="24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</row>
    <row r="708" ht="15.75" customHeight="1">
      <c r="A708" s="24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</row>
    <row r="709" ht="15.75" customHeight="1">
      <c r="A709" s="24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</row>
    <row r="710" ht="15.75" customHeight="1">
      <c r="A710" s="24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</row>
    <row r="711" ht="15.75" customHeight="1">
      <c r="A711" s="24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</row>
    <row r="712" ht="15.75" customHeight="1">
      <c r="A712" s="24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</row>
    <row r="713" ht="15.75" customHeight="1">
      <c r="A713" s="24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</row>
    <row r="714" ht="15.75" customHeight="1">
      <c r="A714" s="24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</row>
    <row r="715" ht="15.75" customHeight="1">
      <c r="A715" s="24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</row>
    <row r="716" ht="15.75" customHeight="1">
      <c r="A716" s="24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</row>
    <row r="717" ht="15.75" customHeight="1">
      <c r="A717" s="24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</row>
    <row r="718" ht="15.75" customHeight="1">
      <c r="A718" s="24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</row>
    <row r="719" ht="15.75" customHeight="1">
      <c r="A719" s="24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</row>
    <row r="720" ht="15.75" customHeight="1">
      <c r="A720" s="24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</row>
    <row r="721" ht="15.75" customHeight="1">
      <c r="A721" s="24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</row>
    <row r="722" ht="15.75" customHeight="1">
      <c r="A722" s="24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</row>
    <row r="723" ht="15.75" customHeight="1">
      <c r="A723" s="24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</row>
    <row r="724" ht="15.75" customHeight="1">
      <c r="A724" s="24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</row>
    <row r="725" ht="15.75" customHeight="1">
      <c r="A725" s="24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</row>
    <row r="726" ht="15.75" customHeight="1">
      <c r="A726" s="24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</row>
    <row r="727" ht="15.75" customHeight="1">
      <c r="A727" s="24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</row>
    <row r="728" ht="15.75" customHeight="1">
      <c r="A728" s="24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</row>
    <row r="729" ht="15.75" customHeight="1">
      <c r="A729" s="24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</row>
    <row r="730" ht="15.75" customHeight="1">
      <c r="A730" s="24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</row>
    <row r="731" ht="15.75" customHeight="1">
      <c r="A731" s="24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</row>
    <row r="732" ht="15.75" customHeight="1">
      <c r="A732" s="24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</row>
    <row r="733" ht="15.75" customHeight="1">
      <c r="A733" s="24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</row>
    <row r="734" ht="15.75" customHeight="1">
      <c r="A734" s="24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</row>
    <row r="735" ht="15.75" customHeight="1">
      <c r="A735" s="24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</row>
    <row r="736" ht="15.75" customHeight="1">
      <c r="A736" s="24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</row>
    <row r="737" ht="15.75" customHeight="1">
      <c r="A737" s="24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</row>
    <row r="738" ht="15.75" customHeight="1">
      <c r="A738" s="24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</row>
    <row r="739" ht="15.75" customHeight="1">
      <c r="A739" s="24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</row>
    <row r="740" ht="15.75" customHeight="1">
      <c r="A740" s="24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</row>
    <row r="741" ht="15.75" customHeight="1">
      <c r="A741" s="24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</row>
    <row r="742" ht="15.75" customHeight="1">
      <c r="A742" s="24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</row>
    <row r="743" ht="15.75" customHeight="1">
      <c r="A743" s="24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</row>
    <row r="744" ht="15.75" customHeight="1">
      <c r="A744" s="24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</row>
    <row r="745" ht="15.75" customHeight="1">
      <c r="A745" s="24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</row>
    <row r="746" ht="15.75" customHeight="1">
      <c r="A746" s="24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</row>
    <row r="747" ht="15.75" customHeight="1">
      <c r="A747" s="24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</row>
    <row r="748" ht="15.75" customHeight="1">
      <c r="A748" s="24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</row>
    <row r="749" ht="15.75" customHeight="1">
      <c r="A749" s="24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</row>
    <row r="750" ht="15.75" customHeight="1">
      <c r="A750" s="24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</row>
    <row r="751" ht="15.75" customHeight="1">
      <c r="A751" s="24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</row>
    <row r="752" ht="15.75" customHeight="1">
      <c r="A752" s="24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</row>
    <row r="753" ht="15.75" customHeight="1">
      <c r="A753" s="24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</row>
    <row r="754" ht="15.75" customHeight="1">
      <c r="A754" s="24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</row>
    <row r="755" ht="15.75" customHeight="1">
      <c r="A755" s="24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</row>
    <row r="756" ht="15.75" customHeight="1">
      <c r="A756" s="24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</row>
    <row r="757" ht="15.75" customHeight="1">
      <c r="A757" s="24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</row>
    <row r="758" ht="15.75" customHeight="1">
      <c r="A758" s="24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</row>
    <row r="759" ht="15.75" customHeight="1">
      <c r="A759" s="24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</row>
    <row r="760" ht="15.75" customHeight="1">
      <c r="A760" s="24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</row>
    <row r="761" ht="15.75" customHeight="1">
      <c r="A761" s="24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</row>
    <row r="762" ht="15.75" customHeight="1">
      <c r="A762" s="24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</row>
    <row r="763" ht="15.75" customHeight="1">
      <c r="A763" s="24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</row>
    <row r="764" ht="15.75" customHeight="1">
      <c r="A764" s="24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</row>
    <row r="765" ht="15.75" customHeight="1">
      <c r="A765" s="24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</row>
    <row r="766" ht="15.75" customHeight="1">
      <c r="A766" s="24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</row>
    <row r="767" ht="15.75" customHeight="1">
      <c r="A767" s="24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</row>
    <row r="768" ht="15.75" customHeight="1">
      <c r="A768" s="24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</row>
    <row r="769" ht="15.75" customHeight="1">
      <c r="A769" s="24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</row>
    <row r="770" ht="15.75" customHeight="1">
      <c r="A770" s="24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</row>
    <row r="771" ht="15.75" customHeight="1">
      <c r="A771" s="24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</row>
    <row r="772" ht="15.75" customHeight="1">
      <c r="A772" s="24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</row>
    <row r="773" ht="15.75" customHeight="1">
      <c r="A773" s="24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</row>
    <row r="774" ht="15.75" customHeight="1">
      <c r="A774" s="24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</row>
    <row r="775" ht="15.75" customHeight="1">
      <c r="A775" s="24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</row>
    <row r="776" ht="15.75" customHeight="1">
      <c r="A776" s="24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</row>
    <row r="777" ht="15.75" customHeight="1">
      <c r="A777" s="24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</row>
    <row r="778" ht="15.75" customHeight="1">
      <c r="A778" s="24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</row>
    <row r="779" ht="15.75" customHeight="1">
      <c r="A779" s="24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</row>
    <row r="780" ht="15.75" customHeight="1">
      <c r="A780" s="24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</row>
    <row r="781" ht="15.75" customHeight="1">
      <c r="A781" s="24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</row>
    <row r="782" ht="15.75" customHeight="1">
      <c r="A782" s="24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</row>
    <row r="783" ht="15.75" customHeight="1">
      <c r="A783" s="24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</row>
    <row r="784" ht="15.75" customHeight="1">
      <c r="A784" s="24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</row>
    <row r="785" ht="15.75" customHeight="1">
      <c r="A785" s="24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</row>
    <row r="786" ht="15.75" customHeight="1">
      <c r="A786" s="24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</row>
    <row r="787" ht="15.75" customHeight="1">
      <c r="A787" s="24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</row>
    <row r="788" ht="15.75" customHeight="1">
      <c r="A788" s="24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</row>
    <row r="789" ht="15.75" customHeight="1">
      <c r="A789" s="24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</row>
    <row r="790" ht="15.75" customHeight="1">
      <c r="A790" s="24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</row>
    <row r="791" ht="15.75" customHeight="1">
      <c r="A791" s="24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</row>
    <row r="792" ht="15.75" customHeight="1">
      <c r="A792" s="24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</row>
    <row r="793" ht="15.75" customHeight="1">
      <c r="A793" s="24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</row>
    <row r="794" ht="15.75" customHeight="1">
      <c r="A794" s="24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</row>
    <row r="795" ht="15.75" customHeight="1">
      <c r="A795" s="24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</row>
    <row r="796" ht="15.75" customHeight="1">
      <c r="A796" s="24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</row>
    <row r="797" ht="15.75" customHeight="1">
      <c r="A797" s="24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</row>
    <row r="798" ht="15.75" customHeight="1">
      <c r="A798" s="24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</row>
    <row r="799" ht="15.75" customHeight="1">
      <c r="A799" s="24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</row>
    <row r="800" ht="15.75" customHeight="1">
      <c r="A800" s="24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</row>
    <row r="801" ht="15.75" customHeight="1">
      <c r="A801" s="24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</row>
    <row r="802" ht="15.75" customHeight="1">
      <c r="A802" s="24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</row>
    <row r="803" ht="15.75" customHeight="1">
      <c r="A803" s="24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</row>
    <row r="804" ht="15.75" customHeight="1">
      <c r="A804" s="24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</row>
    <row r="805" ht="15.75" customHeight="1">
      <c r="A805" s="24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</row>
    <row r="806" ht="15.75" customHeight="1">
      <c r="A806" s="24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</row>
    <row r="807" ht="15.75" customHeight="1">
      <c r="A807" s="24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</row>
    <row r="808" ht="15.75" customHeight="1">
      <c r="A808" s="24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</row>
    <row r="809" ht="15.75" customHeight="1">
      <c r="A809" s="24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</row>
    <row r="810" ht="15.75" customHeight="1">
      <c r="A810" s="24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</row>
    <row r="811" ht="15.75" customHeight="1">
      <c r="A811" s="24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</row>
    <row r="812" ht="15.75" customHeight="1">
      <c r="A812" s="24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</row>
    <row r="813" ht="15.75" customHeight="1">
      <c r="A813" s="24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</row>
    <row r="814" ht="15.75" customHeight="1">
      <c r="A814" s="24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</row>
    <row r="815" ht="15.75" customHeight="1">
      <c r="A815" s="24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</row>
    <row r="816" ht="15.75" customHeight="1">
      <c r="A816" s="24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</row>
    <row r="817" ht="15.75" customHeight="1">
      <c r="A817" s="24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</row>
    <row r="818" ht="15.75" customHeight="1">
      <c r="A818" s="24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</row>
    <row r="819" ht="15.75" customHeight="1">
      <c r="A819" s="24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</row>
    <row r="820" ht="15.75" customHeight="1">
      <c r="A820" s="24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</row>
    <row r="821" ht="15.75" customHeight="1">
      <c r="A821" s="24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</row>
    <row r="822" ht="15.75" customHeight="1">
      <c r="A822" s="24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</row>
    <row r="823" ht="15.75" customHeight="1">
      <c r="A823" s="24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</row>
    <row r="824" ht="15.75" customHeight="1">
      <c r="A824" s="24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</row>
    <row r="825" ht="15.75" customHeight="1">
      <c r="A825" s="24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</row>
    <row r="826" ht="15.75" customHeight="1">
      <c r="A826" s="24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</row>
    <row r="827" ht="15.75" customHeight="1">
      <c r="A827" s="24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</row>
    <row r="828" ht="15.75" customHeight="1">
      <c r="A828" s="24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</row>
    <row r="829" ht="15.75" customHeight="1">
      <c r="A829" s="24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</row>
    <row r="830" ht="15.75" customHeight="1">
      <c r="A830" s="24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</row>
    <row r="831" ht="15.75" customHeight="1">
      <c r="A831" s="24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</row>
    <row r="832" ht="15.75" customHeight="1">
      <c r="A832" s="24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</row>
    <row r="833" ht="15.75" customHeight="1">
      <c r="A833" s="24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</row>
    <row r="834" ht="15.75" customHeight="1">
      <c r="A834" s="24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</row>
    <row r="835" ht="15.75" customHeight="1">
      <c r="A835" s="24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</row>
    <row r="836" ht="15.75" customHeight="1">
      <c r="A836" s="24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</row>
    <row r="837" ht="15.75" customHeight="1">
      <c r="A837" s="24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</row>
    <row r="838" ht="15.75" customHeight="1">
      <c r="A838" s="24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</row>
    <row r="839" ht="15.75" customHeight="1">
      <c r="A839" s="24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</row>
    <row r="840" ht="15.75" customHeight="1">
      <c r="A840" s="24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</row>
    <row r="841" ht="15.75" customHeight="1">
      <c r="A841" s="24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</row>
    <row r="842" ht="15.75" customHeight="1">
      <c r="A842" s="24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</row>
    <row r="843" ht="15.75" customHeight="1">
      <c r="A843" s="24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</row>
    <row r="844" ht="15.75" customHeight="1">
      <c r="A844" s="24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</row>
    <row r="845" ht="15.75" customHeight="1">
      <c r="A845" s="24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</row>
    <row r="846" ht="15.75" customHeight="1">
      <c r="A846" s="24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</row>
    <row r="847" ht="15.75" customHeight="1">
      <c r="A847" s="24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</row>
    <row r="848" ht="15.75" customHeight="1">
      <c r="A848" s="24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</row>
    <row r="849" ht="15.75" customHeight="1">
      <c r="A849" s="24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</row>
    <row r="850" ht="15.75" customHeight="1">
      <c r="A850" s="24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</row>
    <row r="851" ht="15.75" customHeight="1">
      <c r="A851" s="24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</row>
    <row r="852" ht="15.75" customHeight="1">
      <c r="A852" s="24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</row>
    <row r="853" ht="15.75" customHeight="1">
      <c r="A853" s="24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</row>
    <row r="854" ht="15.75" customHeight="1">
      <c r="A854" s="24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</row>
    <row r="855" ht="15.75" customHeight="1">
      <c r="A855" s="24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</row>
    <row r="856" ht="15.75" customHeight="1">
      <c r="A856" s="24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</row>
    <row r="857" ht="15.75" customHeight="1">
      <c r="A857" s="24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</row>
    <row r="858" ht="15.75" customHeight="1">
      <c r="A858" s="24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</row>
    <row r="859" ht="15.75" customHeight="1">
      <c r="A859" s="24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</row>
    <row r="860" ht="15.75" customHeight="1">
      <c r="A860" s="24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</row>
    <row r="861" ht="15.75" customHeight="1">
      <c r="A861" s="24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</row>
    <row r="862" ht="15.75" customHeight="1">
      <c r="A862" s="24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</row>
    <row r="863" ht="15.75" customHeight="1">
      <c r="A863" s="24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</row>
    <row r="864" ht="15.75" customHeight="1">
      <c r="A864" s="24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</row>
    <row r="865" ht="15.75" customHeight="1">
      <c r="A865" s="24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</row>
    <row r="866" ht="15.75" customHeight="1">
      <c r="A866" s="24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</row>
    <row r="867" ht="15.75" customHeight="1">
      <c r="A867" s="24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</row>
    <row r="868" ht="15.75" customHeight="1">
      <c r="A868" s="24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</row>
    <row r="869" ht="15.75" customHeight="1">
      <c r="A869" s="24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</row>
    <row r="870" ht="15.75" customHeight="1">
      <c r="A870" s="24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</row>
    <row r="871" ht="15.75" customHeight="1">
      <c r="A871" s="24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</row>
    <row r="872" ht="15.75" customHeight="1">
      <c r="A872" s="24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</row>
    <row r="873" ht="15.75" customHeight="1">
      <c r="A873" s="24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</row>
    <row r="874" ht="15.75" customHeight="1">
      <c r="A874" s="24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</row>
    <row r="875" ht="15.75" customHeight="1">
      <c r="A875" s="24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</row>
    <row r="876" ht="15.75" customHeight="1">
      <c r="A876" s="24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</row>
    <row r="877" ht="15.75" customHeight="1">
      <c r="A877" s="24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</row>
    <row r="878" ht="15.75" customHeight="1">
      <c r="A878" s="24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</row>
    <row r="879" ht="15.75" customHeight="1">
      <c r="A879" s="24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</row>
    <row r="880" ht="15.75" customHeight="1">
      <c r="A880" s="24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</row>
    <row r="881" ht="15.75" customHeight="1">
      <c r="A881" s="24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</row>
    <row r="882" ht="15.75" customHeight="1">
      <c r="A882" s="24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</row>
    <row r="883" ht="15.75" customHeight="1">
      <c r="A883" s="24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</row>
    <row r="884" ht="15.75" customHeight="1">
      <c r="A884" s="24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</row>
    <row r="885" ht="15.75" customHeight="1">
      <c r="A885" s="24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</row>
    <row r="886" ht="15.75" customHeight="1">
      <c r="A886" s="24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</row>
    <row r="887" ht="15.75" customHeight="1">
      <c r="A887" s="24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</row>
    <row r="888" ht="15.75" customHeight="1">
      <c r="A888" s="24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</row>
    <row r="889" ht="15.75" customHeight="1">
      <c r="A889" s="24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</row>
    <row r="890" ht="15.75" customHeight="1">
      <c r="A890" s="24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</row>
    <row r="891" ht="15.75" customHeight="1">
      <c r="A891" s="24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</row>
    <row r="892" ht="15.75" customHeight="1">
      <c r="A892" s="24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</row>
    <row r="893" ht="15.75" customHeight="1">
      <c r="A893" s="24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</row>
    <row r="894" ht="15.75" customHeight="1">
      <c r="A894" s="24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</row>
    <row r="895" ht="15.75" customHeight="1">
      <c r="A895" s="24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</row>
    <row r="896" ht="15.75" customHeight="1">
      <c r="A896" s="24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</row>
    <row r="897" ht="15.75" customHeight="1">
      <c r="A897" s="24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</row>
    <row r="898" ht="15.75" customHeight="1">
      <c r="A898" s="24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</row>
    <row r="899" ht="15.75" customHeight="1">
      <c r="A899" s="24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</row>
    <row r="900" ht="15.75" customHeight="1">
      <c r="A900" s="24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</row>
    <row r="901" ht="15.75" customHeight="1">
      <c r="A901" s="24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</row>
    <row r="902" ht="15.75" customHeight="1">
      <c r="A902" s="24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</row>
    <row r="903" ht="15.75" customHeight="1">
      <c r="A903" s="24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</row>
    <row r="904" ht="15.75" customHeight="1">
      <c r="A904" s="24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</row>
    <row r="905" ht="15.75" customHeight="1">
      <c r="A905" s="24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</row>
    <row r="906" ht="15.75" customHeight="1">
      <c r="A906" s="24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</row>
    <row r="907" ht="15.75" customHeight="1">
      <c r="A907" s="24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</row>
    <row r="908" ht="15.75" customHeight="1">
      <c r="A908" s="24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</row>
    <row r="909" ht="15.75" customHeight="1">
      <c r="A909" s="24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</row>
    <row r="910" ht="15.75" customHeight="1">
      <c r="A910" s="24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</row>
    <row r="911" ht="15.75" customHeight="1">
      <c r="A911" s="24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</row>
    <row r="912" ht="15.75" customHeight="1">
      <c r="A912" s="24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</row>
    <row r="913" ht="15.75" customHeight="1">
      <c r="A913" s="24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</row>
    <row r="914" ht="15.75" customHeight="1">
      <c r="A914" s="24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</row>
    <row r="915" ht="15.75" customHeight="1">
      <c r="A915" s="24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</row>
    <row r="916" ht="15.75" customHeight="1">
      <c r="A916" s="24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</row>
    <row r="917" ht="15.75" customHeight="1">
      <c r="A917" s="24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</row>
    <row r="918" ht="15.75" customHeight="1">
      <c r="A918" s="24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</row>
    <row r="919" ht="15.75" customHeight="1">
      <c r="A919" s="24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</row>
    <row r="920" ht="15.75" customHeight="1">
      <c r="A920" s="24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</row>
    <row r="921" ht="15.75" customHeight="1">
      <c r="A921" s="24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</row>
    <row r="922" ht="15.75" customHeight="1">
      <c r="A922" s="24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</row>
    <row r="923" ht="15.75" customHeight="1">
      <c r="A923" s="24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</row>
    <row r="924" ht="15.75" customHeight="1">
      <c r="A924" s="24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</row>
    <row r="925" ht="15.75" customHeight="1">
      <c r="A925" s="24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</row>
    <row r="926" ht="15.75" customHeight="1">
      <c r="A926" s="24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</row>
    <row r="927" ht="15.75" customHeight="1">
      <c r="A927" s="24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</row>
    <row r="928" ht="15.75" customHeight="1">
      <c r="A928" s="24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</row>
    <row r="929" ht="15.75" customHeight="1">
      <c r="A929" s="24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</row>
    <row r="930" ht="15.75" customHeight="1">
      <c r="A930" s="24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</row>
    <row r="931" ht="15.75" customHeight="1">
      <c r="A931" s="24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</row>
    <row r="932" ht="15.75" customHeight="1">
      <c r="A932" s="24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</row>
    <row r="933" ht="15.75" customHeight="1">
      <c r="A933" s="24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</row>
    <row r="934" ht="15.75" customHeight="1">
      <c r="A934" s="24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</row>
    <row r="935" ht="15.75" customHeight="1">
      <c r="A935" s="24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</row>
    <row r="936" ht="15.75" customHeight="1">
      <c r="A936" s="24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</row>
    <row r="937" ht="15.75" customHeight="1">
      <c r="A937" s="24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</row>
    <row r="938" ht="15.75" customHeight="1">
      <c r="A938" s="24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</row>
    <row r="939" ht="15.75" customHeight="1">
      <c r="A939" s="24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</row>
    <row r="940" ht="15.75" customHeight="1">
      <c r="A940" s="24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</row>
    <row r="941" ht="15.75" customHeight="1">
      <c r="A941" s="24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</row>
    <row r="942" ht="15.75" customHeight="1">
      <c r="A942" s="24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</row>
    <row r="943" ht="15.75" customHeight="1">
      <c r="A943" s="24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</row>
    <row r="944" ht="15.75" customHeight="1">
      <c r="A944" s="24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</row>
    <row r="945" ht="15.75" customHeight="1">
      <c r="A945" s="24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</row>
    <row r="946" ht="15.75" customHeight="1">
      <c r="A946" s="24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</row>
    <row r="947" ht="15.75" customHeight="1">
      <c r="A947" s="24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</row>
    <row r="948" ht="15.75" customHeight="1">
      <c r="A948" s="24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</row>
    <row r="949" ht="15.75" customHeight="1">
      <c r="A949" s="24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</row>
    <row r="950" ht="15.75" customHeight="1">
      <c r="A950" s="24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</row>
    <row r="951" ht="15.75" customHeight="1">
      <c r="A951" s="24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</row>
    <row r="952" ht="15.75" customHeight="1">
      <c r="A952" s="24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</row>
    <row r="953" ht="15.75" customHeight="1">
      <c r="A953" s="24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</row>
    <row r="954" ht="15.75" customHeight="1">
      <c r="A954" s="24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</row>
    <row r="955" ht="15.75" customHeight="1">
      <c r="A955" s="24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</row>
    <row r="956" ht="15.75" customHeight="1">
      <c r="A956" s="24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</row>
    <row r="957" ht="15.75" customHeight="1">
      <c r="A957" s="24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</row>
    <row r="958" ht="15.75" customHeight="1">
      <c r="A958" s="24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</row>
    <row r="959" ht="15.75" customHeight="1">
      <c r="A959" s="24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</row>
    <row r="960" ht="15.75" customHeight="1">
      <c r="A960" s="24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</row>
    <row r="961" ht="15.75" customHeight="1">
      <c r="A961" s="24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</row>
    <row r="962" ht="15.75" customHeight="1">
      <c r="A962" s="24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</row>
    <row r="963" ht="15.75" customHeight="1">
      <c r="A963" s="24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</row>
    <row r="964" ht="15.75" customHeight="1">
      <c r="A964" s="24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</row>
    <row r="965" ht="15.75" customHeight="1">
      <c r="A965" s="24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</row>
    <row r="966" ht="15.75" customHeight="1">
      <c r="A966" s="24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</row>
    <row r="967" ht="15.75" customHeight="1">
      <c r="A967" s="24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</row>
    <row r="968" ht="15.75" customHeight="1">
      <c r="A968" s="24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</row>
    <row r="969" ht="15.75" customHeight="1">
      <c r="A969" s="24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</row>
    <row r="970" ht="15.75" customHeight="1">
      <c r="A970" s="24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</row>
    <row r="971" ht="15.75" customHeight="1">
      <c r="A971" s="24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</row>
    <row r="972" ht="15.75" customHeight="1">
      <c r="A972" s="24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</row>
    <row r="973" ht="15.75" customHeight="1">
      <c r="A973" s="24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</row>
    <row r="974" ht="15.75" customHeight="1">
      <c r="A974" s="24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</row>
    <row r="975" ht="15.75" customHeight="1">
      <c r="A975" s="24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</row>
    <row r="976" ht="15.75" customHeight="1">
      <c r="A976" s="24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</row>
    <row r="977" ht="15.75" customHeight="1">
      <c r="A977" s="24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</row>
    <row r="978" ht="15.75" customHeight="1">
      <c r="A978" s="24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</row>
    <row r="979" ht="15.75" customHeight="1">
      <c r="A979" s="24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</row>
    <row r="980" ht="15.75" customHeight="1">
      <c r="A980" s="24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</row>
    <row r="981" ht="15.75" customHeight="1">
      <c r="A981" s="24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</row>
    <row r="982" ht="15.75" customHeight="1">
      <c r="A982" s="24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</row>
    <row r="983" ht="15.75" customHeight="1">
      <c r="A983" s="24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</row>
    <row r="984" ht="15.75" customHeight="1">
      <c r="A984" s="24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</row>
    <row r="985" ht="15.75" customHeight="1">
      <c r="A985" s="24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</row>
    <row r="986" ht="15.75" customHeight="1">
      <c r="A986" s="24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</row>
    <row r="987" ht="15.75" customHeight="1">
      <c r="A987" s="24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</row>
    <row r="988" ht="15.75" customHeight="1">
      <c r="A988" s="24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</row>
    <row r="989" ht="15.75" customHeight="1">
      <c r="A989" s="24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</row>
    <row r="990" ht="15.75" customHeight="1">
      <c r="A990" s="24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</row>
    <row r="991" ht="15.75" customHeight="1">
      <c r="A991" s="24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</row>
    <row r="992" ht="15.75" customHeight="1">
      <c r="A992" s="24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</row>
    <row r="993" ht="15.75" customHeight="1">
      <c r="A993" s="24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</row>
    <row r="994" ht="15.75" customHeight="1">
      <c r="A994" s="24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</row>
    <row r="995" ht="15.75" customHeight="1">
      <c r="A995" s="24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</row>
    <row r="996" ht="15.75" customHeight="1">
      <c r="A996" s="24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</row>
    <row r="997" ht="15.75" customHeight="1">
      <c r="A997" s="24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</row>
    <row r="998" ht="15.75" customHeight="1">
      <c r="A998" s="24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</row>
    <row r="999" ht="15.75" customHeight="1">
      <c r="A999" s="24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</row>
    <row r="1000" ht="15.75" customHeight="1">
      <c r="A1000" s="24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</row>
  </sheetData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43" width="16.71"/>
    <col customWidth="1" min="44" max="49" width="11.43"/>
  </cols>
  <sheetData>
    <row r="1" ht="15.0" customHeight="1">
      <c r="A1" s="27"/>
      <c r="B1" s="27" t="s">
        <v>1330</v>
      </c>
      <c r="C1" s="27" t="s">
        <v>1331</v>
      </c>
      <c r="D1" s="27" t="s">
        <v>1332</v>
      </c>
      <c r="E1" s="27" t="s">
        <v>1333</v>
      </c>
      <c r="F1" s="27" t="s">
        <v>1334</v>
      </c>
      <c r="G1" s="27" t="s">
        <v>1335</v>
      </c>
      <c r="H1" s="27" t="s">
        <v>1336</v>
      </c>
      <c r="I1" s="27" t="s">
        <v>1337</v>
      </c>
      <c r="J1" s="27" t="s">
        <v>1338</v>
      </c>
      <c r="K1" s="27" t="s">
        <v>1339</v>
      </c>
      <c r="L1" s="27" t="s">
        <v>1335</v>
      </c>
      <c r="M1" s="27" t="s">
        <v>1336</v>
      </c>
      <c r="N1" s="27" t="s">
        <v>1337</v>
      </c>
      <c r="O1" s="27" t="s">
        <v>1338</v>
      </c>
      <c r="P1" s="27" t="s">
        <v>1339</v>
      </c>
      <c r="Q1" s="27" t="s">
        <v>1330</v>
      </c>
      <c r="R1" s="27" t="s">
        <v>1331</v>
      </c>
      <c r="S1" s="27" t="s">
        <v>1332</v>
      </c>
      <c r="T1" s="27" t="s">
        <v>1333</v>
      </c>
      <c r="U1" s="27" t="s">
        <v>1340</v>
      </c>
      <c r="V1" s="27" t="s">
        <v>1341</v>
      </c>
      <c r="W1" s="27" t="s">
        <v>1342</v>
      </c>
      <c r="X1" s="27" t="s">
        <v>1342</v>
      </c>
      <c r="Y1" s="27" t="s">
        <v>1343</v>
      </c>
      <c r="Z1" s="27" t="s">
        <v>1343</v>
      </c>
      <c r="AA1" s="27" t="s">
        <v>1344</v>
      </c>
      <c r="AB1" s="27" t="s">
        <v>1344</v>
      </c>
      <c r="AC1" s="27" t="s">
        <v>1345</v>
      </c>
      <c r="AD1" s="27" t="s">
        <v>1345</v>
      </c>
      <c r="AE1" s="27" t="s">
        <v>1346</v>
      </c>
      <c r="AF1" s="27" t="s">
        <v>1346</v>
      </c>
      <c r="AG1" s="27" t="s">
        <v>1347</v>
      </c>
      <c r="AH1" s="27" t="s">
        <v>1348</v>
      </c>
      <c r="AI1" s="27" t="s">
        <v>1349</v>
      </c>
      <c r="AJ1" s="27" t="s">
        <v>1350</v>
      </c>
      <c r="AK1" s="27" t="s">
        <v>1351</v>
      </c>
      <c r="AL1" s="27" t="s">
        <v>1352</v>
      </c>
      <c r="AM1" s="27" t="s">
        <v>1353</v>
      </c>
      <c r="AN1" s="27" t="s">
        <v>1354</v>
      </c>
      <c r="AO1" s="27" t="s">
        <v>1355</v>
      </c>
      <c r="AP1" s="27" t="s">
        <v>1356</v>
      </c>
      <c r="AQ1" s="27" t="s">
        <v>1357</v>
      </c>
      <c r="AU1" s="27"/>
      <c r="AV1" s="27"/>
      <c r="AW1" s="27"/>
    </row>
    <row r="2" ht="15.0" customHeight="1">
      <c r="B2" s="25" t="s">
        <v>107</v>
      </c>
      <c r="C2" s="25" t="s">
        <v>107</v>
      </c>
      <c r="D2" s="25" t="s">
        <v>107</v>
      </c>
      <c r="E2" s="25" t="s">
        <v>107</v>
      </c>
      <c r="F2" s="25" t="s">
        <v>115</v>
      </c>
      <c r="G2" s="25" t="s">
        <v>1358</v>
      </c>
      <c r="H2" s="28" t="s">
        <v>107</v>
      </c>
      <c r="I2" s="28" t="s">
        <v>107</v>
      </c>
      <c r="J2" s="28" t="s">
        <v>107</v>
      </c>
      <c r="K2" s="33" t="s">
        <v>1359</v>
      </c>
      <c r="L2" s="25" t="s">
        <v>1358</v>
      </c>
      <c r="M2" s="28" t="s">
        <v>107</v>
      </c>
      <c r="N2" s="28" t="s">
        <v>107</v>
      </c>
      <c r="O2" s="28" t="s">
        <v>107</v>
      </c>
      <c r="P2" s="33" t="s">
        <v>1359</v>
      </c>
      <c r="Q2" s="25" t="s">
        <v>1358</v>
      </c>
      <c r="R2" s="25" t="s">
        <v>1358</v>
      </c>
      <c r="S2" s="25" t="s">
        <v>1358</v>
      </c>
      <c r="T2" s="25" t="s">
        <v>1358</v>
      </c>
      <c r="U2" s="25" t="s">
        <v>1358</v>
      </c>
      <c r="V2" s="28" t="s">
        <v>107</v>
      </c>
      <c r="W2" s="28" t="s">
        <v>112</v>
      </c>
      <c r="X2" s="28" t="s">
        <v>112</v>
      </c>
      <c r="Y2" s="28" t="s">
        <v>1360</v>
      </c>
      <c r="Z2" s="28" t="s">
        <v>1361</v>
      </c>
      <c r="AA2" s="28" t="s">
        <v>1360</v>
      </c>
      <c r="AB2" s="28" t="s">
        <v>1361</v>
      </c>
      <c r="AC2" s="28" t="s">
        <v>1360</v>
      </c>
      <c r="AD2" s="28" t="s">
        <v>1361</v>
      </c>
      <c r="AE2" s="28" t="s">
        <v>1360</v>
      </c>
      <c r="AF2" s="28" t="s">
        <v>1361</v>
      </c>
      <c r="AG2" s="25" t="s">
        <v>105</v>
      </c>
      <c r="AH2" s="25" t="s">
        <v>105</v>
      </c>
      <c r="AI2" s="25" t="s">
        <v>103</v>
      </c>
      <c r="AJ2" s="25" t="s">
        <v>103</v>
      </c>
      <c r="AK2" s="25" t="s">
        <v>1362</v>
      </c>
      <c r="AL2" s="25" t="s">
        <v>1363</v>
      </c>
      <c r="AM2" s="25" t="s">
        <v>1364</v>
      </c>
      <c r="AN2" s="25" t="s">
        <v>1365</v>
      </c>
      <c r="AO2" s="25" t="s">
        <v>1359</v>
      </c>
      <c r="AP2" s="25" t="s">
        <v>1359</v>
      </c>
      <c r="AQ2" s="25" t="s">
        <v>103</v>
      </c>
      <c r="AU2" s="34"/>
      <c r="AV2" s="34"/>
      <c r="AW2" s="34"/>
    </row>
    <row r="3" ht="15.0" customHeight="1">
      <c r="A3" s="25"/>
      <c r="B3" s="25" t="s">
        <v>113</v>
      </c>
      <c r="C3" s="25" t="s">
        <v>113</v>
      </c>
      <c r="D3" s="25" t="s">
        <v>113</v>
      </c>
      <c r="E3" s="25" t="s">
        <v>113</v>
      </c>
      <c r="F3" s="25" t="s">
        <v>113</v>
      </c>
      <c r="G3" s="25" t="s">
        <v>113</v>
      </c>
      <c r="H3" s="25" t="s">
        <v>113</v>
      </c>
      <c r="I3" s="25"/>
      <c r="J3" s="25"/>
      <c r="K3" s="25" t="s">
        <v>1366</v>
      </c>
      <c r="L3" s="25" t="s">
        <v>113</v>
      </c>
      <c r="M3" s="25" t="s">
        <v>113</v>
      </c>
      <c r="N3" s="25"/>
      <c r="O3" s="25"/>
      <c r="P3" s="25" t="s">
        <v>1366</v>
      </c>
      <c r="Q3" s="25" t="s">
        <v>113</v>
      </c>
      <c r="R3" s="25" t="s">
        <v>113</v>
      </c>
      <c r="S3" s="25" t="s">
        <v>113</v>
      </c>
      <c r="T3" s="25" t="s">
        <v>113</v>
      </c>
      <c r="U3" s="25" t="s">
        <v>113</v>
      </c>
      <c r="V3" s="25" t="s">
        <v>113</v>
      </c>
      <c r="W3" s="25" t="s">
        <v>1367</v>
      </c>
      <c r="X3" s="25" t="s">
        <v>1367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>
        <v>1.0</v>
      </c>
      <c r="AJ3" s="25">
        <v>1.0</v>
      </c>
      <c r="AK3" s="25">
        <v>0.0</v>
      </c>
      <c r="AL3" s="25" t="s">
        <v>1368</v>
      </c>
      <c r="AM3" s="25" t="s">
        <v>1368</v>
      </c>
      <c r="AN3" s="25" t="s">
        <v>1369</v>
      </c>
      <c r="AO3" s="25" t="s">
        <v>1366</v>
      </c>
      <c r="AP3" s="25" t="s">
        <v>1366</v>
      </c>
      <c r="AQ3" s="25" t="s">
        <v>113</v>
      </c>
      <c r="AU3" s="34"/>
      <c r="AV3" s="34"/>
      <c r="AW3" s="34"/>
    </row>
    <row r="4" ht="15.0" customHeight="1">
      <c r="A4" s="23" t="s">
        <v>1370</v>
      </c>
      <c r="B4" s="35">
        <v>0.0</v>
      </c>
      <c r="C4" s="35">
        <v>1.0</v>
      </c>
      <c r="D4" s="35">
        <v>2.0</v>
      </c>
      <c r="E4" s="35">
        <v>3.0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U4" s="34"/>
      <c r="AV4" s="34"/>
      <c r="AW4" s="34"/>
    </row>
    <row r="5" ht="15.0" customHeight="1">
      <c r="A5" s="23" t="s">
        <v>2</v>
      </c>
      <c r="B5" s="35">
        <v>2.0</v>
      </c>
      <c r="C5" s="35">
        <v>2.0</v>
      </c>
      <c r="D5" s="35">
        <v>2.0</v>
      </c>
      <c r="E5" s="35">
        <v>2.0</v>
      </c>
      <c r="F5" s="25"/>
      <c r="G5" s="35"/>
      <c r="H5" s="35"/>
      <c r="I5" s="25"/>
      <c r="J5" s="25"/>
      <c r="K5" s="25"/>
      <c r="L5" s="35"/>
      <c r="M5" s="35"/>
      <c r="N5" s="25"/>
      <c r="O5" s="25"/>
      <c r="P5" s="25"/>
      <c r="Q5" s="35"/>
      <c r="R5" s="35"/>
      <c r="S5" s="35"/>
      <c r="T5" s="35"/>
      <c r="U5" s="35">
        <v>1.0</v>
      </c>
      <c r="V5" s="35">
        <v>-3.0</v>
      </c>
      <c r="W5" s="25"/>
      <c r="X5" s="25"/>
      <c r="Y5" s="25"/>
      <c r="Z5" s="25"/>
      <c r="AA5" s="25"/>
      <c r="AB5" s="25"/>
      <c r="AC5" s="25"/>
      <c r="AD5" s="25"/>
      <c r="AE5" s="25"/>
      <c r="AF5" s="25"/>
      <c r="AG5" s="34"/>
      <c r="AH5" s="34"/>
      <c r="AI5" s="34"/>
      <c r="AJ5" s="34"/>
      <c r="AK5" s="34"/>
      <c r="AL5" s="25"/>
      <c r="AM5" s="25"/>
      <c r="AN5" s="25"/>
      <c r="AO5" s="25"/>
      <c r="AP5" s="25"/>
      <c r="AQ5" s="25"/>
      <c r="AU5" s="34"/>
      <c r="AV5" s="34"/>
      <c r="AW5" s="34"/>
    </row>
    <row r="6" ht="15.0" customHeight="1">
      <c r="A6" s="23" t="s">
        <v>3</v>
      </c>
      <c r="B6" s="35">
        <v>2.0</v>
      </c>
      <c r="C6" s="35">
        <v>2.0</v>
      </c>
      <c r="D6" s="35">
        <v>2.0</v>
      </c>
      <c r="E6" s="35">
        <v>2.0</v>
      </c>
      <c r="F6" s="25"/>
      <c r="G6" s="35"/>
      <c r="H6" s="35"/>
      <c r="I6" s="25"/>
      <c r="J6" s="25"/>
      <c r="K6" s="25"/>
      <c r="L6" s="35"/>
      <c r="M6" s="35"/>
      <c r="N6" s="25"/>
      <c r="O6" s="25"/>
      <c r="P6" s="25"/>
      <c r="Q6" s="35"/>
      <c r="R6" s="35"/>
      <c r="S6" s="35"/>
      <c r="T6" s="35"/>
      <c r="U6" s="35">
        <v>1.0</v>
      </c>
      <c r="V6" s="35">
        <v>-3.0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34"/>
      <c r="AH6" s="34"/>
      <c r="AI6" s="34"/>
      <c r="AJ6" s="34"/>
      <c r="AK6" s="34"/>
      <c r="AL6" s="25"/>
      <c r="AM6" s="25"/>
      <c r="AN6" s="25"/>
      <c r="AO6" s="27"/>
      <c r="AP6" s="25"/>
      <c r="AQ6" s="27"/>
      <c r="AU6" s="34"/>
      <c r="AV6" s="34"/>
      <c r="AW6" s="34"/>
    </row>
    <row r="7" ht="15.0" customHeight="1">
      <c r="A7" s="23" t="s">
        <v>4</v>
      </c>
      <c r="B7" s="35">
        <v>2.0</v>
      </c>
      <c r="C7" s="35">
        <v>2.0</v>
      </c>
      <c r="D7" s="35">
        <v>2.0</v>
      </c>
      <c r="E7" s="35">
        <v>2.0</v>
      </c>
      <c r="F7" s="25"/>
      <c r="G7" s="35"/>
      <c r="H7" s="35"/>
      <c r="I7" s="25"/>
      <c r="J7" s="25"/>
      <c r="K7" s="25"/>
      <c r="L7" s="35"/>
      <c r="M7" s="35"/>
      <c r="N7" s="25"/>
      <c r="O7" s="25"/>
      <c r="P7" s="25"/>
      <c r="Q7" s="35"/>
      <c r="R7" s="35"/>
      <c r="S7" s="35"/>
      <c r="T7" s="35"/>
      <c r="U7" s="35">
        <v>1.0</v>
      </c>
      <c r="V7" s="35">
        <v>-3.0</v>
      </c>
      <c r="W7" s="25"/>
      <c r="X7" s="25"/>
      <c r="Y7" s="25"/>
      <c r="Z7" s="25"/>
      <c r="AA7" s="25"/>
      <c r="AB7" s="25"/>
      <c r="AC7" s="25"/>
      <c r="AD7" s="25"/>
      <c r="AE7" s="25"/>
      <c r="AF7" s="25"/>
      <c r="AG7" s="34"/>
      <c r="AH7" s="34"/>
      <c r="AI7" s="34"/>
      <c r="AJ7" s="34"/>
      <c r="AK7" s="34"/>
      <c r="AL7" s="25"/>
      <c r="AM7" s="25"/>
      <c r="AN7" s="25"/>
      <c r="AO7" s="27"/>
      <c r="AP7" s="25"/>
      <c r="AQ7" s="27"/>
      <c r="AU7" s="34"/>
      <c r="AV7" s="34"/>
      <c r="AW7" s="34"/>
    </row>
    <row r="8" ht="15.0" customHeight="1">
      <c r="A8" s="23" t="s">
        <v>5</v>
      </c>
      <c r="B8" s="35">
        <v>2.0</v>
      </c>
      <c r="C8" s="35">
        <v>2.0</v>
      </c>
      <c r="D8" s="35">
        <v>2.0</v>
      </c>
      <c r="E8" s="35">
        <v>2.0</v>
      </c>
      <c r="F8" s="25"/>
      <c r="G8" s="35"/>
      <c r="H8" s="35"/>
      <c r="I8" s="25"/>
      <c r="J8" s="25"/>
      <c r="K8" s="25"/>
      <c r="L8" s="35"/>
      <c r="M8" s="35"/>
      <c r="N8" s="25"/>
      <c r="O8" s="25"/>
      <c r="P8" s="25"/>
      <c r="Q8" s="35"/>
      <c r="R8" s="35"/>
      <c r="S8" s="35"/>
      <c r="T8" s="35"/>
      <c r="U8" s="35">
        <v>1.0</v>
      </c>
      <c r="V8" s="35">
        <v>-3.0</v>
      </c>
      <c r="W8" s="25"/>
      <c r="X8" s="25"/>
      <c r="Y8" s="25"/>
      <c r="Z8" s="25"/>
      <c r="AA8" s="25"/>
      <c r="AB8" s="25"/>
      <c r="AC8" s="25"/>
      <c r="AD8" s="25"/>
      <c r="AE8" s="25"/>
      <c r="AF8" s="25"/>
      <c r="AG8" s="34"/>
      <c r="AH8" s="34"/>
      <c r="AI8" s="34"/>
      <c r="AJ8" s="34"/>
      <c r="AK8" s="34"/>
      <c r="AL8" s="25"/>
      <c r="AM8" s="25"/>
      <c r="AN8" s="25"/>
      <c r="AO8" s="27"/>
      <c r="AP8" s="25"/>
      <c r="AQ8" s="27"/>
      <c r="AU8" s="34"/>
      <c r="AV8" s="34"/>
      <c r="AW8" s="34"/>
    </row>
    <row r="9" ht="15.0" customHeight="1">
      <c r="A9" s="23" t="s">
        <v>6</v>
      </c>
      <c r="B9" s="35">
        <v>2.0</v>
      </c>
      <c r="C9" s="35">
        <v>2.0</v>
      </c>
      <c r="D9" s="35">
        <v>2.0</v>
      </c>
      <c r="E9" s="35">
        <v>2.0</v>
      </c>
      <c r="F9" s="29"/>
      <c r="G9" s="35"/>
      <c r="H9" s="35"/>
      <c r="I9" s="25"/>
      <c r="J9" s="25"/>
      <c r="K9" s="25"/>
      <c r="L9" s="35"/>
      <c r="M9" s="35"/>
      <c r="N9" s="25"/>
      <c r="O9" s="25"/>
      <c r="P9" s="25"/>
      <c r="Q9" s="35"/>
      <c r="R9" s="35"/>
      <c r="S9" s="35"/>
      <c r="T9" s="35"/>
      <c r="U9" s="35">
        <v>1.0</v>
      </c>
      <c r="V9" s="35">
        <v>-3.0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34"/>
      <c r="AH9" s="34"/>
      <c r="AI9" s="34"/>
      <c r="AJ9" s="34"/>
      <c r="AK9" s="34"/>
      <c r="AL9" s="25"/>
      <c r="AM9" s="25"/>
      <c r="AN9" s="25"/>
      <c r="AO9" s="25"/>
      <c r="AP9" s="25"/>
      <c r="AQ9" s="27"/>
      <c r="AU9" s="34"/>
      <c r="AV9" s="34"/>
      <c r="AW9" s="34"/>
    </row>
    <row r="10" ht="15.0" customHeight="1">
      <c r="A10" s="23" t="s">
        <v>7</v>
      </c>
      <c r="B10" s="35">
        <v>2.0</v>
      </c>
      <c r="C10" s="35">
        <v>2.0</v>
      </c>
      <c r="D10" s="35">
        <v>2.0</v>
      </c>
      <c r="E10" s="35">
        <v>2.0</v>
      </c>
      <c r="F10" s="29"/>
      <c r="G10" s="35"/>
      <c r="H10" s="35"/>
      <c r="I10" s="25"/>
      <c r="J10" s="25"/>
      <c r="K10" s="25"/>
      <c r="L10" s="35"/>
      <c r="M10" s="35"/>
      <c r="N10" s="25"/>
      <c r="O10" s="25"/>
      <c r="P10" s="25"/>
      <c r="Q10" s="35"/>
      <c r="R10" s="35"/>
      <c r="S10" s="35"/>
      <c r="T10" s="35"/>
      <c r="U10" s="35">
        <v>1.0</v>
      </c>
      <c r="V10" s="35">
        <v>-3.0</v>
      </c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34"/>
      <c r="AH10" s="34"/>
      <c r="AI10" s="34"/>
      <c r="AJ10" s="34"/>
      <c r="AK10" s="34"/>
      <c r="AL10" s="25"/>
      <c r="AM10" s="25"/>
      <c r="AN10" s="25"/>
      <c r="AO10" s="25"/>
      <c r="AP10" s="25"/>
      <c r="AQ10" s="25"/>
      <c r="AU10" s="34"/>
      <c r="AV10" s="34"/>
      <c r="AW10" s="34"/>
    </row>
    <row r="11" ht="15.0" customHeight="1">
      <c r="A11" s="23" t="s">
        <v>8</v>
      </c>
      <c r="B11" s="35">
        <v>2.0</v>
      </c>
      <c r="C11" s="35">
        <v>2.0</v>
      </c>
      <c r="D11" s="35">
        <v>2.0</v>
      </c>
      <c r="E11" s="35">
        <v>2.0</v>
      </c>
      <c r="F11" s="29"/>
      <c r="G11" s="35"/>
      <c r="H11" s="35"/>
      <c r="I11" s="25"/>
      <c r="J11" s="25"/>
      <c r="K11" s="25"/>
      <c r="L11" s="35"/>
      <c r="M11" s="35"/>
      <c r="N11" s="25"/>
      <c r="O11" s="25"/>
      <c r="P11" s="25"/>
      <c r="Q11" s="35"/>
      <c r="R11" s="35"/>
      <c r="S11" s="35"/>
      <c r="T11" s="35"/>
      <c r="U11" s="35">
        <v>1.0</v>
      </c>
      <c r="V11" s="35">
        <v>-3.0</v>
      </c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34"/>
      <c r="AH11" s="34"/>
      <c r="AI11" s="34"/>
      <c r="AJ11" s="34"/>
      <c r="AK11" s="34"/>
      <c r="AL11" s="25"/>
      <c r="AM11" s="25"/>
      <c r="AN11" s="25"/>
      <c r="AO11" s="25"/>
      <c r="AP11" s="25"/>
      <c r="AQ11" s="25"/>
      <c r="AU11" s="34"/>
      <c r="AV11" s="34"/>
      <c r="AW11" s="34"/>
    </row>
    <row r="12" ht="15.0" customHeight="1">
      <c r="A12" s="23" t="s">
        <v>9</v>
      </c>
      <c r="B12" s="35">
        <v>2.0</v>
      </c>
      <c r="C12" s="35">
        <v>2.0</v>
      </c>
      <c r="D12" s="35">
        <v>2.0</v>
      </c>
      <c r="E12" s="35">
        <v>2.0</v>
      </c>
      <c r="F12" s="29"/>
      <c r="G12" s="35"/>
      <c r="H12" s="35"/>
      <c r="I12" s="25"/>
      <c r="J12" s="25"/>
      <c r="K12" s="25"/>
      <c r="L12" s="35"/>
      <c r="M12" s="35"/>
      <c r="N12" s="25"/>
      <c r="O12" s="25"/>
      <c r="P12" s="25"/>
      <c r="Q12" s="35"/>
      <c r="R12" s="35"/>
      <c r="S12" s="35"/>
      <c r="T12" s="35"/>
      <c r="U12" s="35">
        <v>1.0</v>
      </c>
      <c r="V12" s="35">
        <v>-3.0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4"/>
      <c r="AH12" s="34"/>
      <c r="AI12" s="34"/>
      <c r="AJ12" s="34"/>
      <c r="AK12" s="34"/>
      <c r="AL12" s="25"/>
      <c r="AM12" s="25"/>
      <c r="AN12" s="25"/>
      <c r="AO12" s="25"/>
      <c r="AP12" s="25"/>
      <c r="AQ12" s="25"/>
      <c r="AU12" s="34"/>
      <c r="AV12" s="34"/>
      <c r="AW12" s="34"/>
    </row>
    <row r="13" ht="15.0" customHeight="1">
      <c r="A13" s="23" t="s">
        <v>10</v>
      </c>
      <c r="B13" s="35">
        <v>2.0</v>
      </c>
      <c r="C13" s="35">
        <v>2.0</v>
      </c>
      <c r="D13" s="35">
        <v>2.0</v>
      </c>
      <c r="E13" s="35">
        <v>2.0</v>
      </c>
      <c r="F13" s="29"/>
      <c r="G13" s="35"/>
      <c r="H13" s="35"/>
      <c r="I13" s="25"/>
      <c r="J13" s="25"/>
      <c r="K13" s="25"/>
      <c r="L13" s="35"/>
      <c r="M13" s="35"/>
      <c r="N13" s="25"/>
      <c r="O13" s="25"/>
      <c r="P13" s="25"/>
      <c r="Q13" s="35"/>
      <c r="R13" s="35"/>
      <c r="S13" s="35"/>
      <c r="T13" s="35"/>
      <c r="U13" s="35">
        <v>1.0</v>
      </c>
      <c r="V13" s="35">
        <v>-3.0</v>
      </c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34"/>
      <c r="AH13" s="34"/>
      <c r="AI13" s="34"/>
      <c r="AJ13" s="34"/>
      <c r="AK13" s="34"/>
      <c r="AL13" s="25"/>
      <c r="AM13" s="25"/>
      <c r="AN13" s="25"/>
      <c r="AO13" s="25"/>
      <c r="AP13" s="25"/>
      <c r="AQ13" s="25"/>
      <c r="AU13" s="34"/>
      <c r="AV13" s="34"/>
      <c r="AW13" s="34"/>
    </row>
    <row r="14" ht="15.0" customHeight="1">
      <c r="A14" s="23" t="s">
        <v>11</v>
      </c>
      <c r="B14" s="35">
        <v>2.0</v>
      </c>
      <c r="C14" s="35">
        <v>2.0</v>
      </c>
      <c r="D14" s="35">
        <v>2.0</v>
      </c>
      <c r="E14" s="35">
        <v>2.0</v>
      </c>
      <c r="F14" s="29"/>
      <c r="G14" s="35"/>
      <c r="H14" s="35"/>
      <c r="I14" s="25"/>
      <c r="J14" s="25"/>
      <c r="K14" s="25"/>
      <c r="L14" s="35"/>
      <c r="M14" s="35"/>
      <c r="N14" s="25"/>
      <c r="O14" s="25"/>
      <c r="P14" s="25"/>
      <c r="Q14" s="35"/>
      <c r="R14" s="35"/>
      <c r="S14" s="35"/>
      <c r="T14" s="35"/>
      <c r="U14" s="35">
        <v>1.0</v>
      </c>
      <c r="V14" s="35">
        <v>-3.0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34"/>
      <c r="AH14" s="34"/>
      <c r="AI14" s="34"/>
      <c r="AJ14" s="34"/>
      <c r="AK14" s="34"/>
      <c r="AL14" s="25"/>
      <c r="AM14" s="25"/>
      <c r="AN14" s="25"/>
      <c r="AO14" s="25"/>
      <c r="AP14" s="25"/>
      <c r="AQ14" s="25"/>
      <c r="AU14" s="34"/>
      <c r="AV14" s="34"/>
      <c r="AW14" s="34"/>
    </row>
    <row r="15" ht="15.0" customHeight="1">
      <c r="A15" s="23" t="s">
        <v>12</v>
      </c>
      <c r="B15" s="35">
        <v>2.0</v>
      </c>
      <c r="C15" s="35">
        <v>2.0</v>
      </c>
      <c r="D15" s="35">
        <v>2.0</v>
      </c>
      <c r="E15" s="35">
        <v>2.0</v>
      </c>
      <c r="F15" s="29"/>
      <c r="G15" s="35"/>
      <c r="H15" s="35"/>
      <c r="I15" s="25"/>
      <c r="J15" s="25"/>
      <c r="K15" s="25"/>
      <c r="L15" s="35"/>
      <c r="M15" s="35"/>
      <c r="N15" s="25"/>
      <c r="O15" s="25"/>
      <c r="P15" s="25"/>
      <c r="Q15" s="35"/>
      <c r="R15" s="35"/>
      <c r="S15" s="35"/>
      <c r="T15" s="35"/>
      <c r="U15" s="35">
        <v>1.0</v>
      </c>
      <c r="V15" s="35">
        <v>-3.0</v>
      </c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34"/>
      <c r="AH15" s="34"/>
      <c r="AI15" s="34"/>
      <c r="AJ15" s="34"/>
      <c r="AK15" s="34"/>
      <c r="AL15" s="25"/>
      <c r="AM15" s="25"/>
      <c r="AN15" s="25"/>
      <c r="AO15" s="25"/>
      <c r="AP15" s="25"/>
      <c r="AQ15" s="25"/>
      <c r="AU15" s="34"/>
      <c r="AV15" s="34"/>
      <c r="AW15" s="34"/>
    </row>
    <row r="16" ht="15.0" customHeight="1">
      <c r="A16" s="23" t="s">
        <v>13</v>
      </c>
      <c r="B16" s="35">
        <v>2.0</v>
      </c>
      <c r="C16" s="35">
        <v>2.0</v>
      </c>
      <c r="D16" s="35">
        <v>2.0</v>
      </c>
      <c r="E16" s="35">
        <v>2.0</v>
      </c>
      <c r="F16" s="29"/>
      <c r="G16" s="35"/>
      <c r="H16" s="35"/>
      <c r="I16" s="25"/>
      <c r="J16" s="25"/>
      <c r="K16" s="25"/>
      <c r="L16" s="35"/>
      <c r="M16" s="35"/>
      <c r="N16" s="25"/>
      <c r="O16" s="25"/>
      <c r="P16" s="25"/>
      <c r="Q16" s="35"/>
      <c r="R16" s="35"/>
      <c r="S16" s="35"/>
      <c r="T16" s="35"/>
      <c r="U16" s="35">
        <v>1.0</v>
      </c>
      <c r="V16" s="35">
        <v>-3.0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34"/>
      <c r="AH16" s="34"/>
      <c r="AI16" s="34"/>
      <c r="AJ16" s="34"/>
      <c r="AK16" s="34"/>
      <c r="AL16" s="25"/>
      <c r="AM16" s="25"/>
      <c r="AN16" s="25"/>
      <c r="AO16" s="25"/>
      <c r="AP16" s="25"/>
      <c r="AQ16" s="25"/>
      <c r="AU16" s="34"/>
      <c r="AV16" s="34"/>
      <c r="AW16" s="34"/>
    </row>
    <row r="17" ht="15.0" customHeight="1">
      <c r="A17" s="23" t="s">
        <v>14</v>
      </c>
      <c r="B17" s="35">
        <v>2.0</v>
      </c>
      <c r="C17" s="35">
        <v>2.0</v>
      </c>
      <c r="D17" s="35">
        <v>2.0</v>
      </c>
      <c r="E17" s="35">
        <v>2.0</v>
      </c>
      <c r="F17" s="29"/>
      <c r="G17" s="35"/>
      <c r="H17" s="35"/>
      <c r="I17" s="25"/>
      <c r="J17" s="25"/>
      <c r="K17" s="25"/>
      <c r="L17" s="35"/>
      <c r="M17" s="35"/>
      <c r="N17" s="25"/>
      <c r="O17" s="25"/>
      <c r="P17" s="25"/>
      <c r="Q17" s="35"/>
      <c r="R17" s="35"/>
      <c r="S17" s="35"/>
      <c r="T17" s="35"/>
      <c r="U17" s="35">
        <v>1.0</v>
      </c>
      <c r="V17" s="35">
        <v>-3.0</v>
      </c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34"/>
      <c r="AH17" s="34"/>
      <c r="AI17" s="34"/>
      <c r="AJ17" s="34"/>
      <c r="AK17" s="34"/>
      <c r="AL17" s="25"/>
      <c r="AM17" s="25"/>
      <c r="AN17" s="25"/>
      <c r="AO17" s="25"/>
      <c r="AP17" s="25"/>
      <c r="AQ17" s="25"/>
      <c r="AU17" s="34"/>
      <c r="AV17" s="34"/>
      <c r="AW17" s="34"/>
    </row>
    <row r="18" ht="15.0" customHeight="1">
      <c r="A18" s="23" t="s">
        <v>15</v>
      </c>
      <c r="B18" s="35">
        <v>2.0</v>
      </c>
      <c r="C18" s="35">
        <v>2.0</v>
      </c>
      <c r="D18" s="35">
        <v>2.0</v>
      </c>
      <c r="E18" s="35">
        <v>2.0</v>
      </c>
      <c r="F18" s="29"/>
      <c r="G18" s="35"/>
      <c r="H18" s="35"/>
      <c r="I18" s="25"/>
      <c r="J18" s="25"/>
      <c r="K18" s="25"/>
      <c r="L18" s="35"/>
      <c r="M18" s="35"/>
      <c r="N18" s="25"/>
      <c r="O18" s="25"/>
      <c r="P18" s="25"/>
      <c r="Q18" s="35"/>
      <c r="R18" s="35"/>
      <c r="S18" s="35"/>
      <c r="T18" s="35"/>
      <c r="U18" s="35">
        <v>1.0</v>
      </c>
      <c r="V18" s="35">
        <v>-3.0</v>
      </c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34"/>
      <c r="AH18" s="34"/>
      <c r="AI18" s="34"/>
      <c r="AJ18" s="34"/>
      <c r="AK18" s="34"/>
      <c r="AL18" s="25"/>
      <c r="AM18" s="25"/>
      <c r="AN18" s="25"/>
      <c r="AO18" s="25"/>
      <c r="AP18" s="25"/>
      <c r="AQ18" s="25"/>
      <c r="AU18" s="34"/>
      <c r="AV18" s="34"/>
      <c r="AW18" s="34"/>
    </row>
    <row r="19" ht="15.0" customHeight="1">
      <c r="A19" s="23" t="s">
        <v>16</v>
      </c>
      <c r="B19" s="35">
        <v>2.0</v>
      </c>
      <c r="C19" s="35">
        <v>2.0</v>
      </c>
      <c r="D19" s="35">
        <v>2.0</v>
      </c>
      <c r="E19" s="35">
        <v>2.0</v>
      </c>
      <c r="F19" s="29"/>
      <c r="G19" s="35"/>
      <c r="H19" s="35"/>
      <c r="I19" s="25"/>
      <c r="J19" s="25"/>
      <c r="K19" s="25"/>
      <c r="L19" s="35"/>
      <c r="M19" s="35"/>
      <c r="N19" s="25"/>
      <c r="O19" s="25"/>
      <c r="P19" s="25"/>
      <c r="Q19" s="35"/>
      <c r="R19" s="35"/>
      <c r="S19" s="35"/>
      <c r="T19" s="35"/>
      <c r="U19" s="35">
        <v>1.0</v>
      </c>
      <c r="V19" s="35">
        <v>-3.0</v>
      </c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34"/>
      <c r="AH19" s="34"/>
      <c r="AI19" s="34"/>
      <c r="AJ19" s="34"/>
      <c r="AK19" s="34"/>
      <c r="AL19" s="25"/>
      <c r="AM19" s="25"/>
      <c r="AN19" s="25"/>
      <c r="AO19" s="25"/>
      <c r="AP19" s="25"/>
      <c r="AQ19" s="25"/>
      <c r="AU19" s="34"/>
      <c r="AV19" s="34"/>
      <c r="AW19" s="34"/>
    </row>
    <row r="20" ht="15.0" customHeight="1">
      <c r="A20" s="23" t="s">
        <v>17</v>
      </c>
      <c r="B20" s="35">
        <v>2.0</v>
      </c>
      <c r="C20" s="35">
        <v>2.0</v>
      </c>
      <c r="D20" s="35">
        <v>2.0</v>
      </c>
      <c r="E20" s="35">
        <v>2.0</v>
      </c>
      <c r="F20" s="29"/>
      <c r="G20" s="35"/>
      <c r="H20" s="35"/>
      <c r="I20" s="25"/>
      <c r="J20" s="25"/>
      <c r="K20" s="25"/>
      <c r="L20" s="35"/>
      <c r="M20" s="35"/>
      <c r="N20" s="25"/>
      <c r="O20" s="25"/>
      <c r="P20" s="25"/>
      <c r="Q20" s="35"/>
      <c r="R20" s="35"/>
      <c r="S20" s="35"/>
      <c r="T20" s="35"/>
      <c r="U20" s="35">
        <v>1.0</v>
      </c>
      <c r="V20" s="35">
        <v>-3.0</v>
      </c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34"/>
      <c r="AH20" s="34"/>
      <c r="AI20" s="34"/>
      <c r="AJ20" s="34"/>
      <c r="AK20" s="34"/>
      <c r="AL20" s="25"/>
      <c r="AM20" s="25"/>
      <c r="AN20" s="25"/>
      <c r="AO20" s="25"/>
      <c r="AP20" s="25"/>
      <c r="AQ20" s="25"/>
      <c r="AU20" s="34"/>
      <c r="AV20" s="34"/>
      <c r="AW20" s="34"/>
    </row>
    <row r="21" ht="15.0" customHeight="1">
      <c r="A21" s="23" t="s">
        <v>18</v>
      </c>
      <c r="B21" s="35">
        <v>2.0</v>
      </c>
      <c r="C21" s="35">
        <v>2.0</v>
      </c>
      <c r="D21" s="35">
        <v>2.0</v>
      </c>
      <c r="E21" s="35">
        <v>2.0</v>
      </c>
      <c r="F21" s="29"/>
      <c r="G21" s="35"/>
      <c r="H21" s="35"/>
      <c r="I21" s="25"/>
      <c r="J21" s="25"/>
      <c r="K21" s="25"/>
      <c r="L21" s="35"/>
      <c r="M21" s="35"/>
      <c r="N21" s="25"/>
      <c r="O21" s="25"/>
      <c r="P21" s="25"/>
      <c r="Q21" s="35"/>
      <c r="R21" s="35"/>
      <c r="S21" s="35"/>
      <c r="T21" s="35"/>
      <c r="U21" s="35">
        <v>1.0</v>
      </c>
      <c r="V21" s="35">
        <v>-3.0</v>
      </c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34"/>
      <c r="AH21" s="34"/>
      <c r="AI21" s="34"/>
      <c r="AJ21" s="34"/>
      <c r="AK21" s="34"/>
      <c r="AL21" s="25"/>
      <c r="AM21" s="25"/>
      <c r="AN21" s="25"/>
      <c r="AO21" s="25"/>
      <c r="AP21" s="25"/>
      <c r="AQ21" s="25"/>
      <c r="AU21" s="34"/>
      <c r="AV21" s="34"/>
      <c r="AW21" s="34"/>
    </row>
    <row r="22" ht="15.0" customHeight="1">
      <c r="A22" s="23" t="s">
        <v>19</v>
      </c>
      <c r="B22" s="35">
        <v>2.0</v>
      </c>
      <c r="C22" s="35">
        <v>2.0</v>
      </c>
      <c r="D22" s="35">
        <v>2.0</v>
      </c>
      <c r="E22" s="35">
        <v>2.0</v>
      </c>
      <c r="F22" s="29"/>
      <c r="G22" s="35"/>
      <c r="H22" s="35"/>
      <c r="I22" s="25"/>
      <c r="J22" s="25"/>
      <c r="K22" s="25"/>
      <c r="L22" s="35"/>
      <c r="M22" s="35"/>
      <c r="N22" s="25"/>
      <c r="O22" s="25"/>
      <c r="P22" s="25"/>
      <c r="Q22" s="35"/>
      <c r="R22" s="35"/>
      <c r="S22" s="35"/>
      <c r="T22" s="35"/>
      <c r="U22" s="35">
        <v>1.0</v>
      </c>
      <c r="V22" s="35">
        <v>-3.0</v>
      </c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34"/>
      <c r="AH22" s="34"/>
      <c r="AI22" s="34"/>
      <c r="AJ22" s="34"/>
      <c r="AK22" s="34"/>
      <c r="AL22" s="25"/>
      <c r="AM22" s="25"/>
      <c r="AN22" s="25"/>
      <c r="AO22" s="25"/>
      <c r="AP22" s="25"/>
      <c r="AQ22" s="25"/>
      <c r="AU22" s="34"/>
      <c r="AV22" s="34"/>
      <c r="AW22" s="34"/>
    </row>
    <row r="23" ht="15.0" customHeight="1">
      <c r="A23" s="23" t="s">
        <v>20</v>
      </c>
      <c r="B23" s="35">
        <v>2.0</v>
      </c>
      <c r="C23" s="35">
        <v>2.0</v>
      </c>
      <c r="D23" s="35">
        <v>2.0</v>
      </c>
      <c r="E23" s="35">
        <v>2.0</v>
      </c>
      <c r="F23" s="29"/>
      <c r="G23" s="35"/>
      <c r="H23" s="35"/>
      <c r="I23" s="25"/>
      <c r="J23" s="25"/>
      <c r="K23" s="25"/>
      <c r="L23" s="35"/>
      <c r="M23" s="35"/>
      <c r="N23" s="25"/>
      <c r="O23" s="25"/>
      <c r="P23" s="25"/>
      <c r="Q23" s="35"/>
      <c r="R23" s="35"/>
      <c r="S23" s="35"/>
      <c r="T23" s="35"/>
      <c r="U23" s="35">
        <v>1.0</v>
      </c>
      <c r="V23" s="35">
        <v>-3.0</v>
      </c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34"/>
      <c r="AH23" s="34"/>
      <c r="AI23" s="34"/>
      <c r="AJ23" s="34"/>
      <c r="AK23" s="34"/>
      <c r="AL23" s="25"/>
      <c r="AM23" s="25"/>
      <c r="AN23" s="25"/>
      <c r="AO23" s="25"/>
      <c r="AP23" s="25"/>
      <c r="AQ23" s="25"/>
      <c r="AU23" s="34"/>
      <c r="AV23" s="34"/>
      <c r="AW23" s="34"/>
    </row>
    <row r="24" ht="15.0" customHeight="1">
      <c r="A24" s="23" t="s">
        <v>21</v>
      </c>
      <c r="B24" s="35">
        <v>2.0</v>
      </c>
      <c r="C24" s="35">
        <v>2.0</v>
      </c>
      <c r="D24" s="35">
        <v>2.0</v>
      </c>
      <c r="E24" s="35">
        <v>2.0</v>
      </c>
      <c r="F24" s="29"/>
      <c r="G24" s="35"/>
      <c r="H24" s="35"/>
      <c r="I24" s="25"/>
      <c r="J24" s="25"/>
      <c r="K24" s="25"/>
      <c r="L24" s="35"/>
      <c r="M24" s="35"/>
      <c r="N24" s="25"/>
      <c r="O24" s="25"/>
      <c r="P24" s="25"/>
      <c r="Q24" s="35"/>
      <c r="R24" s="35"/>
      <c r="S24" s="35"/>
      <c r="T24" s="35"/>
      <c r="U24" s="35">
        <v>1.0</v>
      </c>
      <c r="V24" s="35">
        <v>-3.0</v>
      </c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34"/>
      <c r="AH24" s="34"/>
      <c r="AI24" s="34"/>
      <c r="AJ24" s="34"/>
      <c r="AK24" s="34"/>
      <c r="AL24" s="25"/>
      <c r="AM24" s="25"/>
      <c r="AN24" s="25"/>
      <c r="AO24" s="25"/>
      <c r="AP24" s="25"/>
      <c r="AQ24" s="25"/>
      <c r="AU24" s="34"/>
      <c r="AV24" s="34"/>
      <c r="AW24" s="34"/>
    </row>
    <row r="25" ht="15.0" customHeight="1">
      <c r="A25" s="23" t="s">
        <v>22</v>
      </c>
      <c r="B25" s="35">
        <v>2.0</v>
      </c>
      <c r="C25" s="35">
        <v>2.0</v>
      </c>
      <c r="D25" s="35">
        <v>2.0</v>
      </c>
      <c r="E25" s="35">
        <v>2.0</v>
      </c>
      <c r="F25" s="25"/>
      <c r="G25" s="35"/>
      <c r="H25" s="35"/>
      <c r="I25" s="25"/>
      <c r="J25" s="25"/>
      <c r="K25" s="25"/>
      <c r="L25" s="35"/>
      <c r="M25" s="35"/>
      <c r="N25" s="25"/>
      <c r="O25" s="25"/>
      <c r="P25" s="25"/>
      <c r="Q25" s="35"/>
      <c r="R25" s="35"/>
      <c r="S25" s="35"/>
      <c r="T25" s="35"/>
      <c r="U25" s="35">
        <v>1.0</v>
      </c>
      <c r="V25" s="35">
        <v>-3.0</v>
      </c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34"/>
      <c r="AH25" s="34"/>
      <c r="AI25" s="34"/>
      <c r="AJ25" s="34"/>
      <c r="AK25" s="34"/>
      <c r="AL25" s="25"/>
      <c r="AM25" s="25"/>
      <c r="AN25" s="25"/>
      <c r="AO25" s="25"/>
      <c r="AP25" s="25"/>
      <c r="AQ25" s="25"/>
      <c r="AU25" s="34"/>
      <c r="AV25" s="34"/>
      <c r="AW25" s="34"/>
    </row>
    <row r="26" ht="15.0" customHeight="1">
      <c r="A26" s="23" t="s">
        <v>23</v>
      </c>
      <c r="B26" s="35">
        <v>2.0</v>
      </c>
      <c r="C26" s="35">
        <v>2.0</v>
      </c>
      <c r="D26" s="35">
        <v>2.0</v>
      </c>
      <c r="E26" s="35">
        <v>2.0</v>
      </c>
      <c r="F26" s="25"/>
      <c r="G26" s="35"/>
      <c r="H26" s="35"/>
      <c r="I26" s="25"/>
      <c r="J26" s="25"/>
      <c r="K26" s="25"/>
      <c r="L26" s="35"/>
      <c r="M26" s="35"/>
      <c r="N26" s="25"/>
      <c r="O26" s="25"/>
      <c r="P26" s="25"/>
      <c r="Q26" s="35"/>
      <c r="R26" s="35"/>
      <c r="S26" s="35"/>
      <c r="T26" s="35"/>
      <c r="U26" s="35">
        <v>1.0</v>
      </c>
      <c r="V26" s="35">
        <v>-3.0</v>
      </c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34"/>
      <c r="AH26" s="34"/>
      <c r="AI26" s="34"/>
      <c r="AJ26" s="34"/>
      <c r="AK26" s="34"/>
      <c r="AL26" s="25"/>
      <c r="AM26" s="25"/>
      <c r="AN26" s="25"/>
      <c r="AO26" s="25"/>
      <c r="AP26" s="25"/>
      <c r="AQ26" s="25"/>
      <c r="AU26" s="34"/>
      <c r="AV26" s="34"/>
      <c r="AW26" s="34"/>
    </row>
    <row r="27" ht="15.0" customHeight="1">
      <c r="A27" s="23" t="s">
        <v>24</v>
      </c>
      <c r="B27" s="35">
        <v>2.0</v>
      </c>
      <c r="C27" s="35">
        <v>2.0</v>
      </c>
      <c r="D27" s="35">
        <v>2.0</v>
      </c>
      <c r="E27" s="35">
        <v>2.0</v>
      </c>
      <c r="F27" s="25"/>
      <c r="G27" s="35"/>
      <c r="H27" s="35"/>
      <c r="I27" s="25"/>
      <c r="J27" s="25"/>
      <c r="K27" s="25"/>
      <c r="L27" s="35"/>
      <c r="M27" s="35"/>
      <c r="N27" s="25"/>
      <c r="O27" s="25"/>
      <c r="P27" s="25"/>
      <c r="Q27" s="35"/>
      <c r="R27" s="35"/>
      <c r="S27" s="35"/>
      <c r="T27" s="35"/>
      <c r="U27" s="35">
        <v>1.0</v>
      </c>
      <c r="V27" s="35">
        <v>-3.0</v>
      </c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34"/>
      <c r="AH27" s="34"/>
      <c r="AI27" s="34"/>
      <c r="AJ27" s="34"/>
      <c r="AK27" s="34"/>
      <c r="AL27" s="25"/>
      <c r="AM27" s="25"/>
      <c r="AN27" s="25"/>
      <c r="AO27" s="25"/>
      <c r="AP27" s="25"/>
      <c r="AQ27" s="25"/>
      <c r="AU27" s="34"/>
      <c r="AV27" s="34"/>
      <c r="AW27" s="34"/>
    </row>
    <row r="28" ht="15.0" customHeight="1">
      <c r="A28" s="23" t="s">
        <v>25</v>
      </c>
      <c r="B28" s="35">
        <v>2.0</v>
      </c>
      <c r="C28" s="35">
        <v>2.0</v>
      </c>
      <c r="D28" s="35">
        <v>2.0</v>
      </c>
      <c r="E28" s="35">
        <v>2.0</v>
      </c>
      <c r="F28" s="25"/>
      <c r="G28" s="35"/>
      <c r="H28" s="35"/>
      <c r="I28" s="25"/>
      <c r="J28" s="25"/>
      <c r="K28" s="25"/>
      <c r="L28" s="35"/>
      <c r="M28" s="35"/>
      <c r="N28" s="25"/>
      <c r="O28" s="25"/>
      <c r="P28" s="25"/>
      <c r="Q28" s="35"/>
      <c r="R28" s="35"/>
      <c r="S28" s="35"/>
      <c r="T28" s="35"/>
      <c r="U28" s="35">
        <v>1.0</v>
      </c>
      <c r="V28" s="35">
        <v>-3.0</v>
      </c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34"/>
      <c r="AH28" s="34"/>
      <c r="AI28" s="34"/>
      <c r="AJ28" s="34"/>
      <c r="AK28" s="34"/>
      <c r="AL28" s="25"/>
      <c r="AM28" s="25"/>
      <c r="AN28" s="25"/>
      <c r="AO28" s="25"/>
      <c r="AP28" s="25"/>
      <c r="AQ28" s="25"/>
      <c r="AU28" s="34"/>
      <c r="AV28" s="34"/>
      <c r="AW28" s="34"/>
    </row>
    <row r="29" ht="15.0" customHeight="1">
      <c r="A29" s="23" t="s">
        <v>26</v>
      </c>
      <c r="B29" s="35">
        <v>2.0</v>
      </c>
      <c r="C29" s="35">
        <v>2.0</v>
      </c>
      <c r="D29" s="35">
        <v>2.0</v>
      </c>
      <c r="E29" s="35">
        <v>2.0</v>
      </c>
      <c r="F29" s="25"/>
      <c r="G29" s="35"/>
      <c r="H29" s="35"/>
      <c r="I29" s="25"/>
      <c r="J29" s="25"/>
      <c r="K29" s="25"/>
      <c r="L29" s="35"/>
      <c r="M29" s="35"/>
      <c r="N29" s="25"/>
      <c r="O29" s="25"/>
      <c r="P29" s="25"/>
      <c r="Q29" s="35"/>
      <c r="R29" s="35"/>
      <c r="S29" s="35"/>
      <c r="T29" s="35"/>
      <c r="U29" s="35">
        <v>1.0</v>
      </c>
      <c r="V29" s="35">
        <v>-3.0</v>
      </c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34"/>
      <c r="AH29" s="34"/>
      <c r="AI29" s="34"/>
      <c r="AJ29" s="34"/>
      <c r="AK29" s="34"/>
      <c r="AL29" s="25"/>
      <c r="AM29" s="25"/>
      <c r="AN29" s="25"/>
      <c r="AO29" s="25"/>
      <c r="AP29" s="25"/>
      <c r="AQ29" s="25"/>
      <c r="AU29" s="34"/>
      <c r="AV29" s="34"/>
      <c r="AW29" s="34"/>
    </row>
    <row r="30" ht="15.0" customHeight="1">
      <c r="A30" s="23" t="s">
        <v>27</v>
      </c>
      <c r="B30" s="35">
        <v>2.0</v>
      </c>
      <c r="C30" s="35">
        <v>2.0</v>
      </c>
      <c r="D30" s="35">
        <v>2.0</v>
      </c>
      <c r="E30" s="35">
        <v>2.0</v>
      </c>
      <c r="F30" s="25"/>
      <c r="G30" s="35"/>
      <c r="H30" s="35"/>
      <c r="I30" s="25"/>
      <c r="J30" s="25"/>
      <c r="K30" s="25"/>
      <c r="L30" s="35"/>
      <c r="M30" s="35"/>
      <c r="N30" s="25"/>
      <c r="O30" s="25"/>
      <c r="P30" s="25"/>
      <c r="Q30" s="35"/>
      <c r="R30" s="35"/>
      <c r="S30" s="35"/>
      <c r="T30" s="35"/>
      <c r="U30" s="35">
        <v>1.0</v>
      </c>
      <c r="V30" s="35">
        <v>-3.0</v>
      </c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34"/>
      <c r="AH30" s="34"/>
      <c r="AI30" s="34"/>
      <c r="AJ30" s="34"/>
      <c r="AK30" s="34"/>
      <c r="AL30" s="25"/>
      <c r="AM30" s="25"/>
      <c r="AN30" s="25"/>
      <c r="AO30" s="25"/>
      <c r="AP30" s="25"/>
      <c r="AQ30" s="25"/>
      <c r="AU30" s="34"/>
      <c r="AV30" s="34"/>
      <c r="AW30" s="34"/>
    </row>
    <row r="31" ht="15.0" customHeight="1">
      <c r="A31" s="23" t="s">
        <v>28</v>
      </c>
      <c r="B31" s="35">
        <v>2.0</v>
      </c>
      <c r="C31" s="35">
        <v>2.0</v>
      </c>
      <c r="D31" s="35">
        <v>2.0</v>
      </c>
      <c r="E31" s="35">
        <v>2.0</v>
      </c>
      <c r="F31" s="25"/>
      <c r="G31" s="35"/>
      <c r="H31" s="35"/>
      <c r="I31" s="25"/>
      <c r="J31" s="25"/>
      <c r="K31" s="25"/>
      <c r="L31" s="35"/>
      <c r="M31" s="35"/>
      <c r="N31" s="25"/>
      <c r="O31" s="25"/>
      <c r="P31" s="25"/>
      <c r="Q31" s="35"/>
      <c r="R31" s="35"/>
      <c r="S31" s="35"/>
      <c r="T31" s="35"/>
      <c r="U31" s="35">
        <v>1.0</v>
      </c>
      <c r="V31" s="35">
        <v>-3.0</v>
      </c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34"/>
      <c r="AH31" s="34"/>
      <c r="AI31" s="34"/>
      <c r="AJ31" s="34"/>
      <c r="AK31" s="34"/>
      <c r="AL31" s="25"/>
      <c r="AM31" s="25"/>
      <c r="AN31" s="25"/>
      <c r="AO31" s="25"/>
      <c r="AP31" s="25"/>
      <c r="AQ31" s="25"/>
      <c r="AU31" s="34"/>
      <c r="AV31" s="34"/>
      <c r="AW31" s="34"/>
    </row>
    <row r="32" ht="15.0" customHeight="1">
      <c r="A32" s="23" t="s">
        <v>29</v>
      </c>
      <c r="B32" s="35">
        <v>2.0</v>
      </c>
      <c r="C32" s="35">
        <v>2.0</v>
      </c>
      <c r="D32" s="35">
        <v>2.0</v>
      </c>
      <c r="E32" s="35">
        <v>2.0</v>
      </c>
      <c r="F32" s="25"/>
      <c r="G32" s="35"/>
      <c r="H32" s="35"/>
      <c r="I32" s="25"/>
      <c r="J32" s="25"/>
      <c r="K32" s="25"/>
      <c r="L32" s="35"/>
      <c r="M32" s="35"/>
      <c r="N32" s="25"/>
      <c r="O32" s="25"/>
      <c r="P32" s="25"/>
      <c r="Q32" s="35"/>
      <c r="R32" s="35"/>
      <c r="S32" s="35"/>
      <c r="T32" s="35"/>
      <c r="U32" s="35">
        <v>1.0</v>
      </c>
      <c r="V32" s="35">
        <v>-3.0</v>
      </c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34"/>
      <c r="AH32" s="34"/>
      <c r="AI32" s="34"/>
      <c r="AJ32" s="34"/>
      <c r="AK32" s="34"/>
      <c r="AL32" s="25"/>
      <c r="AM32" s="25"/>
      <c r="AN32" s="25"/>
      <c r="AO32" s="25"/>
      <c r="AP32" s="25"/>
      <c r="AQ32" s="25"/>
      <c r="AU32" s="34"/>
      <c r="AV32" s="34"/>
      <c r="AW32" s="34"/>
    </row>
    <row r="33" ht="15.0" customHeight="1">
      <c r="A33" s="23" t="s">
        <v>30</v>
      </c>
      <c r="B33" s="35">
        <v>2.0</v>
      </c>
      <c r="C33" s="35">
        <v>2.0</v>
      </c>
      <c r="D33" s="35">
        <v>2.0</v>
      </c>
      <c r="E33" s="35">
        <v>2.0</v>
      </c>
      <c r="F33" s="25"/>
      <c r="G33" s="35"/>
      <c r="H33" s="35"/>
      <c r="I33" s="25"/>
      <c r="J33" s="25"/>
      <c r="K33" s="25"/>
      <c r="L33" s="35"/>
      <c r="M33" s="35"/>
      <c r="N33" s="25"/>
      <c r="O33" s="25"/>
      <c r="P33" s="25"/>
      <c r="Q33" s="35"/>
      <c r="R33" s="35"/>
      <c r="S33" s="35"/>
      <c r="T33" s="35"/>
      <c r="U33" s="35">
        <v>1.0</v>
      </c>
      <c r="V33" s="35">
        <v>-3.0</v>
      </c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25"/>
      <c r="AU33" s="34"/>
      <c r="AV33" s="34"/>
      <c r="AW33" s="34"/>
    </row>
    <row r="34" ht="15.0" customHeight="1">
      <c r="A34" s="23" t="s">
        <v>31</v>
      </c>
      <c r="B34" s="35">
        <v>2.0</v>
      </c>
      <c r="C34" s="35">
        <v>2.0</v>
      </c>
      <c r="D34" s="35">
        <v>2.0</v>
      </c>
      <c r="E34" s="35">
        <v>2.0</v>
      </c>
      <c r="F34" s="25"/>
      <c r="G34" s="35"/>
      <c r="H34" s="35"/>
      <c r="I34" s="25"/>
      <c r="J34" s="25"/>
      <c r="K34" s="25"/>
      <c r="L34" s="35"/>
      <c r="M34" s="35"/>
      <c r="N34" s="25"/>
      <c r="O34" s="25"/>
      <c r="P34" s="25"/>
      <c r="Q34" s="35"/>
      <c r="R34" s="35"/>
      <c r="S34" s="35"/>
      <c r="T34" s="35"/>
      <c r="U34" s="35">
        <v>1.0</v>
      </c>
      <c r="V34" s="35">
        <v>-3.0</v>
      </c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25"/>
      <c r="AU34" s="34"/>
      <c r="AV34" s="34"/>
      <c r="AW34" s="34"/>
    </row>
    <row r="35" ht="15.0" customHeight="1">
      <c r="A35" s="23" t="s">
        <v>32</v>
      </c>
      <c r="B35" s="35">
        <v>2.0</v>
      </c>
      <c r="C35" s="35">
        <v>2.0</v>
      </c>
      <c r="D35" s="35">
        <v>2.0</v>
      </c>
      <c r="E35" s="35">
        <v>2.0</v>
      </c>
      <c r="F35" s="25"/>
      <c r="G35" s="35"/>
      <c r="H35" s="35"/>
      <c r="I35" s="25"/>
      <c r="J35" s="25"/>
      <c r="K35" s="25"/>
      <c r="L35" s="35"/>
      <c r="M35" s="35"/>
      <c r="N35" s="25"/>
      <c r="O35" s="25"/>
      <c r="P35" s="25"/>
      <c r="Q35" s="35"/>
      <c r="R35" s="35"/>
      <c r="S35" s="35"/>
      <c r="T35" s="35"/>
      <c r="U35" s="35">
        <v>1.0</v>
      </c>
      <c r="V35" s="35">
        <v>-3.0</v>
      </c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25"/>
      <c r="AU35" s="34"/>
      <c r="AV35" s="34"/>
      <c r="AW35" s="34"/>
    </row>
    <row r="36" ht="15.0" customHeight="1">
      <c r="A36" s="23" t="s">
        <v>33</v>
      </c>
      <c r="B36" s="35">
        <v>2.0</v>
      </c>
      <c r="C36" s="35">
        <v>2.0</v>
      </c>
      <c r="D36" s="35">
        <v>2.0</v>
      </c>
      <c r="E36" s="35">
        <v>2.0</v>
      </c>
      <c r="F36" s="25"/>
      <c r="G36" s="35"/>
      <c r="H36" s="35"/>
      <c r="I36" s="25"/>
      <c r="J36" s="25"/>
      <c r="K36" s="25"/>
      <c r="L36" s="35"/>
      <c r="M36" s="35"/>
      <c r="N36" s="25"/>
      <c r="O36" s="25"/>
      <c r="P36" s="25"/>
      <c r="Q36" s="35"/>
      <c r="R36" s="35"/>
      <c r="S36" s="35"/>
      <c r="T36" s="35"/>
      <c r="U36" s="35">
        <v>1.0</v>
      </c>
      <c r="V36" s="35">
        <v>-3.0</v>
      </c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25"/>
      <c r="AU36" s="34"/>
      <c r="AV36" s="34"/>
      <c r="AW36" s="34"/>
    </row>
    <row r="37" ht="15.0" customHeight="1">
      <c r="A37" s="23" t="s">
        <v>34</v>
      </c>
      <c r="B37" s="35">
        <v>2.0</v>
      </c>
      <c r="C37" s="35">
        <v>2.0</v>
      </c>
      <c r="D37" s="35">
        <v>2.0</v>
      </c>
      <c r="E37" s="35">
        <v>2.0</v>
      </c>
      <c r="F37" s="25"/>
      <c r="G37" s="35"/>
      <c r="H37" s="35"/>
      <c r="I37" s="25"/>
      <c r="J37" s="25"/>
      <c r="K37" s="25"/>
      <c r="L37" s="35"/>
      <c r="M37" s="35"/>
      <c r="N37" s="25"/>
      <c r="O37" s="25"/>
      <c r="P37" s="25"/>
      <c r="Q37" s="35"/>
      <c r="R37" s="35"/>
      <c r="S37" s="35"/>
      <c r="T37" s="35"/>
      <c r="U37" s="35">
        <v>1.0</v>
      </c>
      <c r="V37" s="35">
        <v>-3.0</v>
      </c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25"/>
      <c r="AU37" s="34"/>
      <c r="AV37" s="34"/>
      <c r="AW37" s="34"/>
    </row>
    <row r="38" ht="15.0" customHeight="1">
      <c r="A38" s="23" t="s">
        <v>35</v>
      </c>
      <c r="B38" s="35">
        <v>2.0</v>
      </c>
      <c r="C38" s="35">
        <v>2.0</v>
      </c>
      <c r="D38" s="35">
        <v>2.0</v>
      </c>
      <c r="E38" s="35">
        <v>2.0</v>
      </c>
      <c r="F38" s="25"/>
      <c r="G38" s="35"/>
      <c r="H38" s="35"/>
      <c r="I38" s="25"/>
      <c r="J38" s="25"/>
      <c r="K38" s="25"/>
      <c r="L38" s="35"/>
      <c r="M38" s="35"/>
      <c r="N38" s="25"/>
      <c r="O38" s="25"/>
      <c r="P38" s="25"/>
      <c r="Q38" s="35"/>
      <c r="R38" s="35"/>
      <c r="S38" s="35"/>
      <c r="T38" s="35"/>
      <c r="U38" s="35">
        <v>1.0</v>
      </c>
      <c r="V38" s="35">
        <v>-3.0</v>
      </c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25"/>
      <c r="AU38" s="34"/>
      <c r="AV38" s="34"/>
      <c r="AW38" s="34"/>
    </row>
    <row r="39" ht="15.0" customHeight="1">
      <c r="A39" s="23" t="s">
        <v>36</v>
      </c>
      <c r="B39" s="35">
        <v>2.0</v>
      </c>
      <c r="C39" s="35">
        <v>2.0</v>
      </c>
      <c r="D39" s="35">
        <v>2.0</v>
      </c>
      <c r="E39" s="35">
        <v>2.0</v>
      </c>
      <c r="F39" s="25"/>
      <c r="G39" s="35"/>
      <c r="H39" s="35"/>
      <c r="I39" s="25"/>
      <c r="J39" s="25"/>
      <c r="K39" s="25"/>
      <c r="L39" s="35"/>
      <c r="M39" s="35"/>
      <c r="N39" s="25"/>
      <c r="O39" s="25"/>
      <c r="P39" s="25"/>
      <c r="Q39" s="35"/>
      <c r="R39" s="35"/>
      <c r="S39" s="35"/>
      <c r="T39" s="35"/>
      <c r="U39" s="35">
        <v>1.0</v>
      </c>
      <c r="V39" s="35">
        <v>-3.0</v>
      </c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25"/>
      <c r="AU39" s="34"/>
      <c r="AV39" s="34"/>
      <c r="AW39" s="34"/>
    </row>
    <row r="40" ht="15.0" customHeight="1">
      <c r="A40" s="23" t="s">
        <v>37</v>
      </c>
      <c r="B40" s="35">
        <v>2.0</v>
      </c>
      <c r="C40" s="35">
        <v>2.0</v>
      </c>
      <c r="D40" s="35">
        <v>2.0</v>
      </c>
      <c r="E40" s="35">
        <v>2.0</v>
      </c>
      <c r="F40" s="25"/>
      <c r="G40" s="35"/>
      <c r="H40" s="35"/>
      <c r="I40" s="25"/>
      <c r="J40" s="25"/>
      <c r="K40" s="25"/>
      <c r="L40" s="35"/>
      <c r="M40" s="35"/>
      <c r="N40" s="25"/>
      <c r="O40" s="25"/>
      <c r="P40" s="25"/>
      <c r="Q40" s="35"/>
      <c r="R40" s="35"/>
      <c r="S40" s="35"/>
      <c r="T40" s="35"/>
      <c r="U40" s="35">
        <v>1.0</v>
      </c>
      <c r="V40" s="35">
        <v>-3.0</v>
      </c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25"/>
      <c r="AU40" s="34"/>
      <c r="AV40" s="34"/>
      <c r="AW40" s="34"/>
    </row>
    <row r="41" ht="15.0" customHeight="1">
      <c r="A41" s="23" t="s">
        <v>38</v>
      </c>
      <c r="B41" s="35">
        <v>2.0</v>
      </c>
      <c r="C41" s="35">
        <v>2.0</v>
      </c>
      <c r="D41" s="35">
        <v>2.0</v>
      </c>
      <c r="E41" s="35">
        <v>2.0</v>
      </c>
      <c r="F41" s="25"/>
      <c r="G41" s="35"/>
      <c r="H41" s="35"/>
      <c r="I41" s="25"/>
      <c r="J41" s="25"/>
      <c r="K41" s="25"/>
      <c r="L41" s="35"/>
      <c r="M41" s="35"/>
      <c r="N41" s="25"/>
      <c r="O41" s="25"/>
      <c r="P41" s="25"/>
      <c r="Q41" s="35"/>
      <c r="R41" s="35"/>
      <c r="S41" s="35"/>
      <c r="T41" s="35"/>
      <c r="U41" s="35">
        <v>1.0</v>
      </c>
      <c r="V41" s="35">
        <v>-3.0</v>
      </c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25"/>
      <c r="AU41" s="34"/>
      <c r="AV41" s="34"/>
      <c r="AW41" s="34"/>
    </row>
    <row r="42" ht="15.0" customHeight="1">
      <c r="A42" s="23" t="s">
        <v>39</v>
      </c>
      <c r="B42" s="35">
        <v>2.0</v>
      </c>
      <c r="C42" s="35">
        <v>2.0</v>
      </c>
      <c r="D42" s="35">
        <v>2.0</v>
      </c>
      <c r="E42" s="35">
        <v>2.0</v>
      </c>
      <c r="F42" s="25"/>
      <c r="G42" s="35"/>
      <c r="H42" s="35"/>
      <c r="I42" s="25"/>
      <c r="J42" s="25"/>
      <c r="K42" s="25"/>
      <c r="L42" s="35"/>
      <c r="M42" s="35"/>
      <c r="N42" s="25"/>
      <c r="O42" s="25"/>
      <c r="P42" s="25"/>
      <c r="Q42" s="35"/>
      <c r="R42" s="35"/>
      <c r="S42" s="35"/>
      <c r="T42" s="35"/>
      <c r="U42" s="35">
        <v>1.0</v>
      </c>
      <c r="V42" s="35">
        <v>-3.0</v>
      </c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25"/>
      <c r="AU42" s="34"/>
      <c r="AV42" s="34"/>
      <c r="AW42" s="34"/>
    </row>
    <row r="43" ht="15.0" customHeight="1">
      <c r="A43" s="23" t="s">
        <v>40</v>
      </c>
      <c r="B43" s="35">
        <v>2.0</v>
      </c>
      <c r="C43" s="35">
        <v>2.0</v>
      </c>
      <c r="D43" s="35">
        <v>2.0</v>
      </c>
      <c r="E43" s="35">
        <v>2.0</v>
      </c>
      <c r="F43" s="25"/>
      <c r="G43" s="35"/>
      <c r="H43" s="35"/>
      <c r="I43" s="25"/>
      <c r="J43" s="25"/>
      <c r="K43" s="25"/>
      <c r="L43" s="35"/>
      <c r="M43" s="35"/>
      <c r="N43" s="25"/>
      <c r="O43" s="25"/>
      <c r="P43" s="25"/>
      <c r="Q43" s="35"/>
      <c r="R43" s="35"/>
      <c r="S43" s="35"/>
      <c r="T43" s="35"/>
      <c r="U43" s="35">
        <v>1.0</v>
      </c>
      <c r="V43" s="35">
        <v>-3.0</v>
      </c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25"/>
      <c r="AU43" s="34"/>
      <c r="AV43" s="34"/>
      <c r="AW43" s="34"/>
    </row>
    <row r="44" ht="15.0" customHeight="1">
      <c r="A44" s="23" t="s">
        <v>41</v>
      </c>
      <c r="B44" s="35">
        <v>2.0</v>
      </c>
      <c r="C44" s="35">
        <v>2.0</v>
      </c>
      <c r="D44" s="35">
        <v>2.0</v>
      </c>
      <c r="E44" s="35">
        <v>2.0</v>
      </c>
      <c r="F44" s="25"/>
      <c r="G44" s="35"/>
      <c r="H44" s="35"/>
      <c r="I44" s="25"/>
      <c r="J44" s="25"/>
      <c r="K44" s="25"/>
      <c r="L44" s="35"/>
      <c r="M44" s="35"/>
      <c r="N44" s="25"/>
      <c r="O44" s="25"/>
      <c r="P44" s="25"/>
      <c r="Q44" s="35"/>
      <c r="R44" s="35"/>
      <c r="S44" s="35"/>
      <c r="T44" s="35"/>
      <c r="U44" s="35">
        <v>1.0</v>
      </c>
      <c r="V44" s="35">
        <v>-3.0</v>
      </c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25"/>
      <c r="AU44" s="34"/>
      <c r="AV44" s="34"/>
      <c r="AW44" s="34"/>
    </row>
    <row r="45" ht="15.0" customHeight="1">
      <c r="A45" s="23" t="s">
        <v>42</v>
      </c>
      <c r="B45" s="35">
        <v>2.0</v>
      </c>
      <c r="C45" s="35">
        <v>2.0</v>
      </c>
      <c r="D45" s="35">
        <v>2.0</v>
      </c>
      <c r="E45" s="35">
        <v>2.0</v>
      </c>
      <c r="F45" s="25"/>
      <c r="G45" s="35"/>
      <c r="H45" s="35"/>
      <c r="I45" s="25"/>
      <c r="J45" s="25"/>
      <c r="K45" s="25"/>
      <c r="L45" s="35"/>
      <c r="M45" s="35"/>
      <c r="N45" s="25"/>
      <c r="O45" s="25"/>
      <c r="P45" s="25"/>
      <c r="Q45" s="35"/>
      <c r="R45" s="35"/>
      <c r="S45" s="35"/>
      <c r="T45" s="35"/>
      <c r="U45" s="35">
        <v>1.0</v>
      </c>
      <c r="V45" s="35">
        <v>-3.0</v>
      </c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25"/>
      <c r="AU45" s="34"/>
      <c r="AV45" s="34"/>
      <c r="AW45" s="34"/>
    </row>
    <row r="46" ht="15.0" customHeight="1">
      <c r="A46" s="23" t="s">
        <v>43</v>
      </c>
      <c r="B46" s="35">
        <v>2.0</v>
      </c>
      <c r="C46" s="35">
        <v>2.0</v>
      </c>
      <c r="D46" s="35">
        <v>2.0</v>
      </c>
      <c r="E46" s="35">
        <v>2.0</v>
      </c>
      <c r="F46" s="25"/>
      <c r="G46" s="35"/>
      <c r="H46" s="35"/>
      <c r="I46" s="25"/>
      <c r="J46" s="25"/>
      <c r="K46" s="25"/>
      <c r="L46" s="35"/>
      <c r="M46" s="35"/>
      <c r="N46" s="25"/>
      <c r="O46" s="25"/>
      <c r="P46" s="25"/>
      <c r="Q46" s="35"/>
      <c r="R46" s="35"/>
      <c r="S46" s="35"/>
      <c r="T46" s="35"/>
      <c r="U46" s="35">
        <v>1.0</v>
      </c>
      <c r="V46" s="35">
        <v>-3.0</v>
      </c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25"/>
      <c r="AU46" s="34"/>
      <c r="AV46" s="34"/>
      <c r="AW46" s="34"/>
    </row>
    <row r="47" ht="15.0" customHeight="1">
      <c r="A47" s="23" t="s">
        <v>44</v>
      </c>
      <c r="B47" s="35">
        <v>2.0</v>
      </c>
      <c r="C47" s="35">
        <v>2.0</v>
      </c>
      <c r="D47" s="35">
        <v>2.0</v>
      </c>
      <c r="E47" s="35">
        <v>2.0</v>
      </c>
      <c r="F47" s="25"/>
      <c r="G47" s="35"/>
      <c r="H47" s="35"/>
      <c r="I47" s="25"/>
      <c r="J47" s="25"/>
      <c r="K47" s="25"/>
      <c r="L47" s="35"/>
      <c r="M47" s="35"/>
      <c r="N47" s="25"/>
      <c r="O47" s="25"/>
      <c r="P47" s="25"/>
      <c r="Q47" s="35"/>
      <c r="R47" s="35"/>
      <c r="S47" s="35"/>
      <c r="T47" s="35"/>
      <c r="U47" s="35">
        <v>1.0</v>
      </c>
      <c r="V47" s="35">
        <v>-3.0</v>
      </c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25"/>
      <c r="AU47" s="34"/>
      <c r="AV47" s="34"/>
      <c r="AW47" s="34"/>
    </row>
    <row r="48" ht="15.0" customHeight="1">
      <c r="A48" s="23" t="s">
        <v>45</v>
      </c>
      <c r="B48" s="35">
        <v>2.0</v>
      </c>
      <c r="C48" s="35">
        <v>2.0</v>
      </c>
      <c r="D48" s="35">
        <v>2.0</v>
      </c>
      <c r="E48" s="35">
        <v>2.0</v>
      </c>
      <c r="F48" s="25"/>
      <c r="G48" s="35"/>
      <c r="H48" s="35"/>
      <c r="I48" s="25"/>
      <c r="J48" s="25"/>
      <c r="K48" s="25"/>
      <c r="L48" s="35"/>
      <c r="M48" s="35"/>
      <c r="N48" s="25"/>
      <c r="O48" s="25"/>
      <c r="P48" s="25"/>
      <c r="Q48" s="35"/>
      <c r="R48" s="35"/>
      <c r="S48" s="35"/>
      <c r="T48" s="35"/>
      <c r="U48" s="35">
        <v>1.0</v>
      </c>
      <c r="V48" s="35">
        <v>-3.0</v>
      </c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25"/>
      <c r="AU48" s="34"/>
      <c r="AV48" s="34"/>
      <c r="AW48" s="34"/>
    </row>
    <row r="49" ht="15.0" customHeight="1">
      <c r="A49" s="23" t="s">
        <v>46</v>
      </c>
      <c r="B49" s="35">
        <v>2.0</v>
      </c>
      <c r="C49" s="35">
        <v>2.0</v>
      </c>
      <c r="D49" s="35">
        <v>2.0</v>
      </c>
      <c r="E49" s="35">
        <v>2.0</v>
      </c>
      <c r="F49" s="25"/>
      <c r="G49" s="35"/>
      <c r="H49" s="35"/>
      <c r="I49" s="25"/>
      <c r="J49" s="25"/>
      <c r="K49" s="25"/>
      <c r="L49" s="35"/>
      <c r="M49" s="35"/>
      <c r="N49" s="25"/>
      <c r="O49" s="25"/>
      <c r="P49" s="25"/>
      <c r="Q49" s="35"/>
      <c r="R49" s="35"/>
      <c r="S49" s="35"/>
      <c r="T49" s="35"/>
      <c r="U49" s="35">
        <v>1.0</v>
      </c>
      <c r="V49" s="35">
        <v>-3.0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25"/>
      <c r="AU49" s="34"/>
      <c r="AV49" s="34"/>
      <c r="AW49" s="34"/>
    </row>
    <row r="50" ht="15.0" customHeight="1">
      <c r="A50" s="23" t="s">
        <v>47</v>
      </c>
      <c r="B50" s="35">
        <v>2.0</v>
      </c>
      <c r="C50" s="35">
        <v>2.0</v>
      </c>
      <c r="D50" s="35">
        <v>2.0</v>
      </c>
      <c r="E50" s="35">
        <v>2.0</v>
      </c>
      <c r="F50" s="25"/>
      <c r="G50" s="35"/>
      <c r="H50" s="35"/>
      <c r="I50" s="25"/>
      <c r="J50" s="25"/>
      <c r="K50" s="25"/>
      <c r="L50" s="35"/>
      <c r="M50" s="35"/>
      <c r="N50" s="25"/>
      <c r="O50" s="25"/>
      <c r="P50" s="25"/>
      <c r="Q50" s="35"/>
      <c r="R50" s="35"/>
      <c r="S50" s="35"/>
      <c r="T50" s="35"/>
      <c r="U50" s="35">
        <v>1.0</v>
      </c>
      <c r="V50" s="35">
        <v>-3.0</v>
      </c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25"/>
      <c r="AU50" s="34"/>
      <c r="AV50" s="34"/>
      <c r="AW50" s="34"/>
    </row>
    <row r="51" ht="15.0" customHeight="1">
      <c r="A51" s="23" t="s">
        <v>48</v>
      </c>
      <c r="B51" s="35">
        <v>2.0</v>
      </c>
      <c r="C51" s="35">
        <v>2.0</v>
      </c>
      <c r="D51" s="35">
        <v>2.0</v>
      </c>
      <c r="E51" s="35">
        <v>2.0</v>
      </c>
      <c r="F51" s="25"/>
      <c r="G51" s="35"/>
      <c r="H51" s="35"/>
      <c r="I51" s="25"/>
      <c r="J51" s="25"/>
      <c r="K51" s="25"/>
      <c r="L51" s="35"/>
      <c r="M51" s="35"/>
      <c r="N51" s="25"/>
      <c r="O51" s="25"/>
      <c r="P51" s="25"/>
      <c r="Q51" s="35"/>
      <c r="R51" s="35"/>
      <c r="S51" s="35"/>
      <c r="T51" s="35"/>
      <c r="U51" s="35">
        <v>1.0</v>
      </c>
      <c r="V51" s="35">
        <v>-3.0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25"/>
      <c r="AU51" s="34"/>
      <c r="AV51" s="34"/>
      <c r="AW51" s="34"/>
    </row>
    <row r="52" ht="15.0" customHeight="1">
      <c r="A52" s="23" t="s">
        <v>49</v>
      </c>
      <c r="B52" s="35">
        <v>2.0</v>
      </c>
      <c r="C52" s="35">
        <v>2.0</v>
      </c>
      <c r="D52" s="35">
        <v>2.0</v>
      </c>
      <c r="E52" s="35">
        <v>2.0</v>
      </c>
      <c r="F52" s="25"/>
      <c r="G52" s="35"/>
      <c r="H52" s="35"/>
      <c r="I52" s="25"/>
      <c r="J52" s="25"/>
      <c r="K52" s="25"/>
      <c r="L52" s="35"/>
      <c r="M52" s="35"/>
      <c r="N52" s="25"/>
      <c r="O52" s="25"/>
      <c r="P52" s="25"/>
      <c r="Q52" s="35"/>
      <c r="R52" s="35"/>
      <c r="S52" s="35"/>
      <c r="T52" s="35"/>
      <c r="U52" s="35">
        <v>1.0</v>
      </c>
      <c r="V52" s="35">
        <v>-3.0</v>
      </c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25"/>
      <c r="AU52" s="34"/>
      <c r="AV52" s="34"/>
      <c r="AW52" s="34"/>
    </row>
    <row r="53" ht="15.0" customHeight="1">
      <c r="A53" s="23" t="s">
        <v>50</v>
      </c>
      <c r="B53" s="35">
        <v>2.0</v>
      </c>
      <c r="C53" s="35">
        <v>2.0</v>
      </c>
      <c r="D53" s="35">
        <v>2.0</v>
      </c>
      <c r="E53" s="35">
        <v>2.0</v>
      </c>
      <c r="F53" s="25"/>
      <c r="G53" s="35"/>
      <c r="H53" s="35"/>
      <c r="I53" s="25"/>
      <c r="J53" s="25"/>
      <c r="K53" s="25"/>
      <c r="L53" s="35"/>
      <c r="M53" s="35"/>
      <c r="N53" s="25"/>
      <c r="O53" s="25"/>
      <c r="P53" s="25"/>
      <c r="Q53" s="35"/>
      <c r="R53" s="35"/>
      <c r="S53" s="35"/>
      <c r="T53" s="35"/>
      <c r="U53" s="35">
        <v>1.0</v>
      </c>
      <c r="V53" s="35">
        <v>-3.0</v>
      </c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25"/>
      <c r="AU53" s="34"/>
      <c r="AV53" s="34"/>
      <c r="AW53" s="34"/>
    </row>
    <row r="54" ht="15.0" customHeight="1">
      <c r="A54" s="23" t="s">
        <v>51</v>
      </c>
      <c r="B54" s="35">
        <v>2.0</v>
      </c>
      <c r="C54" s="35">
        <v>2.0</v>
      </c>
      <c r="D54" s="35">
        <v>2.0</v>
      </c>
      <c r="E54" s="35">
        <v>2.0</v>
      </c>
      <c r="F54" s="25"/>
      <c r="G54" s="35"/>
      <c r="H54" s="35"/>
      <c r="I54" s="25"/>
      <c r="J54" s="25"/>
      <c r="K54" s="25"/>
      <c r="L54" s="35"/>
      <c r="M54" s="35"/>
      <c r="N54" s="25"/>
      <c r="O54" s="25"/>
      <c r="P54" s="25"/>
      <c r="Q54" s="35"/>
      <c r="R54" s="35"/>
      <c r="S54" s="35"/>
      <c r="T54" s="35"/>
      <c r="U54" s="35">
        <v>1.0</v>
      </c>
      <c r="V54" s="35">
        <v>-3.0</v>
      </c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25"/>
      <c r="AU54" s="34"/>
      <c r="AV54" s="34"/>
      <c r="AW54" s="34"/>
    </row>
    <row r="55" ht="15.0" customHeight="1">
      <c r="A55" s="23" t="s">
        <v>52</v>
      </c>
      <c r="B55" s="35">
        <v>2.0</v>
      </c>
      <c r="C55" s="35">
        <v>2.0</v>
      </c>
      <c r="D55" s="35">
        <v>2.0</v>
      </c>
      <c r="E55" s="35">
        <v>2.0</v>
      </c>
      <c r="F55" s="25"/>
      <c r="G55" s="35"/>
      <c r="H55" s="35"/>
      <c r="I55" s="25"/>
      <c r="J55" s="25"/>
      <c r="K55" s="25"/>
      <c r="L55" s="35"/>
      <c r="M55" s="35"/>
      <c r="N55" s="25"/>
      <c r="O55" s="25"/>
      <c r="P55" s="25"/>
      <c r="Q55" s="35"/>
      <c r="R55" s="35"/>
      <c r="S55" s="35"/>
      <c r="T55" s="35"/>
      <c r="U55" s="35">
        <v>1.0</v>
      </c>
      <c r="V55" s="35">
        <v>-3.0</v>
      </c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25"/>
      <c r="AU55" s="34"/>
      <c r="AV55" s="34"/>
      <c r="AW55" s="34"/>
    </row>
    <row r="56" ht="15.0" customHeight="1">
      <c r="A56" s="23" t="s">
        <v>53</v>
      </c>
      <c r="B56" s="35">
        <v>2.0</v>
      </c>
      <c r="C56" s="35">
        <v>2.0</v>
      </c>
      <c r="D56" s="35">
        <v>2.0</v>
      </c>
      <c r="E56" s="35">
        <v>2.0</v>
      </c>
      <c r="F56" s="25"/>
      <c r="G56" s="35"/>
      <c r="H56" s="35"/>
      <c r="I56" s="25"/>
      <c r="J56" s="25"/>
      <c r="K56" s="25"/>
      <c r="L56" s="35"/>
      <c r="M56" s="35"/>
      <c r="N56" s="25"/>
      <c r="O56" s="25"/>
      <c r="P56" s="25"/>
      <c r="Q56" s="35"/>
      <c r="R56" s="35"/>
      <c r="S56" s="35"/>
      <c r="T56" s="35"/>
      <c r="U56" s="35">
        <v>1.0</v>
      </c>
      <c r="V56" s="35">
        <v>-3.0</v>
      </c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25"/>
      <c r="AU56" s="34"/>
      <c r="AV56" s="34"/>
      <c r="AW56" s="34"/>
    </row>
    <row r="57" ht="15.0" customHeight="1">
      <c r="A57" s="23" t="s">
        <v>54</v>
      </c>
      <c r="B57" s="35">
        <v>2.0</v>
      </c>
      <c r="C57" s="35">
        <v>2.0</v>
      </c>
      <c r="D57" s="35">
        <v>2.0</v>
      </c>
      <c r="E57" s="35">
        <v>2.0</v>
      </c>
      <c r="F57" s="25"/>
      <c r="G57" s="35"/>
      <c r="H57" s="35"/>
      <c r="I57" s="25"/>
      <c r="J57" s="25"/>
      <c r="K57" s="25"/>
      <c r="L57" s="35"/>
      <c r="M57" s="35"/>
      <c r="N57" s="25"/>
      <c r="O57" s="25"/>
      <c r="P57" s="25"/>
      <c r="Q57" s="35"/>
      <c r="R57" s="35"/>
      <c r="S57" s="35"/>
      <c r="T57" s="35"/>
      <c r="U57" s="35">
        <v>1.0</v>
      </c>
      <c r="V57" s="35">
        <v>-3.0</v>
      </c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25"/>
      <c r="AU57" s="34"/>
      <c r="AV57" s="34"/>
      <c r="AW57" s="34"/>
    </row>
    <row r="58" ht="15.0" customHeight="1">
      <c r="A58" s="23" t="s">
        <v>55</v>
      </c>
      <c r="B58" s="35">
        <v>2.0</v>
      </c>
      <c r="C58" s="35">
        <v>2.0</v>
      </c>
      <c r="D58" s="35">
        <v>2.0</v>
      </c>
      <c r="E58" s="35">
        <v>2.0</v>
      </c>
      <c r="F58" s="25"/>
      <c r="G58" s="35"/>
      <c r="H58" s="35"/>
      <c r="I58" s="25"/>
      <c r="J58" s="25"/>
      <c r="K58" s="25"/>
      <c r="L58" s="35"/>
      <c r="M58" s="35"/>
      <c r="N58" s="25"/>
      <c r="O58" s="25"/>
      <c r="P58" s="25"/>
      <c r="Q58" s="35"/>
      <c r="R58" s="35"/>
      <c r="S58" s="35"/>
      <c r="T58" s="35"/>
      <c r="U58" s="35">
        <v>1.0</v>
      </c>
      <c r="V58" s="35">
        <v>-3.0</v>
      </c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25"/>
      <c r="AU58" s="34"/>
      <c r="AV58" s="34"/>
      <c r="AW58" s="34"/>
    </row>
    <row r="59" ht="15.0" customHeight="1">
      <c r="A59" s="23" t="s">
        <v>56</v>
      </c>
      <c r="B59" s="35">
        <v>2.0</v>
      </c>
      <c r="C59" s="35">
        <v>2.0</v>
      </c>
      <c r="D59" s="35">
        <v>2.0</v>
      </c>
      <c r="E59" s="35">
        <v>2.0</v>
      </c>
      <c r="F59" s="25"/>
      <c r="G59" s="35"/>
      <c r="H59" s="35"/>
      <c r="I59" s="25"/>
      <c r="J59" s="25"/>
      <c r="K59" s="25"/>
      <c r="L59" s="35"/>
      <c r="M59" s="35"/>
      <c r="N59" s="25"/>
      <c r="O59" s="25"/>
      <c r="P59" s="25"/>
      <c r="Q59" s="35"/>
      <c r="R59" s="35"/>
      <c r="S59" s="35"/>
      <c r="T59" s="35"/>
      <c r="U59" s="35">
        <v>1.0</v>
      </c>
      <c r="V59" s="35">
        <v>-3.0</v>
      </c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25"/>
      <c r="AU59" s="34"/>
      <c r="AV59" s="34"/>
      <c r="AW59" s="34"/>
    </row>
    <row r="60" ht="15.0" customHeight="1">
      <c r="A60" s="23" t="s">
        <v>57</v>
      </c>
      <c r="B60" s="35">
        <v>2.0</v>
      </c>
      <c r="C60" s="35">
        <v>2.0</v>
      </c>
      <c r="D60" s="35">
        <v>2.0</v>
      </c>
      <c r="E60" s="35">
        <v>2.0</v>
      </c>
      <c r="F60" s="25"/>
      <c r="G60" s="35"/>
      <c r="H60" s="35"/>
      <c r="I60" s="25"/>
      <c r="J60" s="25"/>
      <c r="K60" s="25"/>
      <c r="L60" s="35"/>
      <c r="M60" s="35"/>
      <c r="N60" s="25"/>
      <c r="O60" s="25"/>
      <c r="P60" s="25"/>
      <c r="Q60" s="35"/>
      <c r="R60" s="35"/>
      <c r="S60" s="35"/>
      <c r="T60" s="35"/>
      <c r="U60" s="35">
        <v>1.0</v>
      </c>
      <c r="V60" s="35">
        <v>-3.0</v>
      </c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25"/>
      <c r="AU60" s="34"/>
      <c r="AV60" s="34"/>
      <c r="AW60" s="34"/>
    </row>
    <row r="61" ht="15.0" customHeight="1">
      <c r="A61" s="23" t="s">
        <v>58</v>
      </c>
      <c r="B61" s="35">
        <v>2.0</v>
      </c>
      <c r="C61" s="35">
        <v>2.0</v>
      </c>
      <c r="D61" s="35">
        <v>2.0</v>
      </c>
      <c r="E61" s="35">
        <v>2.0</v>
      </c>
      <c r="F61" s="25"/>
      <c r="G61" s="35"/>
      <c r="H61" s="35"/>
      <c r="I61" s="25"/>
      <c r="J61" s="25"/>
      <c r="K61" s="25"/>
      <c r="L61" s="35"/>
      <c r="M61" s="35"/>
      <c r="N61" s="25"/>
      <c r="O61" s="25"/>
      <c r="P61" s="25"/>
      <c r="Q61" s="35"/>
      <c r="R61" s="35"/>
      <c r="S61" s="35"/>
      <c r="T61" s="35"/>
      <c r="U61" s="35">
        <v>1.0</v>
      </c>
      <c r="V61" s="35">
        <v>-3.0</v>
      </c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25"/>
      <c r="AU61" s="34"/>
      <c r="AV61" s="34"/>
      <c r="AW61" s="34"/>
    </row>
    <row r="62" ht="15.0" customHeight="1">
      <c r="A62" s="23" t="s">
        <v>59</v>
      </c>
      <c r="B62" s="35">
        <v>2.0</v>
      </c>
      <c r="C62" s="35">
        <v>2.0</v>
      </c>
      <c r="D62" s="35">
        <v>2.0</v>
      </c>
      <c r="E62" s="35">
        <v>2.0</v>
      </c>
      <c r="F62" s="25"/>
      <c r="G62" s="35"/>
      <c r="H62" s="35"/>
      <c r="I62" s="25"/>
      <c r="J62" s="25"/>
      <c r="K62" s="25"/>
      <c r="L62" s="35"/>
      <c r="M62" s="35"/>
      <c r="N62" s="25"/>
      <c r="O62" s="25"/>
      <c r="P62" s="25"/>
      <c r="Q62" s="35"/>
      <c r="R62" s="35"/>
      <c r="S62" s="35"/>
      <c r="T62" s="35"/>
      <c r="U62" s="35">
        <v>1.0</v>
      </c>
      <c r="V62" s="35">
        <v>-3.0</v>
      </c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25"/>
      <c r="AU62" s="34"/>
      <c r="AV62" s="34"/>
      <c r="AW62" s="34"/>
    </row>
    <row r="63" ht="15.0" customHeight="1">
      <c r="A63" s="23" t="s">
        <v>60</v>
      </c>
      <c r="B63" s="35">
        <v>2.0</v>
      </c>
      <c r="C63" s="35">
        <v>2.0</v>
      </c>
      <c r="D63" s="35">
        <v>2.0</v>
      </c>
      <c r="E63" s="35">
        <v>2.0</v>
      </c>
      <c r="F63" s="25"/>
      <c r="G63" s="35"/>
      <c r="H63" s="35"/>
      <c r="I63" s="25"/>
      <c r="J63" s="25"/>
      <c r="K63" s="25"/>
      <c r="L63" s="35"/>
      <c r="M63" s="35"/>
      <c r="N63" s="25"/>
      <c r="O63" s="25"/>
      <c r="P63" s="25"/>
      <c r="Q63" s="35"/>
      <c r="R63" s="35"/>
      <c r="S63" s="35"/>
      <c r="T63" s="35"/>
      <c r="U63" s="35">
        <v>1.0</v>
      </c>
      <c r="V63" s="35">
        <v>-3.0</v>
      </c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25"/>
      <c r="AU63" s="34"/>
      <c r="AV63" s="34"/>
      <c r="AW63" s="34"/>
    </row>
    <row r="64" ht="15.0" customHeight="1">
      <c r="A64" s="23" t="s">
        <v>61</v>
      </c>
      <c r="B64" s="35">
        <v>2.0</v>
      </c>
      <c r="C64" s="35">
        <v>2.0</v>
      </c>
      <c r="D64" s="35">
        <v>2.0</v>
      </c>
      <c r="E64" s="35">
        <v>2.0</v>
      </c>
      <c r="F64" s="25"/>
      <c r="G64" s="35"/>
      <c r="H64" s="35"/>
      <c r="I64" s="25"/>
      <c r="J64" s="25"/>
      <c r="K64" s="25"/>
      <c r="L64" s="35"/>
      <c r="M64" s="35"/>
      <c r="N64" s="25"/>
      <c r="O64" s="25"/>
      <c r="P64" s="25"/>
      <c r="Q64" s="35"/>
      <c r="R64" s="35"/>
      <c r="S64" s="35"/>
      <c r="T64" s="35"/>
      <c r="U64" s="35">
        <v>1.0</v>
      </c>
      <c r="V64" s="35">
        <v>-3.0</v>
      </c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25"/>
      <c r="AU64" s="34"/>
      <c r="AV64" s="34"/>
      <c r="AW64" s="34"/>
    </row>
    <row r="65" ht="15.0" customHeight="1">
      <c r="A65" s="23" t="s">
        <v>62</v>
      </c>
      <c r="B65" s="35">
        <v>2.0</v>
      </c>
      <c r="C65" s="35">
        <v>2.0</v>
      </c>
      <c r="D65" s="35">
        <v>2.0</v>
      </c>
      <c r="E65" s="35">
        <v>2.0</v>
      </c>
      <c r="F65" s="25"/>
      <c r="G65" s="35"/>
      <c r="H65" s="35"/>
      <c r="I65" s="25"/>
      <c r="J65" s="25"/>
      <c r="K65" s="25"/>
      <c r="L65" s="35"/>
      <c r="M65" s="35"/>
      <c r="N65" s="25"/>
      <c r="O65" s="25"/>
      <c r="P65" s="25"/>
      <c r="Q65" s="35"/>
      <c r="R65" s="35"/>
      <c r="S65" s="35"/>
      <c r="T65" s="35"/>
      <c r="U65" s="35">
        <v>1.0</v>
      </c>
      <c r="V65" s="35">
        <v>-3.0</v>
      </c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25"/>
      <c r="AU65" s="34"/>
      <c r="AV65" s="34"/>
      <c r="AW65" s="34"/>
    </row>
    <row r="66" ht="15.0" customHeight="1">
      <c r="A66" s="23" t="s">
        <v>63</v>
      </c>
      <c r="B66" s="35">
        <v>2.0</v>
      </c>
      <c r="C66" s="35">
        <v>2.0</v>
      </c>
      <c r="D66" s="35">
        <v>2.0</v>
      </c>
      <c r="E66" s="35">
        <v>2.0</v>
      </c>
      <c r="F66" s="25"/>
      <c r="G66" s="35"/>
      <c r="H66" s="35"/>
      <c r="I66" s="25"/>
      <c r="J66" s="25"/>
      <c r="K66" s="25"/>
      <c r="L66" s="35"/>
      <c r="M66" s="35"/>
      <c r="N66" s="25"/>
      <c r="O66" s="25"/>
      <c r="P66" s="25"/>
      <c r="Q66" s="35"/>
      <c r="R66" s="35"/>
      <c r="S66" s="35"/>
      <c r="T66" s="35"/>
      <c r="U66" s="35">
        <v>1.0</v>
      </c>
      <c r="V66" s="35">
        <v>-3.0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25"/>
      <c r="AU66" s="34"/>
      <c r="AV66" s="34"/>
      <c r="AW66" s="34"/>
    </row>
    <row r="67" ht="15.0" customHeight="1">
      <c r="A67" s="23" t="s">
        <v>64</v>
      </c>
      <c r="B67" s="35">
        <v>2.0</v>
      </c>
      <c r="C67" s="35">
        <v>2.0</v>
      </c>
      <c r="D67" s="35">
        <v>2.0</v>
      </c>
      <c r="E67" s="35">
        <v>2.0</v>
      </c>
      <c r="F67" s="25"/>
      <c r="G67" s="35"/>
      <c r="H67" s="35"/>
      <c r="I67" s="25"/>
      <c r="J67" s="25"/>
      <c r="K67" s="25"/>
      <c r="L67" s="35"/>
      <c r="M67" s="35"/>
      <c r="N67" s="25"/>
      <c r="O67" s="25"/>
      <c r="P67" s="25"/>
      <c r="Q67" s="35"/>
      <c r="R67" s="35"/>
      <c r="S67" s="35"/>
      <c r="T67" s="35"/>
      <c r="U67" s="35">
        <v>1.0</v>
      </c>
      <c r="V67" s="35">
        <v>-3.0</v>
      </c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25"/>
      <c r="AU67" s="34"/>
      <c r="AV67" s="34"/>
      <c r="AW67" s="34"/>
    </row>
    <row r="68" ht="15.0" customHeight="1">
      <c r="A68" s="23" t="s">
        <v>65</v>
      </c>
      <c r="B68" s="35">
        <v>2.0</v>
      </c>
      <c r="C68" s="35">
        <v>2.0</v>
      </c>
      <c r="D68" s="35">
        <v>2.0</v>
      </c>
      <c r="E68" s="35">
        <v>2.0</v>
      </c>
      <c r="F68" s="25"/>
      <c r="G68" s="35"/>
      <c r="H68" s="35"/>
      <c r="I68" s="25"/>
      <c r="J68" s="25"/>
      <c r="K68" s="25"/>
      <c r="L68" s="35"/>
      <c r="M68" s="35"/>
      <c r="N68" s="25"/>
      <c r="O68" s="25"/>
      <c r="P68" s="25"/>
      <c r="Q68" s="35"/>
      <c r="R68" s="35"/>
      <c r="S68" s="35"/>
      <c r="T68" s="35"/>
      <c r="U68" s="35">
        <v>1.0</v>
      </c>
      <c r="V68" s="35">
        <v>-3.0</v>
      </c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25"/>
      <c r="AU68" s="34"/>
      <c r="AV68" s="34"/>
      <c r="AW68" s="34"/>
    </row>
    <row r="69" ht="15.0" customHeight="1">
      <c r="A69" s="23" t="s">
        <v>66</v>
      </c>
      <c r="B69" s="35">
        <v>2.0</v>
      </c>
      <c r="C69" s="35">
        <v>2.0</v>
      </c>
      <c r="D69" s="35">
        <v>2.0</v>
      </c>
      <c r="E69" s="35">
        <v>2.0</v>
      </c>
      <c r="F69" s="25"/>
      <c r="G69" s="35"/>
      <c r="H69" s="35"/>
      <c r="I69" s="25"/>
      <c r="J69" s="25"/>
      <c r="K69" s="25"/>
      <c r="L69" s="35"/>
      <c r="M69" s="35"/>
      <c r="N69" s="25"/>
      <c r="O69" s="25"/>
      <c r="P69" s="25"/>
      <c r="Q69" s="35"/>
      <c r="R69" s="35"/>
      <c r="S69" s="35"/>
      <c r="T69" s="35"/>
      <c r="U69" s="35">
        <v>1.0</v>
      </c>
      <c r="V69" s="35">
        <v>-3.0</v>
      </c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25"/>
      <c r="AU69" s="34"/>
      <c r="AV69" s="34"/>
      <c r="AW69" s="34"/>
    </row>
    <row r="70" ht="15.0" customHeight="1">
      <c r="A70" s="23" t="s">
        <v>67</v>
      </c>
      <c r="B70" s="35">
        <v>2.0</v>
      </c>
      <c r="C70" s="35">
        <v>2.0</v>
      </c>
      <c r="D70" s="35">
        <v>2.0</v>
      </c>
      <c r="E70" s="35">
        <v>2.0</v>
      </c>
      <c r="F70" s="25"/>
      <c r="G70" s="35"/>
      <c r="H70" s="35"/>
      <c r="I70" s="25"/>
      <c r="J70" s="25"/>
      <c r="K70" s="25"/>
      <c r="L70" s="35"/>
      <c r="M70" s="35"/>
      <c r="N70" s="25"/>
      <c r="O70" s="25"/>
      <c r="P70" s="25"/>
      <c r="Q70" s="35"/>
      <c r="R70" s="35"/>
      <c r="S70" s="35"/>
      <c r="T70" s="35"/>
      <c r="U70" s="35">
        <v>1.0</v>
      </c>
      <c r="V70" s="35">
        <v>-3.0</v>
      </c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25"/>
      <c r="AU70" s="34"/>
      <c r="AV70" s="34"/>
      <c r="AW70" s="34"/>
    </row>
    <row r="71" ht="15.0" customHeight="1">
      <c r="A71" s="23" t="s">
        <v>68</v>
      </c>
      <c r="B71" s="35">
        <v>2.0</v>
      </c>
      <c r="C71" s="35">
        <v>2.0</v>
      </c>
      <c r="D71" s="35">
        <v>2.0</v>
      </c>
      <c r="E71" s="35">
        <v>2.0</v>
      </c>
      <c r="F71" s="25"/>
      <c r="G71" s="35"/>
      <c r="H71" s="35"/>
      <c r="I71" s="25"/>
      <c r="J71" s="25"/>
      <c r="K71" s="25"/>
      <c r="L71" s="35"/>
      <c r="M71" s="35"/>
      <c r="N71" s="25"/>
      <c r="O71" s="25"/>
      <c r="P71" s="25"/>
      <c r="Q71" s="35"/>
      <c r="R71" s="35"/>
      <c r="S71" s="35"/>
      <c r="T71" s="35"/>
      <c r="U71" s="35">
        <v>1.0</v>
      </c>
      <c r="V71" s="35">
        <v>-3.0</v>
      </c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25"/>
      <c r="AU71" s="34"/>
      <c r="AV71" s="34"/>
      <c r="AW71" s="34"/>
    </row>
    <row r="72" ht="15.0" customHeight="1">
      <c r="A72" s="23" t="s">
        <v>69</v>
      </c>
      <c r="B72" s="35">
        <v>2.0</v>
      </c>
      <c r="C72" s="35">
        <v>2.0</v>
      </c>
      <c r="D72" s="35">
        <v>2.0</v>
      </c>
      <c r="E72" s="35">
        <v>2.0</v>
      </c>
      <c r="F72" s="25"/>
      <c r="G72" s="35"/>
      <c r="H72" s="35"/>
      <c r="I72" s="25"/>
      <c r="J72" s="25"/>
      <c r="K72" s="25"/>
      <c r="L72" s="35"/>
      <c r="M72" s="35"/>
      <c r="N72" s="25"/>
      <c r="O72" s="25"/>
      <c r="P72" s="25"/>
      <c r="Q72" s="35"/>
      <c r="R72" s="35"/>
      <c r="S72" s="35"/>
      <c r="T72" s="35"/>
      <c r="U72" s="35">
        <v>1.0</v>
      </c>
      <c r="V72" s="35">
        <v>-3.0</v>
      </c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25"/>
      <c r="AU72" s="34"/>
      <c r="AV72" s="34"/>
      <c r="AW72" s="34"/>
    </row>
    <row r="73" ht="15.0" customHeight="1">
      <c r="A73" s="23" t="s">
        <v>70</v>
      </c>
      <c r="B73" s="35">
        <v>2.0</v>
      </c>
      <c r="C73" s="35">
        <v>2.0</v>
      </c>
      <c r="D73" s="35">
        <v>2.0</v>
      </c>
      <c r="E73" s="35">
        <v>2.0</v>
      </c>
      <c r="F73" s="25"/>
      <c r="G73" s="35"/>
      <c r="H73" s="35"/>
      <c r="I73" s="25"/>
      <c r="J73" s="25"/>
      <c r="K73" s="25"/>
      <c r="L73" s="35"/>
      <c r="M73" s="35"/>
      <c r="N73" s="25"/>
      <c r="O73" s="25"/>
      <c r="P73" s="25"/>
      <c r="Q73" s="35"/>
      <c r="R73" s="35"/>
      <c r="S73" s="35"/>
      <c r="T73" s="35"/>
      <c r="U73" s="35">
        <v>1.0</v>
      </c>
      <c r="V73" s="35">
        <v>-3.0</v>
      </c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25"/>
      <c r="AU73" s="34"/>
      <c r="AV73" s="34"/>
      <c r="AW73" s="34"/>
    </row>
    <row r="74" ht="15.0" customHeight="1">
      <c r="A74" s="23" t="s">
        <v>71</v>
      </c>
      <c r="B74" s="35">
        <v>2.0</v>
      </c>
      <c r="C74" s="35">
        <v>2.0</v>
      </c>
      <c r="D74" s="35">
        <v>2.0</v>
      </c>
      <c r="E74" s="35">
        <v>2.0</v>
      </c>
      <c r="F74" s="25"/>
      <c r="G74" s="35"/>
      <c r="H74" s="35"/>
      <c r="I74" s="25"/>
      <c r="J74" s="25"/>
      <c r="K74" s="25"/>
      <c r="L74" s="35"/>
      <c r="M74" s="35"/>
      <c r="N74" s="25"/>
      <c r="O74" s="25"/>
      <c r="P74" s="25"/>
      <c r="Q74" s="35"/>
      <c r="R74" s="35"/>
      <c r="S74" s="35"/>
      <c r="T74" s="35"/>
      <c r="U74" s="35">
        <v>1.0</v>
      </c>
      <c r="V74" s="35">
        <v>-3.0</v>
      </c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25"/>
      <c r="AU74" s="34"/>
      <c r="AV74" s="34"/>
      <c r="AW74" s="34"/>
    </row>
    <row r="75" ht="15.0" customHeight="1">
      <c r="A75" s="23" t="s">
        <v>72</v>
      </c>
      <c r="B75" s="35">
        <v>2.0</v>
      </c>
      <c r="C75" s="35">
        <v>2.0</v>
      </c>
      <c r="D75" s="35">
        <v>2.0</v>
      </c>
      <c r="E75" s="35">
        <v>2.0</v>
      </c>
      <c r="F75" s="25"/>
      <c r="G75" s="35"/>
      <c r="H75" s="35"/>
      <c r="I75" s="25"/>
      <c r="J75" s="25"/>
      <c r="K75" s="25"/>
      <c r="L75" s="35"/>
      <c r="M75" s="35"/>
      <c r="N75" s="25"/>
      <c r="O75" s="25"/>
      <c r="P75" s="25"/>
      <c r="Q75" s="35"/>
      <c r="R75" s="35"/>
      <c r="S75" s="35"/>
      <c r="T75" s="35"/>
      <c r="U75" s="35">
        <v>1.0</v>
      </c>
      <c r="V75" s="35">
        <v>-3.0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25"/>
      <c r="AU75" s="34"/>
      <c r="AV75" s="34"/>
      <c r="AW75" s="34"/>
    </row>
    <row r="76" ht="15.0" customHeight="1">
      <c r="A76" s="23" t="s">
        <v>73</v>
      </c>
      <c r="B76" s="35">
        <v>2.0</v>
      </c>
      <c r="C76" s="35">
        <v>2.0</v>
      </c>
      <c r="D76" s="35">
        <v>2.0</v>
      </c>
      <c r="E76" s="35">
        <v>2.0</v>
      </c>
      <c r="F76" s="25"/>
      <c r="G76" s="35"/>
      <c r="H76" s="35"/>
      <c r="I76" s="25"/>
      <c r="J76" s="25"/>
      <c r="K76" s="25"/>
      <c r="L76" s="35"/>
      <c r="M76" s="35"/>
      <c r="N76" s="25"/>
      <c r="O76" s="25"/>
      <c r="P76" s="25"/>
      <c r="Q76" s="35"/>
      <c r="R76" s="35"/>
      <c r="S76" s="35"/>
      <c r="T76" s="35"/>
      <c r="U76" s="35">
        <v>1.0</v>
      </c>
      <c r="V76" s="35">
        <v>-3.0</v>
      </c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25"/>
      <c r="AU76" s="34"/>
      <c r="AV76" s="34"/>
      <c r="AW76" s="34"/>
    </row>
    <row r="77" ht="15.0" customHeight="1">
      <c r="A77" s="23" t="s">
        <v>74</v>
      </c>
      <c r="B77" s="35">
        <v>2.0</v>
      </c>
      <c r="C77" s="35">
        <v>2.0</v>
      </c>
      <c r="D77" s="35">
        <v>2.0</v>
      </c>
      <c r="E77" s="35">
        <v>2.0</v>
      </c>
      <c r="F77" s="25"/>
      <c r="G77" s="35"/>
      <c r="H77" s="35"/>
      <c r="I77" s="25"/>
      <c r="J77" s="25"/>
      <c r="K77" s="25"/>
      <c r="L77" s="35"/>
      <c r="M77" s="35"/>
      <c r="N77" s="25"/>
      <c r="O77" s="25"/>
      <c r="P77" s="25"/>
      <c r="Q77" s="35"/>
      <c r="R77" s="35"/>
      <c r="S77" s="35"/>
      <c r="T77" s="35"/>
      <c r="U77" s="35">
        <v>1.0</v>
      </c>
      <c r="V77" s="35">
        <v>-3.0</v>
      </c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25"/>
      <c r="AU77" s="34"/>
      <c r="AV77" s="34"/>
      <c r="AW77" s="34"/>
    </row>
    <row r="78" ht="15.0" customHeight="1">
      <c r="A78" s="23" t="s">
        <v>75</v>
      </c>
      <c r="B78" s="35">
        <v>2.0</v>
      </c>
      <c r="C78" s="35">
        <v>2.0</v>
      </c>
      <c r="D78" s="35">
        <v>2.0</v>
      </c>
      <c r="E78" s="35">
        <v>2.0</v>
      </c>
      <c r="F78" s="25"/>
      <c r="G78" s="35"/>
      <c r="H78" s="35"/>
      <c r="I78" s="25"/>
      <c r="J78" s="25"/>
      <c r="K78" s="25"/>
      <c r="L78" s="35"/>
      <c r="M78" s="35"/>
      <c r="N78" s="25"/>
      <c r="O78" s="25"/>
      <c r="P78" s="25"/>
      <c r="Q78" s="35"/>
      <c r="R78" s="35"/>
      <c r="S78" s="35"/>
      <c r="T78" s="35"/>
      <c r="U78" s="35">
        <v>1.0</v>
      </c>
      <c r="V78" s="35">
        <v>-3.0</v>
      </c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25"/>
      <c r="AU78" s="34"/>
      <c r="AV78" s="34"/>
      <c r="AW78" s="34"/>
    </row>
    <row r="79" ht="15.0" customHeight="1">
      <c r="A79" s="23" t="s">
        <v>76</v>
      </c>
      <c r="B79" s="35">
        <v>2.0</v>
      </c>
      <c r="C79" s="35">
        <v>2.0</v>
      </c>
      <c r="D79" s="35">
        <v>2.0</v>
      </c>
      <c r="E79" s="35">
        <v>2.0</v>
      </c>
      <c r="F79" s="25"/>
      <c r="G79" s="35"/>
      <c r="H79" s="35"/>
      <c r="I79" s="25"/>
      <c r="J79" s="25"/>
      <c r="K79" s="25"/>
      <c r="L79" s="35"/>
      <c r="M79" s="35"/>
      <c r="N79" s="25"/>
      <c r="O79" s="25"/>
      <c r="P79" s="25"/>
      <c r="Q79" s="35"/>
      <c r="R79" s="35"/>
      <c r="S79" s="35"/>
      <c r="T79" s="35"/>
      <c r="U79" s="35">
        <v>1.0</v>
      </c>
      <c r="V79" s="35">
        <v>-3.0</v>
      </c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25"/>
      <c r="AU79" s="34"/>
      <c r="AV79" s="34"/>
      <c r="AW79" s="34"/>
    </row>
    <row r="80" ht="15.0" customHeight="1">
      <c r="A80" s="23" t="s">
        <v>77</v>
      </c>
      <c r="B80" s="35">
        <v>2.0</v>
      </c>
      <c r="C80" s="35">
        <v>2.0</v>
      </c>
      <c r="D80" s="35">
        <v>2.0</v>
      </c>
      <c r="E80" s="35">
        <v>2.0</v>
      </c>
      <c r="F80" s="25"/>
      <c r="G80" s="35"/>
      <c r="H80" s="35"/>
      <c r="I80" s="25"/>
      <c r="J80" s="25"/>
      <c r="K80" s="25"/>
      <c r="L80" s="35"/>
      <c r="M80" s="35"/>
      <c r="N80" s="25"/>
      <c r="O80" s="25"/>
      <c r="P80" s="25"/>
      <c r="Q80" s="35"/>
      <c r="R80" s="35"/>
      <c r="S80" s="35"/>
      <c r="T80" s="35"/>
      <c r="U80" s="35">
        <v>1.0</v>
      </c>
      <c r="V80" s="35">
        <v>-3.0</v>
      </c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25"/>
      <c r="AU80" s="34"/>
      <c r="AV80" s="34"/>
      <c r="AW80" s="34"/>
    </row>
    <row r="81" ht="15.0" customHeight="1">
      <c r="A81" s="23" t="s">
        <v>78</v>
      </c>
      <c r="B81" s="35">
        <v>2.0</v>
      </c>
      <c r="C81" s="35">
        <v>2.0</v>
      </c>
      <c r="D81" s="35">
        <v>2.0</v>
      </c>
      <c r="E81" s="35">
        <v>2.0</v>
      </c>
      <c r="F81" s="25"/>
      <c r="G81" s="35"/>
      <c r="H81" s="35"/>
      <c r="I81" s="25"/>
      <c r="J81" s="25"/>
      <c r="K81" s="25"/>
      <c r="L81" s="35"/>
      <c r="M81" s="35"/>
      <c r="N81" s="25"/>
      <c r="O81" s="25"/>
      <c r="P81" s="25"/>
      <c r="Q81" s="35"/>
      <c r="R81" s="35"/>
      <c r="S81" s="35"/>
      <c r="T81" s="35"/>
      <c r="U81" s="35">
        <v>1.0</v>
      </c>
      <c r="V81" s="35">
        <v>-3.0</v>
      </c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25"/>
      <c r="AU81" s="34"/>
      <c r="AV81" s="34"/>
      <c r="AW81" s="34"/>
    </row>
    <row r="82" ht="15.0" customHeight="1">
      <c r="A82" s="23" t="s">
        <v>79</v>
      </c>
      <c r="B82" s="35">
        <v>2.0</v>
      </c>
      <c r="C82" s="35">
        <v>2.0</v>
      </c>
      <c r="D82" s="35">
        <v>2.0</v>
      </c>
      <c r="E82" s="35">
        <v>2.0</v>
      </c>
      <c r="F82" s="25"/>
      <c r="G82" s="35"/>
      <c r="H82" s="35"/>
      <c r="I82" s="25"/>
      <c r="J82" s="25"/>
      <c r="K82" s="25"/>
      <c r="L82" s="35"/>
      <c r="M82" s="35"/>
      <c r="N82" s="25"/>
      <c r="O82" s="25"/>
      <c r="P82" s="25"/>
      <c r="Q82" s="35"/>
      <c r="R82" s="35"/>
      <c r="S82" s="35"/>
      <c r="T82" s="35"/>
      <c r="U82" s="35">
        <v>1.0</v>
      </c>
      <c r="V82" s="35">
        <v>-3.0</v>
      </c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25"/>
      <c r="AU82" s="34"/>
      <c r="AV82" s="34"/>
      <c r="AW82" s="34"/>
    </row>
    <row r="83" ht="15.0" customHeight="1">
      <c r="A83" s="23" t="s">
        <v>80</v>
      </c>
      <c r="B83" s="35">
        <v>2.0</v>
      </c>
      <c r="C83" s="35">
        <v>2.0</v>
      </c>
      <c r="D83" s="35">
        <v>2.0</v>
      </c>
      <c r="E83" s="35">
        <v>2.0</v>
      </c>
      <c r="F83" s="25"/>
      <c r="G83" s="35"/>
      <c r="H83" s="35"/>
      <c r="I83" s="25"/>
      <c r="J83" s="25"/>
      <c r="K83" s="25"/>
      <c r="L83" s="35"/>
      <c r="M83" s="35"/>
      <c r="N83" s="25"/>
      <c r="O83" s="25"/>
      <c r="P83" s="25"/>
      <c r="Q83" s="35"/>
      <c r="R83" s="35"/>
      <c r="S83" s="35"/>
      <c r="T83" s="35"/>
      <c r="U83" s="35">
        <v>1.0</v>
      </c>
      <c r="V83" s="35">
        <v>-3.0</v>
      </c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25"/>
      <c r="AU83" s="34"/>
      <c r="AV83" s="34"/>
      <c r="AW83" s="34"/>
    </row>
    <row r="84" ht="15.0" customHeight="1">
      <c r="A84" s="23" t="s">
        <v>81</v>
      </c>
      <c r="B84" s="35">
        <v>2.0</v>
      </c>
      <c r="C84" s="35">
        <v>2.0</v>
      </c>
      <c r="D84" s="35">
        <v>2.0</v>
      </c>
      <c r="E84" s="35">
        <v>2.0</v>
      </c>
      <c r="F84" s="25"/>
      <c r="G84" s="35"/>
      <c r="H84" s="35"/>
      <c r="I84" s="25"/>
      <c r="J84" s="25"/>
      <c r="K84" s="25"/>
      <c r="L84" s="35"/>
      <c r="M84" s="35"/>
      <c r="N84" s="25"/>
      <c r="O84" s="25"/>
      <c r="P84" s="25"/>
      <c r="Q84" s="35"/>
      <c r="R84" s="35"/>
      <c r="S84" s="35"/>
      <c r="T84" s="35"/>
      <c r="U84" s="35">
        <v>1.0</v>
      </c>
      <c r="V84" s="35">
        <v>-3.0</v>
      </c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25"/>
      <c r="AU84" s="34"/>
      <c r="AV84" s="34"/>
      <c r="AW84" s="34"/>
    </row>
    <row r="85" ht="15.0" customHeight="1">
      <c r="A85" s="23" t="s">
        <v>82</v>
      </c>
      <c r="B85" s="35">
        <v>2.0</v>
      </c>
      <c r="C85" s="35">
        <v>2.0</v>
      </c>
      <c r="D85" s="35">
        <v>2.0</v>
      </c>
      <c r="E85" s="35">
        <v>2.0</v>
      </c>
      <c r="F85" s="25"/>
      <c r="G85" s="35"/>
      <c r="H85" s="35"/>
      <c r="I85" s="25"/>
      <c r="J85" s="25"/>
      <c r="K85" s="25"/>
      <c r="L85" s="35"/>
      <c r="M85" s="35"/>
      <c r="N85" s="25"/>
      <c r="O85" s="25"/>
      <c r="P85" s="25"/>
      <c r="Q85" s="35"/>
      <c r="R85" s="35"/>
      <c r="S85" s="35"/>
      <c r="T85" s="35"/>
      <c r="U85" s="35">
        <v>1.0</v>
      </c>
      <c r="V85" s="35">
        <v>-3.0</v>
      </c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25"/>
      <c r="AU85" s="34"/>
      <c r="AV85" s="34"/>
      <c r="AW85" s="34"/>
    </row>
    <row r="86" ht="15.0" customHeight="1">
      <c r="A86" s="23" t="s">
        <v>83</v>
      </c>
      <c r="B86" s="35">
        <v>2.0</v>
      </c>
      <c r="C86" s="35">
        <v>2.0</v>
      </c>
      <c r="D86" s="35">
        <v>2.0</v>
      </c>
      <c r="E86" s="35">
        <v>2.0</v>
      </c>
      <c r="F86" s="25"/>
      <c r="G86" s="35"/>
      <c r="H86" s="35"/>
      <c r="I86" s="25"/>
      <c r="J86" s="25"/>
      <c r="K86" s="25"/>
      <c r="L86" s="35"/>
      <c r="M86" s="35"/>
      <c r="N86" s="25"/>
      <c r="O86" s="25"/>
      <c r="P86" s="25"/>
      <c r="Q86" s="35"/>
      <c r="R86" s="35"/>
      <c r="S86" s="35"/>
      <c r="T86" s="35"/>
      <c r="U86" s="35">
        <v>1.0</v>
      </c>
      <c r="V86" s="35">
        <v>-3.0</v>
      </c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25"/>
      <c r="AU86" s="34"/>
      <c r="AV86" s="34"/>
      <c r="AW86" s="34"/>
    </row>
    <row r="87" ht="15.0" customHeight="1">
      <c r="A87" s="23" t="s">
        <v>84</v>
      </c>
      <c r="B87" s="35">
        <v>2.0</v>
      </c>
      <c r="C87" s="35">
        <v>2.0</v>
      </c>
      <c r="D87" s="35">
        <v>2.0</v>
      </c>
      <c r="E87" s="35">
        <v>2.0</v>
      </c>
      <c r="F87" s="25"/>
      <c r="G87" s="35"/>
      <c r="H87" s="35"/>
      <c r="I87" s="25"/>
      <c r="J87" s="25"/>
      <c r="K87" s="25"/>
      <c r="L87" s="35"/>
      <c r="M87" s="35"/>
      <c r="N87" s="25"/>
      <c r="O87" s="25"/>
      <c r="P87" s="25"/>
      <c r="Q87" s="35"/>
      <c r="R87" s="35"/>
      <c r="S87" s="35"/>
      <c r="T87" s="35"/>
      <c r="U87" s="35">
        <v>1.0</v>
      </c>
      <c r="V87" s="35">
        <v>-3.0</v>
      </c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25"/>
      <c r="AU87" s="34"/>
      <c r="AV87" s="34"/>
      <c r="AW87" s="34"/>
    </row>
    <row r="88" ht="15.0" customHeight="1">
      <c r="A88" s="23" t="s">
        <v>85</v>
      </c>
      <c r="B88" s="35">
        <v>2.0</v>
      </c>
      <c r="C88" s="35">
        <v>2.0</v>
      </c>
      <c r="D88" s="35">
        <v>2.0</v>
      </c>
      <c r="E88" s="35">
        <v>2.0</v>
      </c>
      <c r="F88" s="25"/>
      <c r="G88" s="35"/>
      <c r="H88" s="35"/>
      <c r="I88" s="25"/>
      <c r="J88" s="25"/>
      <c r="K88" s="25"/>
      <c r="L88" s="35"/>
      <c r="M88" s="35"/>
      <c r="N88" s="25"/>
      <c r="O88" s="25"/>
      <c r="P88" s="25"/>
      <c r="Q88" s="35"/>
      <c r="R88" s="35"/>
      <c r="S88" s="35"/>
      <c r="T88" s="35"/>
      <c r="U88" s="35">
        <v>1.0</v>
      </c>
      <c r="V88" s="35">
        <v>-3.0</v>
      </c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25"/>
      <c r="AU88" s="34"/>
      <c r="AV88" s="34"/>
      <c r="AW88" s="34"/>
    </row>
    <row r="89" ht="15.0" customHeight="1">
      <c r="A89" s="23" t="s">
        <v>86</v>
      </c>
      <c r="B89" s="35">
        <v>2.0</v>
      </c>
      <c r="C89" s="35">
        <v>2.0</v>
      </c>
      <c r="D89" s="35">
        <v>2.0</v>
      </c>
      <c r="E89" s="35">
        <v>2.0</v>
      </c>
      <c r="F89" s="25"/>
      <c r="G89" s="35"/>
      <c r="H89" s="35"/>
      <c r="I89" s="25"/>
      <c r="J89" s="25"/>
      <c r="K89" s="25"/>
      <c r="L89" s="35"/>
      <c r="M89" s="35"/>
      <c r="N89" s="25"/>
      <c r="O89" s="25"/>
      <c r="P89" s="25"/>
      <c r="Q89" s="35"/>
      <c r="R89" s="35"/>
      <c r="S89" s="35"/>
      <c r="T89" s="35"/>
      <c r="U89" s="35">
        <v>1.0</v>
      </c>
      <c r="V89" s="35">
        <v>-3.0</v>
      </c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25"/>
      <c r="AU89" s="34"/>
      <c r="AV89" s="34"/>
      <c r="AW89" s="34"/>
    </row>
    <row r="90" ht="15.0" customHeight="1">
      <c r="A90" s="23" t="s">
        <v>87</v>
      </c>
      <c r="B90" s="35">
        <v>2.0</v>
      </c>
      <c r="C90" s="35">
        <v>2.0</v>
      </c>
      <c r="D90" s="35">
        <v>2.0</v>
      </c>
      <c r="E90" s="35">
        <v>2.0</v>
      </c>
      <c r="F90" s="25"/>
      <c r="G90" s="35"/>
      <c r="H90" s="35"/>
      <c r="I90" s="25"/>
      <c r="J90" s="25"/>
      <c r="K90" s="25"/>
      <c r="L90" s="35"/>
      <c r="M90" s="35"/>
      <c r="N90" s="25"/>
      <c r="O90" s="25"/>
      <c r="P90" s="25"/>
      <c r="Q90" s="35"/>
      <c r="R90" s="35"/>
      <c r="S90" s="35"/>
      <c r="T90" s="35"/>
      <c r="U90" s="35">
        <v>1.0</v>
      </c>
      <c r="V90" s="35">
        <v>-3.0</v>
      </c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25"/>
      <c r="AU90" s="34"/>
      <c r="AV90" s="34"/>
      <c r="AW90" s="34"/>
    </row>
    <row r="91" ht="15.0" customHeight="1">
      <c r="A91" s="23" t="s">
        <v>88</v>
      </c>
      <c r="B91" s="35">
        <v>2.0</v>
      </c>
      <c r="C91" s="35">
        <v>2.0</v>
      </c>
      <c r="D91" s="35">
        <v>2.0</v>
      </c>
      <c r="E91" s="35">
        <v>2.0</v>
      </c>
      <c r="F91" s="25"/>
      <c r="G91" s="35"/>
      <c r="H91" s="35"/>
      <c r="I91" s="25"/>
      <c r="J91" s="25"/>
      <c r="K91" s="25"/>
      <c r="L91" s="35"/>
      <c r="M91" s="35"/>
      <c r="N91" s="25"/>
      <c r="O91" s="25"/>
      <c r="P91" s="25"/>
      <c r="Q91" s="35"/>
      <c r="R91" s="35"/>
      <c r="S91" s="35"/>
      <c r="T91" s="35"/>
      <c r="U91" s="35">
        <v>1.0</v>
      </c>
      <c r="V91" s="35">
        <v>-3.0</v>
      </c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25"/>
      <c r="AU91" s="34"/>
      <c r="AV91" s="34"/>
      <c r="AW91" s="34"/>
    </row>
    <row r="92" ht="15.0" customHeight="1">
      <c r="A92" s="23" t="s">
        <v>89</v>
      </c>
      <c r="B92" s="35">
        <v>2.0</v>
      </c>
      <c r="C92" s="35">
        <v>2.0</v>
      </c>
      <c r="D92" s="35">
        <v>2.0</v>
      </c>
      <c r="E92" s="35">
        <v>2.0</v>
      </c>
      <c r="F92" s="25"/>
      <c r="G92" s="35"/>
      <c r="H92" s="35"/>
      <c r="I92" s="25"/>
      <c r="J92" s="25"/>
      <c r="K92" s="25"/>
      <c r="L92" s="35"/>
      <c r="M92" s="35"/>
      <c r="N92" s="25"/>
      <c r="O92" s="25"/>
      <c r="P92" s="25"/>
      <c r="Q92" s="35"/>
      <c r="R92" s="35"/>
      <c r="S92" s="35"/>
      <c r="T92" s="35"/>
      <c r="U92" s="35">
        <v>1.0</v>
      </c>
      <c r="V92" s="35">
        <v>-3.0</v>
      </c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25"/>
      <c r="AU92" s="34"/>
      <c r="AV92" s="34"/>
      <c r="AW92" s="34"/>
    </row>
    <row r="93" ht="15.0" customHeight="1">
      <c r="A93" s="23" t="s">
        <v>90</v>
      </c>
      <c r="B93" s="35">
        <v>2.0</v>
      </c>
      <c r="C93" s="35">
        <v>2.0</v>
      </c>
      <c r="D93" s="35">
        <v>2.0</v>
      </c>
      <c r="E93" s="35">
        <v>2.0</v>
      </c>
      <c r="F93" s="25"/>
      <c r="G93" s="35"/>
      <c r="H93" s="35"/>
      <c r="I93" s="25"/>
      <c r="J93" s="25"/>
      <c r="K93" s="25"/>
      <c r="L93" s="35"/>
      <c r="M93" s="35"/>
      <c r="N93" s="25"/>
      <c r="O93" s="25"/>
      <c r="P93" s="25"/>
      <c r="Q93" s="35"/>
      <c r="R93" s="35"/>
      <c r="S93" s="35"/>
      <c r="T93" s="35"/>
      <c r="U93" s="35">
        <v>1.0</v>
      </c>
      <c r="V93" s="35">
        <v>-3.0</v>
      </c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25"/>
      <c r="AU93" s="34"/>
      <c r="AV93" s="34"/>
      <c r="AW93" s="34"/>
    </row>
    <row r="94" ht="15.0" customHeight="1">
      <c r="A94" s="23" t="s">
        <v>91</v>
      </c>
      <c r="B94" s="35">
        <v>2.0</v>
      </c>
      <c r="C94" s="35">
        <v>2.0</v>
      </c>
      <c r="D94" s="35">
        <v>2.0</v>
      </c>
      <c r="E94" s="35">
        <v>2.0</v>
      </c>
      <c r="F94" s="25"/>
      <c r="G94" s="35"/>
      <c r="H94" s="35"/>
      <c r="I94" s="25"/>
      <c r="J94" s="25"/>
      <c r="K94" s="25"/>
      <c r="L94" s="35"/>
      <c r="M94" s="35"/>
      <c r="N94" s="25"/>
      <c r="O94" s="25"/>
      <c r="P94" s="25"/>
      <c r="Q94" s="35"/>
      <c r="R94" s="35"/>
      <c r="S94" s="35"/>
      <c r="T94" s="35"/>
      <c r="U94" s="35">
        <v>1.0</v>
      </c>
      <c r="V94" s="35">
        <v>-3.0</v>
      </c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25"/>
      <c r="AU94" s="34"/>
      <c r="AV94" s="34"/>
      <c r="AW94" s="34"/>
    </row>
    <row r="95" ht="15.0" customHeight="1">
      <c r="A95" s="23" t="s">
        <v>92</v>
      </c>
      <c r="B95" s="35">
        <v>2.0</v>
      </c>
      <c r="C95" s="35">
        <v>2.0</v>
      </c>
      <c r="D95" s="35">
        <v>2.0</v>
      </c>
      <c r="E95" s="35">
        <v>2.0</v>
      </c>
      <c r="F95" s="25"/>
      <c r="G95" s="35"/>
      <c r="H95" s="35"/>
      <c r="I95" s="25"/>
      <c r="J95" s="25"/>
      <c r="K95" s="25"/>
      <c r="L95" s="35"/>
      <c r="M95" s="35"/>
      <c r="N95" s="25"/>
      <c r="O95" s="25"/>
      <c r="P95" s="25"/>
      <c r="Q95" s="35"/>
      <c r="R95" s="35"/>
      <c r="S95" s="35"/>
      <c r="T95" s="35"/>
      <c r="U95" s="35">
        <v>1.0</v>
      </c>
      <c r="V95" s="35">
        <v>-3.0</v>
      </c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25"/>
      <c r="AU95" s="34"/>
      <c r="AV95" s="34"/>
      <c r="AW95" s="34"/>
    </row>
    <row r="96" ht="15.0" customHeight="1">
      <c r="A96" s="23" t="s">
        <v>93</v>
      </c>
      <c r="B96" s="35">
        <v>2.0</v>
      </c>
      <c r="C96" s="35">
        <v>2.0</v>
      </c>
      <c r="D96" s="35">
        <v>2.0</v>
      </c>
      <c r="E96" s="35">
        <v>2.0</v>
      </c>
      <c r="F96" s="25"/>
      <c r="G96" s="35"/>
      <c r="H96" s="35"/>
      <c r="I96" s="25"/>
      <c r="J96" s="25"/>
      <c r="K96" s="25"/>
      <c r="L96" s="35"/>
      <c r="M96" s="35"/>
      <c r="N96" s="25"/>
      <c r="O96" s="25"/>
      <c r="P96" s="25"/>
      <c r="Q96" s="35"/>
      <c r="R96" s="35"/>
      <c r="S96" s="35"/>
      <c r="T96" s="35"/>
      <c r="U96" s="35">
        <v>1.0</v>
      </c>
      <c r="V96" s="35">
        <v>-3.0</v>
      </c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25"/>
      <c r="AU96" s="34"/>
      <c r="AV96" s="34"/>
      <c r="AW96" s="34"/>
    </row>
    <row r="97" ht="15.0" customHeight="1">
      <c r="A97" s="23" t="s">
        <v>94</v>
      </c>
      <c r="B97" s="35">
        <v>2.0</v>
      </c>
      <c r="C97" s="35">
        <v>2.0</v>
      </c>
      <c r="D97" s="35">
        <v>2.0</v>
      </c>
      <c r="E97" s="35">
        <v>2.0</v>
      </c>
      <c r="F97" s="25"/>
      <c r="G97" s="35"/>
      <c r="H97" s="35"/>
      <c r="I97" s="25"/>
      <c r="J97" s="25"/>
      <c r="K97" s="25"/>
      <c r="L97" s="35"/>
      <c r="M97" s="35"/>
      <c r="N97" s="25"/>
      <c r="O97" s="25"/>
      <c r="P97" s="25"/>
      <c r="Q97" s="35"/>
      <c r="R97" s="35"/>
      <c r="S97" s="35"/>
      <c r="T97" s="35"/>
      <c r="U97" s="35">
        <v>1.0</v>
      </c>
      <c r="V97" s="35">
        <v>-3.0</v>
      </c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25"/>
      <c r="AU97" s="34"/>
      <c r="AV97" s="34"/>
      <c r="AW97" s="34"/>
    </row>
    <row r="98" ht="15.0" customHeight="1">
      <c r="A98" s="23" t="s">
        <v>95</v>
      </c>
      <c r="B98" s="35">
        <v>2.0</v>
      </c>
      <c r="C98" s="35">
        <v>2.0</v>
      </c>
      <c r="D98" s="35">
        <v>2.0</v>
      </c>
      <c r="E98" s="35">
        <v>2.0</v>
      </c>
      <c r="F98" s="25"/>
      <c r="G98" s="35"/>
      <c r="H98" s="35"/>
      <c r="I98" s="25"/>
      <c r="J98" s="25"/>
      <c r="K98" s="25"/>
      <c r="L98" s="35"/>
      <c r="M98" s="35"/>
      <c r="N98" s="25"/>
      <c r="O98" s="25"/>
      <c r="P98" s="25"/>
      <c r="Q98" s="35"/>
      <c r="R98" s="35"/>
      <c r="S98" s="35"/>
      <c r="T98" s="35"/>
      <c r="U98" s="35">
        <v>1.0</v>
      </c>
      <c r="V98" s="35">
        <v>-3.0</v>
      </c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25"/>
      <c r="AU98" s="34"/>
      <c r="AV98" s="34"/>
      <c r="AW98" s="34"/>
    </row>
    <row r="99" ht="15.0" customHeight="1">
      <c r="A99" s="23" t="s">
        <v>96</v>
      </c>
      <c r="B99" s="35">
        <v>2.0</v>
      </c>
      <c r="C99" s="35">
        <v>2.0</v>
      </c>
      <c r="D99" s="35">
        <v>2.0</v>
      </c>
      <c r="E99" s="35">
        <v>2.0</v>
      </c>
      <c r="F99" s="25"/>
      <c r="G99" s="35"/>
      <c r="H99" s="35"/>
      <c r="I99" s="25"/>
      <c r="J99" s="25"/>
      <c r="K99" s="25"/>
      <c r="L99" s="35"/>
      <c r="M99" s="35"/>
      <c r="N99" s="25"/>
      <c r="O99" s="25"/>
      <c r="P99" s="25"/>
      <c r="Q99" s="35"/>
      <c r="R99" s="35"/>
      <c r="S99" s="35"/>
      <c r="T99" s="35"/>
      <c r="U99" s="35">
        <v>1.0</v>
      </c>
      <c r="V99" s="35">
        <v>-3.0</v>
      </c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25"/>
      <c r="AU99" s="34"/>
      <c r="AV99" s="34"/>
      <c r="AW99" s="34"/>
    </row>
    <row r="100" ht="15.0" customHeight="1">
      <c r="A100" s="23" t="s">
        <v>97</v>
      </c>
      <c r="B100" s="35">
        <v>2.0</v>
      </c>
      <c r="C100" s="35">
        <v>2.0</v>
      </c>
      <c r="D100" s="35">
        <v>2.0</v>
      </c>
      <c r="E100" s="35">
        <v>2.0</v>
      </c>
      <c r="F100" s="25"/>
      <c r="G100" s="35"/>
      <c r="H100" s="35"/>
      <c r="I100" s="25"/>
      <c r="J100" s="25"/>
      <c r="K100" s="25"/>
      <c r="L100" s="35"/>
      <c r="M100" s="35"/>
      <c r="N100" s="25"/>
      <c r="O100" s="25"/>
      <c r="P100" s="25"/>
      <c r="Q100" s="35"/>
      <c r="R100" s="35"/>
      <c r="S100" s="35"/>
      <c r="T100" s="35"/>
      <c r="U100" s="35">
        <v>1.0</v>
      </c>
      <c r="V100" s="35">
        <v>-3.0</v>
      </c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25"/>
      <c r="AU100" s="34"/>
      <c r="AV100" s="34"/>
      <c r="AW100" s="34"/>
    </row>
    <row r="101" ht="15.0" customHeight="1">
      <c r="A101" s="23" t="s">
        <v>98</v>
      </c>
      <c r="B101" s="35">
        <v>2.0</v>
      </c>
      <c r="C101" s="35">
        <v>2.0</v>
      </c>
      <c r="D101" s="35">
        <v>2.0</v>
      </c>
      <c r="E101" s="35">
        <v>2.0</v>
      </c>
      <c r="F101" s="25"/>
      <c r="G101" s="35"/>
      <c r="H101" s="35"/>
      <c r="I101" s="25"/>
      <c r="J101" s="25"/>
      <c r="K101" s="25"/>
      <c r="L101" s="35"/>
      <c r="M101" s="35"/>
      <c r="N101" s="25"/>
      <c r="O101" s="25"/>
      <c r="P101" s="25"/>
      <c r="Q101" s="35"/>
      <c r="R101" s="35"/>
      <c r="S101" s="35"/>
      <c r="T101" s="35"/>
      <c r="U101" s="35">
        <v>1.0</v>
      </c>
      <c r="V101" s="35">
        <v>-3.0</v>
      </c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25"/>
      <c r="AU101" s="34"/>
      <c r="AV101" s="34"/>
      <c r="AW101" s="34"/>
    </row>
    <row r="102" ht="15.0" customHeight="1">
      <c r="A102" s="23" t="s">
        <v>99</v>
      </c>
      <c r="B102" s="35">
        <v>2.0</v>
      </c>
      <c r="C102" s="35">
        <v>2.0</v>
      </c>
      <c r="D102" s="35">
        <v>2.0</v>
      </c>
      <c r="E102" s="35">
        <v>2.0</v>
      </c>
      <c r="F102" s="25"/>
      <c r="G102" s="35"/>
      <c r="H102" s="35"/>
      <c r="I102" s="25"/>
      <c r="J102" s="25"/>
      <c r="K102" s="25"/>
      <c r="L102" s="35"/>
      <c r="M102" s="35"/>
      <c r="N102" s="25"/>
      <c r="O102" s="25"/>
      <c r="P102" s="25"/>
      <c r="Q102" s="35"/>
      <c r="R102" s="35"/>
      <c r="S102" s="35"/>
      <c r="T102" s="35"/>
      <c r="U102" s="35">
        <v>1.0</v>
      </c>
      <c r="V102" s="35">
        <v>-3.0</v>
      </c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25"/>
      <c r="AU102" s="34"/>
      <c r="AV102" s="34"/>
      <c r="AW102" s="34"/>
    </row>
    <row r="103" ht="15.0" customHeight="1">
      <c r="A103" s="23" t="s">
        <v>100</v>
      </c>
      <c r="B103" s="35">
        <v>2.0</v>
      </c>
      <c r="C103" s="35">
        <v>2.0</v>
      </c>
      <c r="D103" s="35">
        <v>2.0</v>
      </c>
      <c r="E103" s="35">
        <v>2.0</v>
      </c>
      <c r="F103" s="25"/>
      <c r="G103" s="35"/>
      <c r="H103" s="35"/>
      <c r="I103" s="25"/>
      <c r="J103" s="25"/>
      <c r="K103" s="25"/>
      <c r="L103" s="35"/>
      <c r="M103" s="35"/>
      <c r="N103" s="25"/>
      <c r="O103" s="25"/>
      <c r="P103" s="25"/>
      <c r="Q103" s="35"/>
      <c r="R103" s="35"/>
      <c r="S103" s="35"/>
      <c r="T103" s="35"/>
      <c r="U103" s="35">
        <v>1.0</v>
      </c>
      <c r="V103" s="35">
        <v>-3.0</v>
      </c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25"/>
      <c r="AU103" s="34"/>
      <c r="AV103" s="34"/>
      <c r="AW103" s="34"/>
    </row>
    <row r="104" ht="15.0" customHeight="1">
      <c r="A104" s="23" t="s">
        <v>101</v>
      </c>
      <c r="B104" s="35">
        <v>2.0</v>
      </c>
      <c r="C104" s="35">
        <v>2.0</v>
      </c>
      <c r="D104" s="35">
        <v>2.0</v>
      </c>
      <c r="E104" s="35">
        <v>2.0</v>
      </c>
      <c r="F104" s="25"/>
      <c r="G104" s="35"/>
      <c r="H104" s="35"/>
      <c r="I104" s="25"/>
      <c r="J104" s="25"/>
      <c r="K104" s="25"/>
      <c r="L104" s="35"/>
      <c r="M104" s="35"/>
      <c r="N104" s="25"/>
      <c r="O104" s="25"/>
      <c r="P104" s="25"/>
      <c r="Q104" s="35"/>
      <c r="R104" s="35"/>
      <c r="S104" s="35"/>
      <c r="T104" s="35"/>
      <c r="U104" s="35">
        <v>1.0</v>
      </c>
      <c r="V104" s="35">
        <v>-3.0</v>
      </c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25"/>
      <c r="AU104" s="34"/>
      <c r="AV104" s="34"/>
      <c r="AW104" s="34"/>
    </row>
    <row r="105" ht="15.0" customHeight="1">
      <c r="A105" s="23" t="s">
        <v>130</v>
      </c>
      <c r="B105" s="35">
        <v>2.0</v>
      </c>
      <c r="C105" s="35">
        <v>2.0</v>
      </c>
      <c r="D105" s="35">
        <v>2.0</v>
      </c>
      <c r="E105" s="35">
        <v>2.0</v>
      </c>
      <c r="F105" s="3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35">
        <v>1.0</v>
      </c>
      <c r="V105" s="35">
        <v>-3.0</v>
      </c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25"/>
      <c r="AU105" s="34"/>
      <c r="AV105" s="34"/>
      <c r="AW105" s="34"/>
    </row>
    <row r="106" ht="15.0" customHeight="1">
      <c r="A106" s="23" t="s">
        <v>131</v>
      </c>
      <c r="B106" s="35">
        <v>2.0</v>
      </c>
      <c r="C106" s="35">
        <v>2.0</v>
      </c>
      <c r="D106" s="35">
        <v>2.0</v>
      </c>
      <c r="E106" s="35">
        <v>2.0</v>
      </c>
      <c r="F106" s="3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35">
        <v>1.0</v>
      </c>
      <c r="V106" s="35">
        <v>-3.0</v>
      </c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25"/>
      <c r="AU106" s="34"/>
      <c r="AV106" s="34"/>
      <c r="AW106" s="34"/>
    </row>
    <row r="107" ht="15.0" customHeight="1">
      <c r="A107" s="23" t="s">
        <v>132</v>
      </c>
      <c r="B107" s="35">
        <v>2.0</v>
      </c>
      <c r="C107" s="35">
        <v>2.0</v>
      </c>
      <c r="D107" s="35">
        <v>2.0</v>
      </c>
      <c r="E107" s="35">
        <v>2.0</v>
      </c>
      <c r="F107" s="3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35">
        <v>1.0</v>
      </c>
      <c r="V107" s="35">
        <v>-3.0</v>
      </c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25"/>
      <c r="AU107" s="34"/>
      <c r="AV107" s="34"/>
      <c r="AW107" s="34"/>
    </row>
    <row r="108" ht="15.0" customHeight="1">
      <c r="A108" s="23" t="s">
        <v>133</v>
      </c>
      <c r="B108" s="35">
        <v>2.0</v>
      </c>
      <c r="C108" s="35">
        <v>2.0</v>
      </c>
      <c r="D108" s="35">
        <v>2.0</v>
      </c>
      <c r="E108" s="35">
        <v>2.0</v>
      </c>
      <c r="F108" s="3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35">
        <v>1.0</v>
      </c>
      <c r="V108" s="35">
        <v>-3.0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25"/>
      <c r="AU108" s="34"/>
      <c r="AV108" s="34"/>
      <c r="AW108" s="34"/>
    </row>
    <row r="109" ht="15.0" customHeight="1">
      <c r="A109" s="23" t="s">
        <v>134</v>
      </c>
      <c r="B109" s="35">
        <v>2.0</v>
      </c>
      <c r="C109" s="35">
        <v>2.0</v>
      </c>
      <c r="D109" s="35">
        <v>2.0</v>
      </c>
      <c r="E109" s="35">
        <v>2.0</v>
      </c>
      <c r="F109" s="3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35">
        <v>1.0</v>
      </c>
      <c r="V109" s="35">
        <v>-3.0</v>
      </c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25"/>
      <c r="AU109" s="34"/>
      <c r="AV109" s="34"/>
      <c r="AW109" s="34"/>
    </row>
    <row r="110" ht="15.0" customHeight="1">
      <c r="A110" s="23" t="s">
        <v>135</v>
      </c>
      <c r="B110" s="35">
        <v>2.0</v>
      </c>
      <c r="C110" s="35">
        <v>2.0</v>
      </c>
      <c r="D110" s="35">
        <v>2.0</v>
      </c>
      <c r="E110" s="35">
        <v>2.0</v>
      </c>
      <c r="F110" s="3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35">
        <v>1.0</v>
      </c>
      <c r="V110" s="35">
        <v>-3.0</v>
      </c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25"/>
      <c r="AU110" s="34"/>
      <c r="AV110" s="34"/>
      <c r="AW110" s="34"/>
    </row>
    <row r="111" ht="15.0" customHeight="1">
      <c r="A111" s="23" t="s">
        <v>136</v>
      </c>
      <c r="B111" s="35">
        <v>2.0</v>
      </c>
      <c r="C111" s="35">
        <v>2.0</v>
      </c>
      <c r="D111" s="35">
        <v>2.0</v>
      </c>
      <c r="E111" s="35">
        <v>2.0</v>
      </c>
      <c r="F111" s="3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35">
        <v>1.0</v>
      </c>
      <c r="V111" s="35">
        <v>-3.0</v>
      </c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25"/>
      <c r="AU111" s="34"/>
      <c r="AV111" s="34"/>
      <c r="AW111" s="34"/>
    </row>
    <row r="112" ht="15.0" customHeight="1">
      <c r="A112" s="23" t="s">
        <v>137</v>
      </c>
      <c r="B112" s="35">
        <v>2.0</v>
      </c>
      <c r="C112" s="35">
        <v>2.0</v>
      </c>
      <c r="D112" s="35">
        <v>2.0</v>
      </c>
      <c r="E112" s="35">
        <v>2.0</v>
      </c>
      <c r="F112" s="3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35">
        <v>1.0</v>
      </c>
      <c r="V112" s="35">
        <v>-3.0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25"/>
      <c r="AU112" s="34"/>
      <c r="AV112" s="34"/>
      <c r="AW112" s="34"/>
    </row>
    <row r="113" ht="15.0" customHeight="1">
      <c r="A113" s="23" t="s">
        <v>138</v>
      </c>
      <c r="B113" s="35">
        <v>2.0</v>
      </c>
      <c r="C113" s="35">
        <v>2.0</v>
      </c>
      <c r="D113" s="35">
        <v>2.0</v>
      </c>
      <c r="E113" s="35">
        <v>2.0</v>
      </c>
      <c r="F113" s="3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35">
        <v>1.0</v>
      </c>
      <c r="V113" s="35">
        <v>-3.0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25"/>
      <c r="AU113" s="34"/>
      <c r="AV113" s="34"/>
      <c r="AW113" s="34"/>
    </row>
    <row r="114" ht="15.0" customHeight="1">
      <c r="A114" s="23" t="s">
        <v>139</v>
      </c>
      <c r="B114" s="35">
        <v>2.0</v>
      </c>
      <c r="C114" s="35">
        <v>2.0</v>
      </c>
      <c r="D114" s="35">
        <v>2.0</v>
      </c>
      <c r="E114" s="35">
        <v>2.0</v>
      </c>
      <c r="F114" s="3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35">
        <v>1.0</v>
      </c>
      <c r="V114" s="35">
        <v>-3.0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25"/>
      <c r="AU114" s="34"/>
      <c r="AV114" s="34"/>
      <c r="AW114" s="34"/>
    </row>
    <row r="115" ht="15.0" customHeight="1">
      <c r="A115" s="23" t="s">
        <v>140</v>
      </c>
      <c r="B115" s="35">
        <v>2.0</v>
      </c>
      <c r="C115" s="35">
        <v>2.0</v>
      </c>
      <c r="D115" s="35">
        <v>2.0</v>
      </c>
      <c r="E115" s="35">
        <v>2.0</v>
      </c>
      <c r="F115" s="3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35">
        <v>1.0</v>
      </c>
      <c r="V115" s="35">
        <v>-3.0</v>
      </c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25"/>
      <c r="AU115" s="34"/>
      <c r="AV115" s="34"/>
      <c r="AW115" s="34"/>
    </row>
    <row r="116" ht="15.0" customHeight="1">
      <c r="A116" s="23" t="s">
        <v>141</v>
      </c>
      <c r="B116" s="35">
        <v>2.0</v>
      </c>
      <c r="C116" s="35">
        <v>2.0</v>
      </c>
      <c r="D116" s="35">
        <v>2.0</v>
      </c>
      <c r="E116" s="35">
        <v>2.0</v>
      </c>
      <c r="F116" s="3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35">
        <v>1.0</v>
      </c>
      <c r="V116" s="35">
        <v>-3.0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25"/>
      <c r="AU116" s="34"/>
      <c r="AV116" s="34"/>
      <c r="AW116" s="34"/>
    </row>
    <row r="117" ht="15.0" customHeight="1">
      <c r="A117" s="23" t="s">
        <v>142</v>
      </c>
      <c r="B117" s="35">
        <v>2.0</v>
      </c>
      <c r="C117" s="35">
        <v>2.0</v>
      </c>
      <c r="D117" s="35">
        <v>2.0</v>
      </c>
      <c r="E117" s="35">
        <v>2.0</v>
      </c>
      <c r="F117" s="3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35">
        <v>1.0</v>
      </c>
      <c r="V117" s="35">
        <v>-3.0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25"/>
      <c r="AU117" s="34"/>
      <c r="AV117" s="34"/>
      <c r="AW117" s="34"/>
    </row>
    <row r="118" ht="15.0" customHeight="1">
      <c r="A118" s="23" t="s">
        <v>143</v>
      </c>
      <c r="B118" s="35">
        <v>2.0</v>
      </c>
      <c r="C118" s="35">
        <v>2.0</v>
      </c>
      <c r="D118" s="35">
        <v>2.0</v>
      </c>
      <c r="E118" s="35">
        <v>2.0</v>
      </c>
      <c r="F118" s="3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35">
        <v>1.0</v>
      </c>
      <c r="V118" s="35">
        <v>-3.0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25"/>
      <c r="AU118" s="34"/>
      <c r="AV118" s="34"/>
      <c r="AW118" s="34"/>
    </row>
    <row r="119" ht="15.0" customHeight="1">
      <c r="A119" s="23" t="s">
        <v>144</v>
      </c>
      <c r="B119" s="35">
        <v>2.0</v>
      </c>
      <c r="C119" s="35">
        <v>2.0</v>
      </c>
      <c r="D119" s="35">
        <v>2.0</v>
      </c>
      <c r="E119" s="35">
        <v>2.0</v>
      </c>
      <c r="F119" s="3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35">
        <v>1.0</v>
      </c>
      <c r="V119" s="35">
        <v>-3.0</v>
      </c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25"/>
      <c r="AU119" s="34"/>
      <c r="AV119" s="34"/>
      <c r="AW119" s="34"/>
    </row>
    <row r="120" ht="15.0" customHeight="1">
      <c r="A120" s="23" t="s">
        <v>145</v>
      </c>
      <c r="B120" s="35">
        <v>2.0</v>
      </c>
      <c r="C120" s="35">
        <v>2.0</v>
      </c>
      <c r="D120" s="35">
        <v>2.0</v>
      </c>
      <c r="E120" s="35">
        <v>2.0</v>
      </c>
      <c r="F120" s="3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35">
        <v>1.0</v>
      </c>
      <c r="V120" s="35">
        <v>-3.0</v>
      </c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25"/>
      <c r="AU120" s="34"/>
      <c r="AV120" s="34"/>
      <c r="AW120" s="34"/>
    </row>
    <row r="121" ht="15.0" customHeight="1">
      <c r="A121" s="23" t="s">
        <v>146</v>
      </c>
      <c r="B121" s="35">
        <v>2.0</v>
      </c>
      <c r="C121" s="35">
        <v>2.0</v>
      </c>
      <c r="D121" s="35">
        <v>2.0</v>
      </c>
      <c r="E121" s="35">
        <v>2.0</v>
      </c>
      <c r="F121" s="3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35">
        <v>1.0</v>
      </c>
      <c r="V121" s="35">
        <v>-3.0</v>
      </c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25"/>
      <c r="AU121" s="34"/>
      <c r="AV121" s="34"/>
      <c r="AW121" s="34"/>
    </row>
    <row r="122" ht="15.0" customHeight="1">
      <c r="A122" s="23" t="s">
        <v>147</v>
      </c>
      <c r="B122" s="35">
        <v>2.0</v>
      </c>
      <c r="C122" s="35">
        <v>2.0</v>
      </c>
      <c r="D122" s="35">
        <v>2.0</v>
      </c>
      <c r="E122" s="35">
        <v>2.0</v>
      </c>
      <c r="F122" s="3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35">
        <v>1.0</v>
      </c>
      <c r="V122" s="35">
        <v>-3.0</v>
      </c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25"/>
      <c r="AU122" s="34"/>
      <c r="AV122" s="34"/>
      <c r="AW122" s="34"/>
    </row>
    <row r="123" ht="15.0" customHeight="1">
      <c r="A123" s="23" t="s">
        <v>148</v>
      </c>
      <c r="B123" s="35">
        <v>2.0</v>
      </c>
      <c r="C123" s="35">
        <v>2.0</v>
      </c>
      <c r="D123" s="35">
        <v>2.0</v>
      </c>
      <c r="E123" s="35">
        <v>2.0</v>
      </c>
      <c r="F123" s="3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35">
        <v>1.0</v>
      </c>
      <c r="V123" s="35">
        <v>-3.0</v>
      </c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25"/>
      <c r="AU123" s="34"/>
      <c r="AV123" s="34"/>
      <c r="AW123" s="34"/>
    </row>
    <row r="124" ht="15.0" customHeight="1">
      <c r="A124" s="23" t="s">
        <v>149</v>
      </c>
      <c r="B124" s="35">
        <v>2.0</v>
      </c>
      <c r="C124" s="35">
        <v>2.0</v>
      </c>
      <c r="D124" s="35">
        <v>2.0</v>
      </c>
      <c r="E124" s="35">
        <v>2.0</v>
      </c>
      <c r="F124" s="3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35">
        <v>1.0</v>
      </c>
      <c r="V124" s="35">
        <v>-3.0</v>
      </c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25"/>
      <c r="AU124" s="34"/>
      <c r="AV124" s="34"/>
      <c r="AW124" s="34"/>
    </row>
    <row r="125" ht="15.0" customHeight="1">
      <c r="A125" s="23" t="s">
        <v>150</v>
      </c>
      <c r="B125" s="35">
        <v>2.0</v>
      </c>
      <c r="C125" s="35">
        <v>2.0</v>
      </c>
      <c r="D125" s="35">
        <v>2.0</v>
      </c>
      <c r="E125" s="35">
        <v>2.0</v>
      </c>
      <c r="F125" s="3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35">
        <v>1.0</v>
      </c>
      <c r="V125" s="35">
        <v>-3.0</v>
      </c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25"/>
      <c r="AU125" s="34"/>
      <c r="AV125" s="34"/>
      <c r="AW125" s="34"/>
    </row>
    <row r="126" ht="15.0" customHeight="1">
      <c r="A126" s="23" t="s">
        <v>151</v>
      </c>
      <c r="B126" s="35">
        <v>2.0</v>
      </c>
      <c r="C126" s="35">
        <v>2.0</v>
      </c>
      <c r="D126" s="35">
        <v>2.0</v>
      </c>
      <c r="E126" s="35">
        <v>2.0</v>
      </c>
      <c r="F126" s="3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35">
        <v>1.0</v>
      </c>
      <c r="V126" s="35">
        <v>-3.0</v>
      </c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25"/>
      <c r="AU126" s="34"/>
      <c r="AV126" s="34"/>
      <c r="AW126" s="34"/>
    </row>
    <row r="127" ht="15.0" customHeight="1">
      <c r="A127" s="23" t="s">
        <v>152</v>
      </c>
      <c r="B127" s="35">
        <v>2.0</v>
      </c>
      <c r="C127" s="35">
        <v>2.0</v>
      </c>
      <c r="D127" s="35">
        <v>2.0</v>
      </c>
      <c r="E127" s="35">
        <v>2.0</v>
      </c>
      <c r="F127" s="3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35">
        <v>1.0</v>
      </c>
      <c r="V127" s="35">
        <v>-3.0</v>
      </c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25"/>
      <c r="AU127" s="34"/>
      <c r="AV127" s="34"/>
      <c r="AW127" s="34"/>
    </row>
    <row r="128" ht="15.0" customHeight="1">
      <c r="A128" s="23" t="s">
        <v>153</v>
      </c>
      <c r="B128" s="35">
        <v>2.0</v>
      </c>
      <c r="C128" s="35">
        <v>2.0</v>
      </c>
      <c r="D128" s="35">
        <v>2.0</v>
      </c>
      <c r="E128" s="35">
        <v>2.0</v>
      </c>
      <c r="F128" s="3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35">
        <v>1.0</v>
      </c>
      <c r="V128" s="35">
        <v>-3.0</v>
      </c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25"/>
      <c r="AU128" s="34"/>
      <c r="AV128" s="34"/>
      <c r="AW128" s="34"/>
    </row>
    <row r="129" ht="15.0" customHeight="1">
      <c r="A129" s="23" t="s">
        <v>154</v>
      </c>
      <c r="B129" s="35">
        <v>2.0</v>
      </c>
      <c r="C129" s="35">
        <v>2.0</v>
      </c>
      <c r="D129" s="35">
        <v>2.0</v>
      </c>
      <c r="E129" s="35">
        <v>2.0</v>
      </c>
      <c r="F129" s="3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35">
        <v>1.0</v>
      </c>
      <c r="V129" s="35">
        <v>-3.0</v>
      </c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25"/>
      <c r="AU129" s="34"/>
      <c r="AV129" s="34"/>
      <c r="AW129" s="34"/>
    </row>
    <row r="130" ht="15.0" customHeight="1">
      <c r="A130" s="23" t="s">
        <v>155</v>
      </c>
      <c r="B130" s="35">
        <v>2.0</v>
      </c>
      <c r="C130" s="35">
        <v>2.0</v>
      </c>
      <c r="D130" s="35">
        <v>2.0</v>
      </c>
      <c r="E130" s="35">
        <v>2.0</v>
      </c>
      <c r="F130" s="3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35">
        <v>1.0</v>
      </c>
      <c r="V130" s="35">
        <v>-3.0</v>
      </c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25"/>
      <c r="AU130" s="34"/>
      <c r="AV130" s="34"/>
      <c r="AW130" s="34"/>
    </row>
    <row r="131" ht="15.0" customHeight="1">
      <c r="A131" s="23" t="s">
        <v>156</v>
      </c>
      <c r="B131" s="35">
        <v>2.0</v>
      </c>
      <c r="C131" s="35">
        <v>2.0</v>
      </c>
      <c r="D131" s="35">
        <v>2.0</v>
      </c>
      <c r="E131" s="35">
        <v>2.0</v>
      </c>
      <c r="F131" s="3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35">
        <v>1.0</v>
      </c>
      <c r="V131" s="35">
        <v>-3.0</v>
      </c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25"/>
      <c r="AU131" s="34"/>
      <c r="AV131" s="34"/>
      <c r="AW131" s="34"/>
    </row>
    <row r="132" ht="15.0" customHeight="1">
      <c r="A132" s="23" t="s">
        <v>157</v>
      </c>
      <c r="B132" s="35">
        <v>2.0</v>
      </c>
      <c r="C132" s="35">
        <v>2.0</v>
      </c>
      <c r="D132" s="35">
        <v>2.0</v>
      </c>
      <c r="E132" s="35">
        <v>2.0</v>
      </c>
      <c r="F132" s="3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35">
        <v>1.0</v>
      </c>
      <c r="V132" s="35">
        <v>-3.0</v>
      </c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25"/>
      <c r="AU132" s="34"/>
      <c r="AV132" s="34"/>
      <c r="AW132" s="34"/>
    </row>
    <row r="133" ht="15.0" customHeight="1">
      <c r="A133" s="23" t="s">
        <v>158</v>
      </c>
      <c r="B133" s="35">
        <v>2.0</v>
      </c>
      <c r="C133" s="35">
        <v>2.0</v>
      </c>
      <c r="D133" s="35">
        <v>2.0</v>
      </c>
      <c r="E133" s="35">
        <v>2.0</v>
      </c>
      <c r="F133" s="3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35">
        <v>1.0</v>
      </c>
      <c r="V133" s="35">
        <v>-3.0</v>
      </c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25"/>
      <c r="AU133" s="34"/>
      <c r="AV133" s="34"/>
      <c r="AW133" s="34"/>
    </row>
    <row r="134" ht="15.0" customHeight="1">
      <c r="A134" s="23" t="s">
        <v>159</v>
      </c>
      <c r="B134" s="35">
        <v>2.0</v>
      </c>
      <c r="C134" s="35">
        <v>2.0</v>
      </c>
      <c r="D134" s="35">
        <v>2.0</v>
      </c>
      <c r="E134" s="35">
        <v>2.0</v>
      </c>
      <c r="F134" s="3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35">
        <v>1.0</v>
      </c>
      <c r="V134" s="35">
        <v>-3.0</v>
      </c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25"/>
      <c r="AU134" s="34"/>
      <c r="AV134" s="34"/>
      <c r="AW134" s="34"/>
    </row>
    <row r="135" ht="15.0" customHeight="1">
      <c r="A135" s="23" t="s">
        <v>160</v>
      </c>
      <c r="B135" s="35">
        <v>2.0</v>
      </c>
      <c r="C135" s="35">
        <v>2.0</v>
      </c>
      <c r="D135" s="35">
        <v>2.0</v>
      </c>
      <c r="E135" s="35">
        <v>2.0</v>
      </c>
      <c r="F135" s="3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35">
        <v>1.0</v>
      </c>
      <c r="V135" s="35">
        <v>-3.0</v>
      </c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25"/>
      <c r="AU135" s="34"/>
      <c r="AV135" s="34"/>
      <c r="AW135" s="34"/>
    </row>
    <row r="136" ht="15.0" customHeight="1">
      <c r="A136" s="23" t="s">
        <v>161</v>
      </c>
      <c r="B136" s="35">
        <v>2.0</v>
      </c>
      <c r="C136" s="35">
        <v>2.0</v>
      </c>
      <c r="D136" s="35">
        <v>2.0</v>
      </c>
      <c r="E136" s="35">
        <v>2.0</v>
      </c>
      <c r="F136" s="3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35">
        <v>1.0</v>
      </c>
      <c r="V136" s="35">
        <v>-3.0</v>
      </c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25"/>
      <c r="AU136" s="34"/>
      <c r="AV136" s="34"/>
      <c r="AW136" s="34"/>
    </row>
    <row r="137" ht="15.0" customHeight="1">
      <c r="A137" s="23" t="s">
        <v>162</v>
      </c>
      <c r="B137" s="35">
        <v>2.0</v>
      </c>
      <c r="C137" s="35">
        <v>2.0</v>
      </c>
      <c r="D137" s="35">
        <v>2.0</v>
      </c>
      <c r="E137" s="35">
        <v>2.0</v>
      </c>
      <c r="F137" s="3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35">
        <v>1.0</v>
      </c>
      <c r="V137" s="35">
        <v>-3.0</v>
      </c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25"/>
      <c r="AU137" s="34"/>
      <c r="AV137" s="34"/>
      <c r="AW137" s="34"/>
    </row>
    <row r="138" ht="15.0" customHeight="1">
      <c r="A138" s="23" t="s">
        <v>163</v>
      </c>
      <c r="B138" s="35">
        <v>2.0</v>
      </c>
      <c r="C138" s="35">
        <v>2.0</v>
      </c>
      <c r="D138" s="35">
        <v>2.0</v>
      </c>
      <c r="E138" s="35">
        <v>2.0</v>
      </c>
      <c r="F138" s="3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35">
        <v>1.0</v>
      </c>
      <c r="V138" s="35">
        <v>-3.0</v>
      </c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25"/>
      <c r="AU138" s="34"/>
      <c r="AV138" s="34"/>
      <c r="AW138" s="34"/>
    </row>
    <row r="139" ht="15.0" customHeight="1">
      <c r="A139" s="23" t="s">
        <v>164</v>
      </c>
      <c r="B139" s="35">
        <v>2.0</v>
      </c>
      <c r="C139" s="35">
        <v>2.0</v>
      </c>
      <c r="D139" s="35">
        <v>2.0</v>
      </c>
      <c r="E139" s="35">
        <v>2.0</v>
      </c>
      <c r="F139" s="3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35">
        <v>1.0</v>
      </c>
      <c r="V139" s="35">
        <v>-3.0</v>
      </c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25"/>
      <c r="AU139" s="34"/>
      <c r="AV139" s="34"/>
      <c r="AW139" s="34"/>
    </row>
    <row r="140" ht="15.0" customHeight="1">
      <c r="A140" s="23" t="s">
        <v>165</v>
      </c>
      <c r="B140" s="35">
        <v>2.0</v>
      </c>
      <c r="C140" s="35">
        <v>2.0</v>
      </c>
      <c r="D140" s="35">
        <v>2.0</v>
      </c>
      <c r="E140" s="35">
        <v>2.0</v>
      </c>
      <c r="F140" s="3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35">
        <v>1.0</v>
      </c>
      <c r="V140" s="35">
        <v>-3.0</v>
      </c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25"/>
      <c r="AU140" s="34"/>
      <c r="AV140" s="34"/>
      <c r="AW140" s="34"/>
    </row>
    <row r="141" ht="15.0" customHeight="1">
      <c r="A141" s="23" t="s">
        <v>166</v>
      </c>
      <c r="B141" s="35">
        <v>2.0</v>
      </c>
      <c r="C141" s="35">
        <v>2.0</v>
      </c>
      <c r="D141" s="35">
        <v>2.0</v>
      </c>
      <c r="E141" s="35">
        <v>2.0</v>
      </c>
      <c r="F141" s="3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35">
        <v>1.0</v>
      </c>
      <c r="V141" s="35">
        <v>-3.0</v>
      </c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25"/>
      <c r="AU141" s="34"/>
      <c r="AV141" s="34"/>
      <c r="AW141" s="34"/>
    </row>
    <row r="142" ht="15.0" customHeight="1">
      <c r="A142" s="23" t="s">
        <v>167</v>
      </c>
      <c r="B142" s="35">
        <v>2.0</v>
      </c>
      <c r="C142" s="35">
        <v>2.0</v>
      </c>
      <c r="D142" s="35">
        <v>2.0</v>
      </c>
      <c r="E142" s="35">
        <v>2.0</v>
      </c>
      <c r="F142" s="3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35">
        <v>1.0</v>
      </c>
      <c r="V142" s="35">
        <v>-3.0</v>
      </c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25"/>
      <c r="AU142" s="34"/>
      <c r="AV142" s="34"/>
      <c r="AW142" s="34"/>
    </row>
    <row r="143" ht="15.0" customHeight="1">
      <c r="A143" s="23" t="s">
        <v>168</v>
      </c>
      <c r="B143" s="35">
        <v>2.0</v>
      </c>
      <c r="C143" s="35">
        <v>2.0</v>
      </c>
      <c r="D143" s="35">
        <v>2.0</v>
      </c>
      <c r="E143" s="35">
        <v>2.0</v>
      </c>
      <c r="F143" s="3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35">
        <v>1.0</v>
      </c>
      <c r="V143" s="35">
        <v>-3.0</v>
      </c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25"/>
      <c r="AU143" s="34"/>
      <c r="AV143" s="34"/>
      <c r="AW143" s="34"/>
    </row>
    <row r="144" ht="15.0" customHeight="1">
      <c r="A144" s="23" t="s">
        <v>169</v>
      </c>
      <c r="B144" s="35">
        <v>2.0</v>
      </c>
      <c r="C144" s="35">
        <v>2.0</v>
      </c>
      <c r="D144" s="35">
        <v>2.0</v>
      </c>
      <c r="E144" s="35">
        <v>2.0</v>
      </c>
      <c r="F144" s="3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35">
        <v>1.0</v>
      </c>
      <c r="V144" s="35">
        <v>-3.0</v>
      </c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25"/>
      <c r="AU144" s="34"/>
      <c r="AV144" s="34"/>
      <c r="AW144" s="34"/>
    </row>
    <row r="145" ht="15.0" customHeight="1">
      <c r="A145" s="23" t="s">
        <v>170</v>
      </c>
      <c r="B145" s="35">
        <v>2.0</v>
      </c>
      <c r="C145" s="35">
        <v>2.0</v>
      </c>
      <c r="D145" s="35">
        <v>2.0</v>
      </c>
      <c r="E145" s="35">
        <v>2.0</v>
      </c>
      <c r="F145" s="3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35">
        <v>1.0</v>
      </c>
      <c r="V145" s="35">
        <v>-3.0</v>
      </c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25"/>
      <c r="AU145" s="34"/>
      <c r="AV145" s="34"/>
      <c r="AW145" s="34"/>
    </row>
    <row r="146" ht="15.0" customHeight="1">
      <c r="A146" s="23" t="s">
        <v>171</v>
      </c>
      <c r="B146" s="35">
        <v>2.0</v>
      </c>
      <c r="C146" s="35">
        <v>2.0</v>
      </c>
      <c r="D146" s="35">
        <v>2.0</v>
      </c>
      <c r="E146" s="35">
        <v>2.0</v>
      </c>
      <c r="F146" s="3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35">
        <v>1.0</v>
      </c>
      <c r="V146" s="35">
        <v>-3.0</v>
      </c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25"/>
      <c r="AU146" s="34"/>
      <c r="AV146" s="34"/>
      <c r="AW146" s="34"/>
    </row>
    <row r="147" ht="15.0" customHeight="1">
      <c r="A147" s="23" t="s">
        <v>172</v>
      </c>
      <c r="B147" s="35">
        <v>2.0</v>
      </c>
      <c r="C147" s="35">
        <v>2.0</v>
      </c>
      <c r="D147" s="35">
        <v>2.0</v>
      </c>
      <c r="E147" s="35">
        <v>2.0</v>
      </c>
      <c r="F147" s="3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35">
        <v>1.0</v>
      </c>
      <c r="V147" s="35">
        <v>-3.0</v>
      </c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25"/>
      <c r="AU147" s="34"/>
      <c r="AV147" s="34"/>
      <c r="AW147" s="34"/>
    </row>
    <row r="148" ht="15.0" customHeight="1">
      <c r="A148" s="23" t="s">
        <v>173</v>
      </c>
      <c r="B148" s="35">
        <v>2.0</v>
      </c>
      <c r="C148" s="35">
        <v>2.0</v>
      </c>
      <c r="D148" s="35">
        <v>2.0</v>
      </c>
      <c r="E148" s="35">
        <v>2.0</v>
      </c>
      <c r="F148" s="3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35">
        <v>1.0</v>
      </c>
      <c r="V148" s="35">
        <v>-3.0</v>
      </c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25"/>
      <c r="AU148" s="34"/>
      <c r="AV148" s="34"/>
      <c r="AW148" s="34"/>
    </row>
    <row r="149" ht="15.0" customHeight="1">
      <c r="A149" s="23" t="s">
        <v>174</v>
      </c>
      <c r="B149" s="35">
        <v>2.0</v>
      </c>
      <c r="C149" s="35">
        <v>2.0</v>
      </c>
      <c r="D149" s="35">
        <v>2.0</v>
      </c>
      <c r="E149" s="35">
        <v>2.0</v>
      </c>
      <c r="F149" s="3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35">
        <v>1.0</v>
      </c>
      <c r="V149" s="35">
        <v>-3.0</v>
      </c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25"/>
      <c r="AU149" s="34"/>
      <c r="AV149" s="34"/>
      <c r="AW149" s="34"/>
    </row>
    <row r="150" ht="15.0" customHeight="1">
      <c r="A150" s="23" t="s">
        <v>175</v>
      </c>
      <c r="B150" s="35">
        <v>2.0</v>
      </c>
      <c r="C150" s="35">
        <v>2.0</v>
      </c>
      <c r="D150" s="35">
        <v>2.0</v>
      </c>
      <c r="E150" s="35">
        <v>2.0</v>
      </c>
      <c r="F150" s="3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35">
        <v>1.0</v>
      </c>
      <c r="V150" s="35">
        <v>-3.0</v>
      </c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25"/>
      <c r="AU150" s="34"/>
      <c r="AV150" s="34"/>
      <c r="AW150" s="34"/>
    </row>
    <row r="151" ht="15.0" customHeight="1">
      <c r="A151" s="23" t="s">
        <v>176</v>
      </c>
      <c r="B151" s="35">
        <v>2.0</v>
      </c>
      <c r="C151" s="35">
        <v>2.0</v>
      </c>
      <c r="D151" s="35">
        <v>2.0</v>
      </c>
      <c r="E151" s="35">
        <v>2.0</v>
      </c>
      <c r="F151" s="3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35">
        <v>1.0</v>
      </c>
      <c r="V151" s="35">
        <v>-3.0</v>
      </c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25"/>
      <c r="AU151" s="34"/>
      <c r="AV151" s="34"/>
      <c r="AW151" s="34"/>
    </row>
    <row r="152" ht="15.0" customHeight="1">
      <c r="A152" s="23" t="s">
        <v>177</v>
      </c>
      <c r="B152" s="35">
        <v>2.0</v>
      </c>
      <c r="C152" s="35">
        <v>2.0</v>
      </c>
      <c r="D152" s="35">
        <v>2.0</v>
      </c>
      <c r="E152" s="35">
        <v>2.0</v>
      </c>
      <c r="F152" s="3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35">
        <v>1.0</v>
      </c>
      <c r="V152" s="35">
        <v>-3.0</v>
      </c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25"/>
      <c r="AU152" s="34"/>
      <c r="AV152" s="34"/>
      <c r="AW152" s="34"/>
    </row>
    <row r="153" ht="15.0" customHeight="1">
      <c r="A153" s="23" t="s">
        <v>178</v>
      </c>
      <c r="B153" s="35">
        <v>2.0</v>
      </c>
      <c r="C153" s="35">
        <v>2.0</v>
      </c>
      <c r="D153" s="35">
        <v>2.0</v>
      </c>
      <c r="E153" s="35">
        <v>2.0</v>
      </c>
      <c r="F153" s="3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35">
        <v>1.0</v>
      </c>
      <c r="V153" s="35">
        <v>-3.0</v>
      </c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25"/>
      <c r="AU153" s="34"/>
      <c r="AV153" s="34"/>
      <c r="AW153" s="34"/>
    </row>
    <row r="154" ht="15.0" customHeight="1">
      <c r="A154" s="23" t="s">
        <v>179</v>
      </c>
      <c r="B154" s="35">
        <v>2.0</v>
      </c>
      <c r="C154" s="35">
        <v>2.0</v>
      </c>
      <c r="D154" s="35">
        <v>2.0</v>
      </c>
      <c r="E154" s="35">
        <v>2.0</v>
      </c>
      <c r="F154" s="3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35">
        <v>1.0</v>
      </c>
      <c r="V154" s="35">
        <v>-3.0</v>
      </c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25"/>
      <c r="AU154" s="34"/>
      <c r="AV154" s="34"/>
      <c r="AW154" s="34"/>
    </row>
    <row r="155" ht="15.0" customHeight="1">
      <c r="A155" s="23" t="s">
        <v>180</v>
      </c>
      <c r="B155" s="35">
        <v>2.0</v>
      </c>
      <c r="C155" s="35">
        <v>2.0</v>
      </c>
      <c r="D155" s="35">
        <v>2.0</v>
      </c>
      <c r="E155" s="35">
        <v>2.0</v>
      </c>
      <c r="F155" s="3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35">
        <v>1.0</v>
      </c>
      <c r="V155" s="35">
        <v>-3.0</v>
      </c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25"/>
      <c r="AU155" s="34"/>
      <c r="AV155" s="34"/>
      <c r="AW155" s="34"/>
    </row>
    <row r="156" ht="15.0" customHeight="1">
      <c r="A156" s="23" t="s">
        <v>181</v>
      </c>
      <c r="B156" s="35">
        <v>2.0</v>
      </c>
      <c r="C156" s="35">
        <v>2.0</v>
      </c>
      <c r="D156" s="35">
        <v>2.0</v>
      </c>
      <c r="E156" s="35">
        <v>2.0</v>
      </c>
      <c r="F156" s="3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35">
        <v>1.0</v>
      </c>
      <c r="V156" s="35">
        <v>-3.0</v>
      </c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25"/>
      <c r="AU156" s="34"/>
      <c r="AV156" s="34"/>
      <c r="AW156" s="34"/>
    </row>
    <row r="157" ht="15.0" customHeight="1">
      <c r="A157" s="23" t="s">
        <v>182</v>
      </c>
      <c r="B157" s="35">
        <v>2.0</v>
      </c>
      <c r="C157" s="35">
        <v>2.0</v>
      </c>
      <c r="D157" s="35">
        <v>2.0</v>
      </c>
      <c r="E157" s="35">
        <v>2.0</v>
      </c>
      <c r="F157" s="3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35">
        <v>1.0</v>
      </c>
      <c r="V157" s="35">
        <v>-3.0</v>
      </c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25"/>
      <c r="AU157" s="34"/>
      <c r="AV157" s="34"/>
      <c r="AW157" s="34"/>
    </row>
    <row r="158" ht="15.0" customHeight="1">
      <c r="A158" s="23" t="s">
        <v>183</v>
      </c>
      <c r="B158" s="35">
        <v>2.0</v>
      </c>
      <c r="C158" s="35">
        <v>2.0</v>
      </c>
      <c r="D158" s="35">
        <v>2.0</v>
      </c>
      <c r="E158" s="35">
        <v>2.0</v>
      </c>
      <c r="F158" s="3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35">
        <v>1.0</v>
      </c>
      <c r="V158" s="35">
        <v>-3.0</v>
      </c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25"/>
      <c r="AU158" s="34"/>
      <c r="AV158" s="34"/>
      <c r="AW158" s="34"/>
    </row>
    <row r="159" ht="15.0" customHeight="1">
      <c r="A159" s="23" t="s">
        <v>184</v>
      </c>
      <c r="B159" s="35">
        <v>2.0</v>
      </c>
      <c r="C159" s="35">
        <v>2.0</v>
      </c>
      <c r="D159" s="35">
        <v>2.0</v>
      </c>
      <c r="E159" s="35">
        <v>2.0</v>
      </c>
      <c r="F159" s="3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35">
        <v>1.0</v>
      </c>
      <c r="V159" s="35">
        <v>-3.0</v>
      </c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25"/>
      <c r="AU159" s="34"/>
      <c r="AV159" s="34"/>
      <c r="AW159" s="34"/>
    </row>
    <row r="160" ht="15.0" customHeight="1">
      <c r="A160" s="23" t="s">
        <v>185</v>
      </c>
      <c r="B160" s="35">
        <v>2.0</v>
      </c>
      <c r="C160" s="35">
        <v>2.0</v>
      </c>
      <c r="D160" s="35">
        <v>2.0</v>
      </c>
      <c r="E160" s="35">
        <v>2.0</v>
      </c>
      <c r="F160" s="3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35">
        <v>1.0</v>
      </c>
      <c r="V160" s="35">
        <v>-3.0</v>
      </c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25"/>
      <c r="AU160" s="34"/>
      <c r="AV160" s="34"/>
      <c r="AW160" s="34"/>
    </row>
    <row r="161" ht="15.0" customHeight="1">
      <c r="A161" s="23" t="s">
        <v>186</v>
      </c>
      <c r="B161" s="35">
        <v>2.0</v>
      </c>
      <c r="C161" s="35">
        <v>2.0</v>
      </c>
      <c r="D161" s="35">
        <v>2.0</v>
      </c>
      <c r="E161" s="35">
        <v>2.0</v>
      </c>
      <c r="F161" s="3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35">
        <v>1.0</v>
      </c>
      <c r="V161" s="35">
        <v>-3.0</v>
      </c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25"/>
      <c r="AU161" s="34"/>
      <c r="AV161" s="34"/>
      <c r="AW161" s="34"/>
    </row>
    <row r="162" ht="15.0" customHeight="1">
      <c r="A162" s="23" t="s">
        <v>187</v>
      </c>
      <c r="B162" s="35">
        <v>2.0</v>
      </c>
      <c r="C162" s="35">
        <v>2.0</v>
      </c>
      <c r="D162" s="35">
        <v>2.0</v>
      </c>
      <c r="E162" s="35">
        <v>2.0</v>
      </c>
      <c r="F162" s="3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35">
        <v>1.0</v>
      </c>
      <c r="V162" s="35">
        <v>-3.0</v>
      </c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25"/>
      <c r="AU162" s="34"/>
      <c r="AV162" s="34"/>
      <c r="AW162" s="34"/>
    </row>
    <row r="163" ht="15.0" customHeight="1">
      <c r="A163" s="23" t="s">
        <v>188</v>
      </c>
      <c r="B163" s="35">
        <v>2.0</v>
      </c>
      <c r="C163" s="35">
        <v>2.0</v>
      </c>
      <c r="D163" s="35">
        <v>2.0</v>
      </c>
      <c r="E163" s="35">
        <v>2.0</v>
      </c>
      <c r="F163" s="3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35">
        <v>1.0</v>
      </c>
      <c r="V163" s="35">
        <v>-3.0</v>
      </c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25"/>
      <c r="AU163" s="34"/>
      <c r="AV163" s="34"/>
      <c r="AW163" s="34"/>
    </row>
    <row r="164" ht="15.0" customHeight="1">
      <c r="A164" s="23" t="s">
        <v>189</v>
      </c>
      <c r="B164" s="35">
        <v>2.0</v>
      </c>
      <c r="C164" s="35">
        <v>2.0</v>
      </c>
      <c r="D164" s="35">
        <v>2.0</v>
      </c>
      <c r="E164" s="35">
        <v>2.0</v>
      </c>
      <c r="F164" s="3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35">
        <v>1.0</v>
      </c>
      <c r="V164" s="35">
        <v>-3.0</v>
      </c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25"/>
      <c r="AU164" s="34"/>
      <c r="AV164" s="34"/>
      <c r="AW164" s="34"/>
    </row>
    <row r="165" ht="15.0" customHeight="1">
      <c r="A165" s="23" t="s">
        <v>190</v>
      </c>
      <c r="B165" s="35">
        <v>2.0</v>
      </c>
      <c r="C165" s="35">
        <v>2.0</v>
      </c>
      <c r="D165" s="35">
        <v>2.0</v>
      </c>
      <c r="E165" s="35">
        <v>2.0</v>
      </c>
      <c r="F165" s="3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35">
        <v>1.0</v>
      </c>
      <c r="V165" s="35">
        <v>-3.0</v>
      </c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25"/>
      <c r="AU165" s="34"/>
      <c r="AV165" s="34"/>
      <c r="AW165" s="34"/>
    </row>
    <row r="166" ht="15.0" customHeight="1">
      <c r="A166" s="23" t="s">
        <v>191</v>
      </c>
      <c r="B166" s="35">
        <v>2.0</v>
      </c>
      <c r="C166" s="35">
        <v>2.0</v>
      </c>
      <c r="D166" s="35">
        <v>2.0</v>
      </c>
      <c r="E166" s="35">
        <v>2.0</v>
      </c>
      <c r="F166" s="3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35">
        <v>1.0</v>
      </c>
      <c r="V166" s="35">
        <v>-3.0</v>
      </c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25"/>
      <c r="AU166" s="34"/>
      <c r="AV166" s="34"/>
      <c r="AW166" s="34"/>
    </row>
    <row r="167" ht="15.0" customHeight="1">
      <c r="A167" s="23" t="s">
        <v>192</v>
      </c>
      <c r="B167" s="35">
        <v>2.0</v>
      </c>
      <c r="C167" s="35">
        <v>2.0</v>
      </c>
      <c r="D167" s="35">
        <v>2.0</v>
      </c>
      <c r="E167" s="35">
        <v>2.0</v>
      </c>
      <c r="F167" s="3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35">
        <v>1.0</v>
      </c>
      <c r="V167" s="35">
        <v>-3.0</v>
      </c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25"/>
      <c r="AU167" s="34"/>
      <c r="AV167" s="34"/>
      <c r="AW167" s="34"/>
    </row>
    <row r="168" ht="15.0" customHeight="1">
      <c r="A168" s="23" t="s">
        <v>193</v>
      </c>
      <c r="B168" s="35">
        <v>2.0</v>
      </c>
      <c r="C168" s="35">
        <v>2.0</v>
      </c>
      <c r="D168" s="35">
        <v>2.0</v>
      </c>
      <c r="E168" s="35">
        <v>2.0</v>
      </c>
      <c r="F168" s="3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35">
        <v>1.0</v>
      </c>
      <c r="V168" s="35">
        <v>-3.0</v>
      </c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25"/>
      <c r="AU168" s="34"/>
      <c r="AV168" s="34"/>
      <c r="AW168" s="34"/>
    </row>
    <row r="169" ht="15.0" customHeight="1">
      <c r="A169" s="23" t="s">
        <v>194</v>
      </c>
      <c r="B169" s="35">
        <v>2.0</v>
      </c>
      <c r="C169" s="35">
        <v>2.0</v>
      </c>
      <c r="D169" s="35">
        <v>2.0</v>
      </c>
      <c r="E169" s="35">
        <v>2.0</v>
      </c>
      <c r="F169" s="3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35">
        <v>1.0</v>
      </c>
      <c r="V169" s="35">
        <v>-3.0</v>
      </c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25"/>
      <c r="AU169" s="34"/>
      <c r="AV169" s="34"/>
      <c r="AW169" s="34"/>
    </row>
    <row r="170" ht="15.0" customHeight="1">
      <c r="A170" s="23" t="s">
        <v>195</v>
      </c>
      <c r="B170" s="35">
        <v>2.0</v>
      </c>
      <c r="C170" s="35">
        <v>2.0</v>
      </c>
      <c r="D170" s="35">
        <v>2.0</v>
      </c>
      <c r="E170" s="35">
        <v>2.0</v>
      </c>
      <c r="F170" s="3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35">
        <v>1.0</v>
      </c>
      <c r="V170" s="35">
        <v>-3.0</v>
      </c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25"/>
      <c r="AU170" s="34"/>
      <c r="AV170" s="34"/>
      <c r="AW170" s="34"/>
    </row>
    <row r="171" ht="15.0" customHeight="1">
      <c r="A171" s="23" t="s">
        <v>196</v>
      </c>
      <c r="B171" s="35">
        <v>2.0</v>
      </c>
      <c r="C171" s="35">
        <v>2.0</v>
      </c>
      <c r="D171" s="35">
        <v>2.0</v>
      </c>
      <c r="E171" s="35">
        <v>2.0</v>
      </c>
      <c r="F171" s="3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35">
        <v>1.0</v>
      </c>
      <c r="V171" s="35">
        <v>-3.0</v>
      </c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25"/>
      <c r="AU171" s="34"/>
      <c r="AV171" s="34"/>
      <c r="AW171" s="34"/>
    </row>
    <row r="172" ht="15.0" customHeight="1">
      <c r="A172" s="23" t="s">
        <v>197</v>
      </c>
      <c r="B172" s="35">
        <v>2.0</v>
      </c>
      <c r="C172" s="35">
        <v>2.0</v>
      </c>
      <c r="D172" s="35">
        <v>2.0</v>
      </c>
      <c r="E172" s="35">
        <v>2.0</v>
      </c>
      <c r="F172" s="3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35">
        <v>1.0</v>
      </c>
      <c r="V172" s="35">
        <v>-3.0</v>
      </c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25"/>
      <c r="AU172" s="34"/>
      <c r="AV172" s="34"/>
      <c r="AW172" s="34"/>
    </row>
    <row r="173" ht="15.0" customHeight="1">
      <c r="A173" s="23" t="s">
        <v>198</v>
      </c>
      <c r="B173" s="35">
        <v>2.0</v>
      </c>
      <c r="C173" s="35">
        <v>2.0</v>
      </c>
      <c r="D173" s="35">
        <v>2.0</v>
      </c>
      <c r="E173" s="35">
        <v>2.0</v>
      </c>
      <c r="F173" s="3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35">
        <v>1.0</v>
      </c>
      <c r="V173" s="35">
        <v>-3.0</v>
      </c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25"/>
      <c r="AU173" s="34"/>
      <c r="AV173" s="34"/>
      <c r="AW173" s="34"/>
    </row>
    <row r="174" ht="15.0" customHeight="1">
      <c r="A174" s="23" t="s">
        <v>199</v>
      </c>
      <c r="B174" s="35">
        <v>2.0</v>
      </c>
      <c r="C174" s="35">
        <v>2.0</v>
      </c>
      <c r="D174" s="35">
        <v>2.0</v>
      </c>
      <c r="E174" s="35">
        <v>2.0</v>
      </c>
      <c r="F174" s="3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35">
        <v>1.0</v>
      </c>
      <c r="V174" s="35">
        <v>-3.0</v>
      </c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25"/>
      <c r="AU174" s="34"/>
      <c r="AV174" s="34"/>
      <c r="AW174" s="34"/>
    </row>
    <row r="175" ht="15.0" customHeight="1">
      <c r="A175" s="23" t="s">
        <v>200</v>
      </c>
      <c r="B175" s="35">
        <v>2.0</v>
      </c>
      <c r="C175" s="35">
        <v>2.0</v>
      </c>
      <c r="D175" s="35">
        <v>2.0</v>
      </c>
      <c r="E175" s="35">
        <v>2.0</v>
      </c>
      <c r="F175" s="3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35">
        <v>1.0</v>
      </c>
      <c r="V175" s="35">
        <v>-3.0</v>
      </c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25"/>
      <c r="AU175" s="34"/>
      <c r="AV175" s="34"/>
      <c r="AW175" s="34"/>
    </row>
    <row r="176" ht="15.0" customHeight="1">
      <c r="A176" s="23" t="s">
        <v>201</v>
      </c>
      <c r="B176" s="35">
        <v>2.0</v>
      </c>
      <c r="C176" s="35">
        <v>2.0</v>
      </c>
      <c r="D176" s="35">
        <v>2.0</v>
      </c>
      <c r="E176" s="35">
        <v>2.0</v>
      </c>
      <c r="F176" s="3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35">
        <v>1.0</v>
      </c>
      <c r="V176" s="35">
        <v>-3.0</v>
      </c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25"/>
      <c r="AU176" s="34"/>
      <c r="AV176" s="34"/>
      <c r="AW176" s="34"/>
    </row>
    <row r="177" ht="15.0" customHeight="1">
      <c r="A177" s="23" t="s">
        <v>202</v>
      </c>
      <c r="B177" s="35">
        <v>2.0</v>
      </c>
      <c r="C177" s="35">
        <v>2.0</v>
      </c>
      <c r="D177" s="35">
        <v>2.0</v>
      </c>
      <c r="E177" s="35">
        <v>2.0</v>
      </c>
      <c r="F177" s="3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35">
        <v>1.0</v>
      </c>
      <c r="V177" s="35">
        <v>-3.0</v>
      </c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25"/>
      <c r="AU177" s="34"/>
      <c r="AV177" s="34"/>
      <c r="AW177" s="34"/>
    </row>
    <row r="178" ht="15.0" customHeight="1">
      <c r="A178" s="23" t="s">
        <v>203</v>
      </c>
      <c r="B178" s="35">
        <v>2.0</v>
      </c>
      <c r="C178" s="35">
        <v>2.0</v>
      </c>
      <c r="D178" s="35">
        <v>2.0</v>
      </c>
      <c r="E178" s="35">
        <v>2.0</v>
      </c>
      <c r="F178" s="3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35">
        <v>1.0</v>
      </c>
      <c r="V178" s="35">
        <v>-3.0</v>
      </c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25"/>
      <c r="AU178" s="34"/>
      <c r="AV178" s="34"/>
      <c r="AW178" s="34"/>
    </row>
    <row r="179" ht="15.0" customHeight="1">
      <c r="A179" s="23" t="s">
        <v>204</v>
      </c>
      <c r="B179" s="35">
        <v>2.0</v>
      </c>
      <c r="C179" s="35">
        <v>2.0</v>
      </c>
      <c r="D179" s="35">
        <v>2.0</v>
      </c>
      <c r="E179" s="35">
        <v>2.0</v>
      </c>
      <c r="F179" s="3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35">
        <v>1.0</v>
      </c>
      <c r="V179" s="35">
        <v>-3.0</v>
      </c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25"/>
      <c r="AU179" s="34"/>
      <c r="AV179" s="34"/>
      <c r="AW179" s="34"/>
    </row>
    <row r="180" ht="15.0" customHeight="1">
      <c r="A180" s="23" t="s">
        <v>205</v>
      </c>
      <c r="B180" s="35">
        <v>2.0</v>
      </c>
      <c r="C180" s="35">
        <v>2.0</v>
      </c>
      <c r="D180" s="35">
        <v>2.0</v>
      </c>
      <c r="E180" s="35">
        <v>2.0</v>
      </c>
      <c r="F180" s="3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35">
        <v>1.0</v>
      </c>
      <c r="V180" s="35">
        <v>-3.0</v>
      </c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25"/>
      <c r="AU180" s="34"/>
      <c r="AV180" s="34"/>
      <c r="AW180" s="34"/>
    </row>
    <row r="181" ht="15.0" customHeight="1">
      <c r="A181" s="23" t="s">
        <v>206</v>
      </c>
      <c r="B181" s="35">
        <v>2.0</v>
      </c>
      <c r="C181" s="35">
        <v>2.0</v>
      </c>
      <c r="D181" s="35">
        <v>2.0</v>
      </c>
      <c r="E181" s="35">
        <v>2.0</v>
      </c>
      <c r="F181" s="3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35">
        <v>1.0</v>
      </c>
      <c r="V181" s="35">
        <v>-3.0</v>
      </c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25"/>
      <c r="AU181" s="34"/>
      <c r="AV181" s="34"/>
      <c r="AW181" s="34"/>
    </row>
    <row r="182" ht="15.0" customHeight="1">
      <c r="A182" s="23" t="s">
        <v>207</v>
      </c>
      <c r="B182" s="35">
        <v>2.0</v>
      </c>
      <c r="C182" s="35">
        <v>2.0</v>
      </c>
      <c r="D182" s="35">
        <v>2.0</v>
      </c>
      <c r="E182" s="35">
        <v>2.0</v>
      </c>
      <c r="F182" s="3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35">
        <v>1.0</v>
      </c>
      <c r="V182" s="35">
        <v>-3.0</v>
      </c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25"/>
      <c r="AU182" s="34"/>
      <c r="AV182" s="34"/>
      <c r="AW182" s="34"/>
    </row>
    <row r="183" ht="15.0" customHeight="1">
      <c r="A183" s="23" t="s">
        <v>208</v>
      </c>
      <c r="B183" s="35">
        <v>2.0</v>
      </c>
      <c r="C183" s="35">
        <v>2.0</v>
      </c>
      <c r="D183" s="35">
        <v>2.0</v>
      </c>
      <c r="E183" s="35">
        <v>2.0</v>
      </c>
      <c r="F183" s="3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35">
        <v>1.0</v>
      </c>
      <c r="V183" s="35">
        <v>-3.0</v>
      </c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25"/>
      <c r="AU183" s="34"/>
      <c r="AV183" s="34"/>
      <c r="AW183" s="34"/>
    </row>
    <row r="184" ht="15.0" customHeight="1">
      <c r="A184" s="23" t="s">
        <v>209</v>
      </c>
      <c r="B184" s="35">
        <v>2.0</v>
      </c>
      <c r="C184" s="35">
        <v>2.0</v>
      </c>
      <c r="D184" s="35">
        <v>2.0</v>
      </c>
      <c r="E184" s="35">
        <v>2.0</v>
      </c>
      <c r="F184" s="3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35">
        <v>1.0</v>
      </c>
      <c r="V184" s="35">
        <v>-3.0</v>
      </c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25"/>
      <c r="AU184" s="34"/>
      <c r="AV184" s="34"/>
      <c r="AW184" s="34"/>
    </row>
    <row r="185" ht="15.0" customHeight="1">
      <c r="A185" s="23" t="s">
        <v>210</v>
      </c>
      <c r="B185" s="35">
        <v>2.0</v>
      </c>
      <c r="C185" s="35">
        <v>2.0</v>
      </c>
      <c r="D185" s="35">
        <v>2.0</v>
      </c>
      <c r="E185" s="35">
        <v>2.0</v>
      </c>
      <c r="F185" s="3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35">
        <v>1.0</v>
      </c>
      <c r="V185" s="35">
        <v>-3.0</v>
      </c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25"/>
      <c r="AU185" s="34"/>
      <c r="AV185" s="34"/>
      <c r="AW185" s="34"/>
    </row>
    <row r="186" ht="15.0" customHeight="1">
      <c r="A186" s="23" t="s">
        <v>211</v>
      </c>
      <c r="B186" s="35">
        <v>2.0</v>
      </c>
      <c r="C186" s="35">
        <v>2.0</v>
      </c>
      <c r="D186" s="35">
        <v>2.0</v>
      </c>
      <c r="E186" s="35">
        <v>2.0</v>
      </c>
      <c r="F186" s="3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35">
        <v>1.0</v>
      </c>
      <c r="V186" s="35">
        <v>-3.0</v>
      </c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25"/>
      <c r="AU186" s="34"/>
      <c r="AV186" s="34"/>
      <c r="AW186" s="34"/>
    </row>
    <row r="187" ht="15.0" customHeight="1">
      <c r="A187" s="23" t="s">
        <v>212</v>
      </c>
      <c r="B187" s="35">
        <v>2.0</v>
      </c>
      <c r="C187" s="35">
        <v>2.0</v>
      </c>
      <c r="D187" s="35">
        <v>2.0</v>
      </c>
      <c r="E187" s="35">
        <v>2.0</v>
      </c>
      <c r="F187" s="3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35">
        <v>1.0</v>
      </c>
      <c r="V187" s="35">
        <v>-3.0</v>
      </c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25"/>
      <c r="AU187" s="34"/>
      <c r="AV187" s="34"/>
      <c r="AW187" s="34"/>
    </row>
    <row r="188" ht="15.0" customHeight="1">
      <c r="A188" s="23" t="s">
        <v>213</v>
      </c>
      <c r="B188" s="35">
        <v>2.0</v>
      </c>
      <c r="C188" s="35">
        <v>2.0</v>
      </c>
      <c r="D188" s="35">
        <v>2.0</v>
      </c>
      <c r="E188" s="35">
        <v>2.0</v>
      </c>
      <c r="F188" s="3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35">
        <v>1.0</v>
      </c>
      <c r="V188" s="35">
        <v>-3.0</v>
      </c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25"/>
      <c r="AU188" s="34"/>
      <c r="AV188" s="34"/>
      <c r="AW188" s="34"/>
    </row>
    <row r="189" ht="15.0" customHeight="1">
      <c r="A189" s="23" t="s">
        <v>214</v>
      </c>
      <c r="B189" s="35">
        <v>2.0</v>
      </c>
      <c r="C189" s="35">
        <v>2.0</v>
      </c>
      <c r="D189" s="35">
        <v>2.0</v>
      </c>
      <c r="E189" s="35">
        <v>2.0</v>
      </c>
      <c r="F189" s="3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35">
        <v>1.0</v>
      </c>
      <c r="V189" s="35">
        <v>-3.0</v>
      </c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25"/>
      <c r="AU189" s="34"/>
      <c r="AV189" s="34"/>
      <c r="AW189" s="34"/>
    </row>
    <row r="190" ht="15.0" customHeight="1">
      <c r="A190" s="23" t="s">
        <v>215</v>
      </c>
      <c r="B190" s="35">
        <v>2.0</v>
      </c>
      <c r="C190" s="35">
        <v>2.0</v>
      </c>
      <c r="D190" s="35">
        <v>2.0</v>
      </c>
      <c r="E190" s="35">
        <v>2.0</v>
      </c>
      <c r="F190" s="3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35">
        <v>1.0</v>
      </c>
      <c r="V190" s="35">
        <v>-3.0</v>
      </c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25"/>
      <c r="AU190" s="34"/>
      <c r="AV190" s="34"/>
      <c r="AW190" s="34"/>
    </row>
    <row r="191" ht="15.0" customHeight="1">
      <c r="A191" s="23" t="s">
        <v>216</v>
      </c>
      <c r="B191" s="35">
        <v>2.0</v>
      </c>
      <c r="C191" s="35">
        <v>2.0</v>
      </c>
      <c r="D191" s="35">
        <v>2.0</v>
      </c>
      <c r="E191" s="35">
        <v>2.0</v>
      </c>
      <c r="F191" s="3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35">
        <v>1.0</v>
      </c>
      <c r="V191" s="35">
        <v>-3.0</v>
      </c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25"/>
      <c r="AU191" s="34"/>
      <c r="AV191" s="34"/>
      <c r="AW191" s="34"/>
    </row>
    <row r="192" ht="15.0" customHeight="1">
      <c r="A192" s="23" t="s">
        <v>217</v>
      </c>
      <c r="B192" s="35">
        <v>2.0</v>
      </c>
      <c r="C192" s="35">
        <v>2.0</v>
      </c>
      <c r="D192" s="35">
        <v>2.0</v>
      </c>
      <c r="E192" s="35">
        <v>2.0</v>
      </c>
      <c r="F192" s="3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35">
        <v>1.0</v>
      </c>
      <c r="V192" s="35">
        <v>-3.0</v>
      </c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25"/>
      <c r="AU192" s="34"/>
      <c r="AV192" s="34"/>
      <c r="AW192" s="34"/>
    </row>
    <row r="193" ht="15.0" customHeight="1">
      <c r="A193" s="23" t="s">
        <v>218</v>
      </c>
      <c r="B193" s="35">
        <v>2.0</v>
      </c>
      <c r="C193" s="35">
        <v>2.0</v>
      </c>
      <c r="D193" s="35">
        <v>2.0</v>
      </c>
      <c r="E193" s="35">
        <v>2.0</v>
      </c>
      <c r="F193" s="3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35">
        <v>1.0</v>
      </c>
      <c r="V193" s="35">
        <v>-3.0</v>
      </c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25"/>
      <c r="AU193" s="34"/>
      <c r="AV193" s="34"/>
      <c r="AW193" s="34"/>
    </row>
    <row r="194" ht="15.0" customHeight="1">
      <c r="A194" s="23" t="s">
        <v>219</v>
      </c>
      <c r="B194" s="35">
        <v>2.0</v>
      </c>
      <c r="C194" s="35">
        <v>2.0</v>
      </c>
      <c r="D194" s="35">
        <v>2.0</v>
      </c>
      <c r="E194" s="35">
        <v>2.0</v>
      </c>
      <c r="F194" s="3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35">
        <v>1.0</v>
      </c>
      <c r="V194" s="35">
        <v>-3.0</v>
      </c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25"/>
      <c r="AU194" s="34"/>
      <c r="AV194" s="34"/>
      <c r="AW194" s="34"/>
    </row>
    <row r="195" ht="15.0" customHeight="1">
      <c r="A195" s="23" t="s">
        <v>220</v>
      </c>
      <c r="B195" s="35">
        <v>2.0</v>
      </c>
      <c r="C195" s="35">
        <v>2.0</v>
      </c>
      <c r="D195" s="35">
        <v>2.0</v>
      </c>
      <c r="E195" s="35">
        <v>2.0</v>
      </c>
      <c r="F195" s="3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35">
        <v>1.0</v>
      </c>
      <c r="V195" s="35">
        <v>-3.0</v>
      </c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25"/>
      <c r="AU195" s="34"/>
      <c r="AV195" s="34"/>
      <c r="AW195" s="34"/>
    </row>
    <row r="196" ht="15.0" customHeight="1">
      <c r="A196" s="23" t="s">
        <v>221</v>
      </c>
      <c r="B196" s="35">
        <v>2.0</v>
      </c>
      <c r="C196" s="35">
        <v>2.0</v>
      </c>
      <c r="D196" s="35">
        <v>2.0</v>
      </c>
      <c r="E196" s="35">
        <v>2.0</v>
      </c>
      <c r="F196" s="3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35">
        <v>1.0</v>
      </c>
      <c r="V196" s="35">
        <v>-3.0</v>
      </c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25"/>
      <c r="AU196" s="34"/>
      <c r="AV196" s="34"/>
      <c r="AW196" s="34"/>
    </row>
    <row r="197" ht="15.0" customHeight="1">
      <c r="A197" s="23" t="s">
        <v>222</v>
      </c>
      <c r="B197" s="35">
        <v>2.0</v>
      </c>
      <c r="C197" s="35">
        <v>2.0</v>
      </c>
      <c r="D197" s="35">
        <v>2.0</v>
      </c>
      <c r="E197" s="35">
        <v>2.0</v>
      </c>
      <c r="F197" s="3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35">
        <v>1.0</v>
      </c>
      <c r="V197" s="35">
        <v>-3.0</v>
      </c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25"/>
      <c r="AU197" s="34"/>
      <c r="AV197" s="34"/>
      <c r="AW197" s="34"/>
    </row>
    <row r="198" ht="15.0" customHeight="1">
      <c r="A198" s="23" t="s">
        <v>223</v>
      </c>
      <c r="B198" s="35">
        <v>2.0</v>
      </c>
      <c r="C198" s="35">
        <v>2.0</v>
      </c>
      <c r="D198" s="35">
        <v>2.0</v>
      </c>
      <c r="E198" s="35">
        <v>2.0</v>
      </c>
      <c r="F198" s="3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35">
        <v>1.0</v>
      </c>
      <c r="V198" s="35">
        <v>-3.0</v>
      </c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25"/>
      <c r="AU198" s="34"/>
      <c r="AV198" s="34"/>
      <c r="AW198" s="34"/>
    </row>
    <row r="199" ht="15.0" customHeight="1">
      <c r="A199" s="23" t="s">
        <v>224</v>
      </c>
      <c r="B199" s="35">
        <v>2.0</v>
      </c>
      <c r="C199" s="35">
        <v>2.0</v>
      </c>
      <c r="D199" s="35">
        <v>2.0</v>
      </c>
      <c r="E199" s="35">
        <v>2.0</v>
      </c>
      <c r="F199" s="3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35">
        <v>1.0</v>
      </c>
      <c r="V199" s="35">
        <v>-3.0</v>
      </c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25"/>
      <c r="AU199" s="34"/>
      <c r="AV199" s="34"/>
      <c r="AW199" s="34"/>
    </row>
    <row r="200" ht="15.0" customHeight="1">
      <c r="A200" s="23" t="s">
        <v>225</v>
      </c>
      <c r="B200" s="35">
        <v>2.0</v>
      </c>
      <c r="C200" s="35">
        <v>2.0</v>
      </c>
      <c r="D200" s="35">
        <v>2.0</v>
      </c>
      <c r="E200" s="35">
        <v>2.0</v>
      </c>
      <c r="F200" s="3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35">
        <v>1.0</v>
      </c>
      <c r="V200" s="35">
        <v>-3.0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25"/>
      <c r="AU200" s="34"/>
      <c r="AV200" s="34"/>
      <c r="AW200" s="34"/>
    </row>
    <row r="201" ht="15.0" customHeight="1">
      <c r="A201" s="23" t="s">
        <v>226</v>
      </c>
      <c r="B201" s="35">
        <v>2.0</v>
      </c>
      <c r="C201" s="35">
        <v>2.0</v>
      </c>
      <c r="D201" s="35">
        <v>2.0</v>
      </c>
      <c r="E201" s="35">
        <v>2.0</v>
      </c>
      <c r="F201" s="3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35">
        <v>1.0</v>
      </c>
      <c r="V201" s="35">
        <v>-3.0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25"/>
      <c r="AU201" s="34"/>
      <c r="AV201" s="34"/>
      <c r="AW201" s="34"/>
    </row>
    <row r="202" ht="15.0" customHeight="1">
      <c r="A202" s="23" t="s">
        <v>227</v>
      </c>
      <c r="B202" s="35">
        <v>2.0</v>
      </c>
      <c r="C202" s="35">
        <v>2.0</v>
      </c>
      <c r="D202" s="35">
        <v>2.0</v>
      </c>
      <c r="E202" s="35">
        <v>2.0</v>
      </c>
      <c r="F202" s="3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35">
        <v>1.0</v>
      </c>
      <c r="V202" s="35">
        <v>-3.0</v>
      </c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25"/>
      <c r="AU202" s="34"/>
      <c r="AV202" s="34"/>
      <c r="AW202" s="34"/>
    </row>
    <row r="203" ht="15.0" customHeight="1">
      <c r="A203" s="23" t="s">
        <v>228</v>
      </c>
      <c r="B203" s="35">
        <v>2.0</v>
      </c>
      <c r="C203" s="35">
        <v>2.0</v>
      </c>
      <c r="D203" s="35">
        <v>2.0</v>
      </c>
      <c r="E203" s="35">
        <v>2.0</v>
      </c>
      <c r="F203" s="3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35">
        <v>1.0</v>
      </c>
      <c r="V203" s="35">
        <v>-3.0</v>
      </c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25"/>
      <c r="AU203" s="34"/>
      <c r="AV203" s="34"/>
      <c r="AW203" s="34"/>
    </row>
    <row r="204" ht="15.0" customHeight="1">
      <c r="A204" s="23" t="s">
        <v>229</v>
      </c>
      <c r="B204" s="35">
        <v>2.0</v>
      </c>
      <c r="C204" s="35">
        <v>2.0</v>
      </c>
      <c r="D204" s="35">
        <v>2.0</v>
      </c>
      <c r="E204" s="35">
        <v>2.0</v>
      </c>
      <c r="F204" s="3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35">
        <v>1.0</v>
      </c>
      <c r="V204" s="35">
        <v>-3.0</v>
      </c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25"/>
      <c r="AU204" s="34"/>
      <c r="AV204" s="34"/>
      <c r="AW204" s="34"/>
    </row>
    <row r="205" ht="15.0" customHeight="1">
      <c r="A205" s="23" t="s">
        <v>230</v>
      </c>
      <c r="B205" s="35">
        <v>2.0</v>
      </c>
      <c r="C205" s="35">
        <v>2.0</v>
      </c>
      <c r="D205" s="35">
        <v>2.0</v>
      </c>
      <c r="E205" s="35">
        <v>2.0</v>
      </c>
      <c r="F205" s="3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35">
        <v>1.0</v>
      </c>
      <c r="V205" s="35">
        <v>-3.0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25"/>
      <c r="AU205" s="34"/>
      <c r="AV205" s="34"/>
      <c r="AW205" s="34"/>
    </row>
    <row r="206" ht="15.0" customHeight="1">
      <c r="A206" s="23" t="s">
        <v>231</v>
      </c>
      <c r="B206" s="35">
        <v>2.0</v>
      </c>
      <c r="C206" s="35">
        <v>2.0</v>
      </c>
      <c r="D206" s="35">
        <v>2.0</v>
      </c>
      <c r="E206" s="35">
        <v>2.0</v>
      </c>
      <c r="F206" s="3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35">
        <v>1.0</v>
      </c>
      <c r="V206" s="35">
        <v>-3.0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25"/>
      <c r="AU206" s="34"/>
      <c r="AV206" s="34"/>
      <c r="AW206" s="34"/>
    </row>
    <row r="207" ht="15.0" customHeight="1">
      <c r="A207" s="23" t="s">
        <v>232</v>
      </c>
      <c r="B207" s="35">
        <v>2.0</v>
      </c>
      <c r="C207" s="35">
        <v>2.0</v>
      </c>
      <c r="D207" s="35">
        <v>2.0</v>
      </c>
      <c r="E207" s="35">
        <v>2.0</v>
      </c>
      <c r="F207" s="3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35">
        <v>1.0</v>
      </c>
      <c r="V207" s="35">
        <v>-3.0</v>
      </c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25"/>
      <c r="AU207" s="34"/>
      <c r="AV207" s="34"/>
      <c r="AW207" s="34"/>
    </row>
    <row r="208" ht="15.0" customHeight="1">
      <c r="A208" s="23" t="s">
        <v>233</v>
      </c>
      <c r="B208" s="35">
        <v>2.0</v>
      </c>
      <c r="C208" s="35">
        <v>2.0</v>
      </c>
      <c r="D208" s="35">
        <v>2.0</v>
      </c>
      <c r="E208" s="35">
        <v>2.0</v>
      </c>
      <c r="F208" s="3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35">
        <v>1.0</v>
      </c>
      <c r="V208" s="35">
        <v>-3.0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25"/>
      <c r="AU208" s="34"/>
      <c r="AV208" s="34"/>
      <c r="AW208" s="34"/>
    </row>
    <row r="209" ht="15.0" customHeight="1">
      <c r="A209" s="23" t="s">
        <v>234</v>
      </c>
      <c r="B209" s="35">
        <v>2.0</v>
      </c>
      <c r="C209" s="35">
        <v>2.0</v>
      </c>
      <c r="D209" s="35">
        <v>2.0</v>
      </c>
      <c r="E209" s="35">
        <v>2.0</v>
      </c>
      <c r="F209" s="3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35">
        <v>1.0</v>
      </c>
      <c r="V209" s="35">
        <v>-3.0</v>
      </c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25"/>
      <c r="AU209" s="34"/>
      <c r="AV209" s="34"/>
      <c r="AW209" s="34"/>
    </row>
    <row r="210" ht="15.0" customHeight="1">
      <c r="A210" s="23" t="s">
        <v>235</v>
      </c>
      <c r="B210" s="35">
        <v>2.0</v>
      </c>
      <c r="C210" s="35">
        <v>2.0</v>
      </c>
      <c r="D210" s="35">
        <v>2.0</v>
      </c>
      <c r="E210" s="35">
        <v>2.0</v>
      </c>
      <c r="F210" s="3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35">
        <v>1.0</v>
      </c>
      <c r="V210" s="35">
        <v>-3.0</v>
      </c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25"/>
      <c r="AU210" s="34"/>
      <c r="AV210" s="34"/>
      <c r="AW210" s="34"/>
    </row>
    <row r="211" ht="15.0" customHeight="1">
      <c r="A211" s="23" t="s">
        <v>236</v>
      </c>
      <c r="B211" s="35">
        <v>2.0</v>
      </c>
      <c r="C211" s="35">
        <v>2.0</v>
      </c>
      <c r="D211" s="35">
        <v>2.0</v>
      </c>
      <c r="E211" s="35">
        <v>2.0</v>
      </c>
      <c r="F211" s="3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35">
        <v>1.0</v>
      </c>
      <c r="V211" s="35">
        <v>-3.0</v>
      </c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25"/>
      <c r="AU211" s="34"/>
      <c r="AV211" s="34"/>
      <c r="AW211" s="34"/>
    </row>
    <row r="212" ht="15.0" customHeight="1">
      <c r="A212" s="23" t="s">
        <v>237</v>
      </c>
      <c r="B212" s="35">
        <v>2.0</v>
      </c>
      <c r="C212" s="35">
        <v>2.0</v>
      </c>
      <c r="D212" s="35">
        <v>2.0</v>
      </c>
      <c r="E212" s="35">
        <v>2.0</v>
      </c>
      <c r="F212" s="3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35">
        <v>1.0</v>
      </c>
      <c r="V212" s="35">
        <v>-3.0</v>
      </c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25"/>
      <c r="AU212" s="34"/>
      <c r="AV212" s="34"/>
      <c r="AW212" s="34"/>
    </row>
    <row r="213" ht="15.0" customHeight="1">
      <c r="A213" s="23" t="s">
        <v>238</v>
      </c>
      <c r="B213" s="35">
        <v>2.0</v>
      </c>
      <c r="C213" s="35">
        <v>2.0</v>
      </c>
      <c r="D213" s="35">
        <v>2.0</v>
      </c>
      <c r="E213" s="35">
        <v>2.0</v>
      </c>
      <c r="F213" s="3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35">
        <v>1.0</v>
      </c>
      <c r="V213" s="35">
        <v>-3.0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25"/>
      <c r="AU213" s="34"/>
      <c r="AV213" s="34"/>
      <c r="AW213" s="34"/>
    </row>
    <row r="214" ht="15.0" customHeight="1">
      <c r="A214" s="23" t="s">
        <v>239</v>
      </c>
      <c r="B214" s="35">
        <v>2.0</v>
      </c>
      <c r="C214" s="35">
        <v>2.0</v>
      </c>
      <c r="D214" s="35">
        <v>2.0</v>
      </c>
      <c r="E214" s="35">
        <v>2.0</v>
      </c>
      <c r="F214" s="3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35">
        <v>1.0</v>
      </c>
      <c r="V214" s="35">
        <v>-3.0</v>
      </c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25"/>
      <c r="AU214" s="34"/>
      <c r="AV214" s="34"/>
      <c r="AW214" s="34"/>
    </row>
    <row r="215" ht="15.0" customHeight="1">
      <c r="A215" s="23" t="s">
        <v>240</v>
      </c>
      <c r="B215" s="35">
        <v>2.0</v>
      </c>
      <c r="C215" s="35">
        <v>2.0</v>
      </c>
      <c r="D215" s="35">
        <v>2.0</v>
      </c>
      <c r="E215" s="35">
        <v>2.0</v>
      </c>
      <c r="F215" s="3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35">
        <v>1.0</v>
      </c>
      <c r="V215" s="35">
        <v>-3.0</v>
      </c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25"/>
      <c r="AU215" s="34"/>
      <c r="AV215" s="34"/>
      <c r="AW215" s="34"/>
    </row>
    <row r="216" ht="15.0" customHeight="1">
      <c r="A216" s="23" t="s">
        <v>241</v>
      </c>
      <c r="B216" s="35">
        <v>2.0</v>
      </c>
      <c r="C216" s="35">
        <v>2.0</v>
      </c>
      <c r="D216" s="35">
        <v>2.0</v>
      </c>
      <c r="E216" s="35">
        <v>2.0</v>
      </c>
      <c r="F216" s="3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35">
        <v>1.0</v>
      </c>
      <c r="V216" s="35">
        <v>-3.0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25"/>
      <c r="AU216" s="34"/>
      <c r="AV216" s="34"/>
      <c r="AW216" s="34"/>
    </row>
    <row r="217" ht="15.0" customHeight="1">
      <c r="A217" s="23" t="s">
        <v>242</v>
      </c>
      <c r="B217" s="35">
        <v>2.0</v>
      </c>
      <c r="C217" s="35">
        <v>2.0</v>
      </c>
      <c r="D217" s="35">
        <v>2.0</v>
      </c>
      <c r="E217" s="35">
        <v>2.0</v>
      </c>
      <c r="F217" s="3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35">
        <v>1.0</v>
      </c>
      <c r="V217" s="35">
        <v>-3.0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25"/>
      <c r="AU217" s="34"/>
      <c r="AV217" s="34"/>
      <c r="AW217" s="34"/>
    </row>
    <row r="218" ht="15.0" customHeight="1">
      <c r="A218" s="23" t="s">
        <v>243</v>
      </c>
      <c r="B218" s="35">
        <v>2.0</v>
      </c>
      <c r="C218" s="35">
        <v>2.0</v>
      </c>
      <c r="D218" s="35">
        <v>2.0</v>
      </c>
      <c r="E218" s="35">
        <v>2.0</v>
      </c>
      <c r="F218" s="3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35">
        <v>1.0</v>
      </c>
      <c r="V218" s="35">
        <v>-3.0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25"/>
      <c r="AU218" s="34"/>
      <c r="AV218" s="34"/>
      <c r="AW218" s="34"/>
    </row>
    <row r="219" ht="15.0" customHeight="1">
      <c r="A219" s="23" t="s">
        <v>244</v>
      </c>
      <c r="B219" s="35">
        <v>2.0</v>
      </c>
      <c r="C219" s="35">
        <v>2.0</v>
      </c>
      <c r="D219" s="35">
        <v>2.0</v>
      </c>
      <c r="E219" s="35">
        <v>2.0</v>
      </c>
      <c r="F219" s="3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35">
        <v>1.0</v>
      </c>
      <c r="V219" s="35">
        <v>-3.0</v>
      </c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25"/>
      <c r="AU219" s="34"/>
      <c r="AV219" s="34"/>
      <c r="AW219" s="34"/>
    </row>
    <row r="220" ht="15.0" customHeight="1">
      <c r="A220" s="23" t="s">
        <v>245</v>
      </c>
      <c r="B220" s="35">
        <v>2.0</v>
      </c>
      <c r="C220" s="35">
        <v>2.0</v>
      </c>
      <c r="D220" s="35">
        <v>2.0</v>
      </c>
      <c r="E220" s="35">
        <v>2.0</v>
      </c>
      <c r="F220" s="3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35">
        <v>1.0</v>
      </c>
      <c r="V220" s="35">
        <v>-3.0</v>
      </c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25"/>
      <c r="AU220" s="34"/>
      <c r="AV220" s="34"/>
      <c r="AW220" s="34"/>
    </row>
    <row r="221" ht="15.0" customHeight="1">
      <c r="A221" s="23" t="s">
        <v>246</v>
      </c>
      <c r="B221" s="35">
        <v>2.0</v>
      </c>
      <c r="C221" s="35">
        <v>2.0</v>
      </c>
      <c r="D221" s="35">
        <v>2.0</v>
      </c>
      <c r="E221" s="35">
        <v>2.0</v>
      </c>
      <c r="F221" s="3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35">
        <v>1.0</v>
      </c>
      <c r="V221" s="35">
        <v>-3.0</v>
      </c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25"/>
      <c r="AU221" s="34"/>
      <c r="AV221" s="34"/>
      <c r="AW221" s="34"/>
    </row>
    <row r="222" ht="15.0" customHeight="1">
      <c r="A222" s="23" t="s">
        <v>247</v>
      </c>
      <c r="B222" s="35">
        <v>2.0</v>
      </c>
      <c r="C222" s="35">
        <v>2.0</v>
      </c>
      <c r="D222" s="35">
        <v>2.0</v>
      </c>
      <c r="E222" s="35">
        <v>2.0</v>
      </c>
      <c r="F222" s="3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35">
        <v>1.0</v>
      </c>
      <c r="V222" s="35">
        <v>-3.0</v>
      </c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25"/>
      <c r="AU222" s="34"/>
      <c r="AV222" s="34"/>
      <c r="AW222" s="34"/>
    </row>
    <row r="223" ht="15.0" customHeight="1">
      <c r="A223" s="23" t="s">
        <v>248</v>
      </c>
      <c r="B223" s="35">
        <v>2.0</v>
      </c>
      <c r="C223" s="35">
        <v>2.0</v>
      </c>
      <c r="D223" s="35">
        <v>2.0</v>
      </c>
      <c r="E223" s="35">
        <v>2.0</v>
      </c>
      <c r="F223" s="3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35">
        <v>1.0</v>
      </c>
      <c r="V223" s="35">
        <v>-3.0</v>
      </c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25"/>
      <c r="AU223" s="34"/>
      <c r="AV223" s="34"/>
      <c r="AW223" s="34"/>
    </row>
    <row r="224" ht="15.0" customHeight="1">
      <c r="A224" s="23" t="s">
        <v>249</v>
      </c>
      <c r="B224" s="35">
        <v>2.0</v>
      </c>
      <c r="C224" s="35">
        <v>2.0</v>
      </c>
      <c r="D224" s="35">
        <v>2.0</v>
      </c>
      <c r="E224" s="35">
        <v>2.0</v>
      </c>
      <c r="F224" s="3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35">
        <v>1.0</v>
      </c>
      <c r="V224" s="35">
        <v>-3.0</v>
      </c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25"/>
      <c r="AU224" s="34"/>
      <c r="AV224" s="34"/>
      <c r="AW224" s="34"/>
    </row>
    <row r="225" ht="15.0" customHeight="1">
      <c r="A225" s="23" t="s">
        <v>250</v>
      </c>
      <c r="B225" s="35">
        <v>2.0</v>
      </c>
      <c r="C225" s="35">
        <v>2.0</v>
      </c>
      <c r="D225" s="35">
        <v>2.0</v>
      </c>
      <c r="E225" s="35">
        <v>2.0</v>
      </c>
      <c r="F225" s="3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35">
        <v>1.0</v>
      </c>
      <c r="V225" s="35">
        <v>-3.0</v>
      </c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25"/>
      <c r="AU225" s="34"/>
      <c r="AV225" s="34"/>
      <c r="AW225" s="34"/>
    </row>
    <row r="226" ht="15.0" customHeight="1">
      <c r="A226" s="23" t="s">
        <v>251</v>
      </c>
      <c r="B226" s="35">
        <v>2.0</v>
      </c>
      <c r="C226" s="35">
        <v>2.0</v>
      </c>
      <c r="D226" s="35">
        <v>2.0</v>
      </c>
      <c r="E226" s="35">
        <v>2.0</v>
      </c>
      <c r="F226" s="3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35">
        <v>1.0</v>
      </c>
      <c r="V226" s="35">
        <v>-3.0</v>
      </c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25"/>
      <c r="AU226" s="34"/>
      <c r="AV226" s="34"/>
      <c r="AW226" s="34"/>
    </row>
    <row r="227" ht="15.0" customHeight="1">
      <c r="A227" s="23" t="s">
        <v>252</v>
      </c>
      <c r="B227" s="35">
        <v>2.0</v>
      </c>
      <c r="C227" s="35">
        <v>2.0</v>
      </c>
      <c r="D227" s="35">
        <v>2.0</v>
      </c>
      <c r="E227" s="35">
        <v>2.0</v>
      </c>
      <c r="F227" s="3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35">
        <v>1.0</v>
      </c>
      <c r="V227" s="35">
        <v>-3.0</v>
      </c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25"/>
      <c r="AU227" s="34"/>
      <c r="AV227" s="34"/>
      <c r="AW227" s="34"/>
    </row>
    <row r="228" ht="15.0" customHeight="1">
      <c r="A228" s="23" t="s">
        <v>253</v>
      </c>
      <c r="B228" s="35">
        <v>2.0</v>
      </c>
      <c r="C228" s="35">
        <v>2.0</v>
      </c>
      <c r="D228" s="35">
        <v>2.0</v>
      </c>
      <c r="E228" s="35">
        <v>2.0</v>
      </c>
      <c r="F228" s="3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35">
        <v>1.0</v>
      </c>
      <c r="V228" s="35">
        <v>-3.0</v>
      </c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25"/>
      <c r="AU228" s="34"/>
      <c r="AV228" s="34"/>
      <c r="AW228" s="34"/>
    </row>
    <row r="229" ht="15.0" customHeight="1">
      <c r="A229" s="23" t="s">
        <v>254</v>
      </c>
      <c r="B229" s="35">
        <v>2.0</v>
      </c>
      <c r="C229" s="35">
        <v>2.0</v>
      </c>
      <c r="D229" s="35">
        <v>2.0</v>
      </c>
      <c r="E229" s="35">
        <v>2.0</v>
      </c>
      <c r="F229" s="3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35">
        <v>1.0</v>
      </c>
      <c r="V229" s="35">
        <v>-3.0</v>
      </c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25"/>
      <c r="AU229" s="34"/>
      <c r="AV229" s="34"/>
      <c r="AW229" s="34"/>
    </row>
    <row r="230" ht="15.0" customHeight="1">
      <c r="A230" s="23" t="s">
        <v>255</v>
      </c>
      <c r="B230" s="35">
        <v>2.0</v>
      </c>
      <c r="C230" s="35">
        <v>2.0</v>
      </c>
      <c r="D230" s="35">
        <v>2.0</v>
      </c>
      <c r="E230" s="35">
        <v>2.0</v>
      </c>
      <c r="F230" s="3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35">
        <v>1.0</v>
      </c>
      <c r="V230" s="35">
        <v>-3.0</v>
      </c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25"/>
      <c r="AU230" s="34"/>
      <c r="AV230" s="34"/>
      <c r="AW230" s="34"/>
    </row>
    <row r="231" ht="15.0" customHeight="1">
      <c r="A231" s="23" t="s">
        <v>256</v>
      </c>
      <c r="B231" s="35">
        <v>2.0</v>
      </c>
      <c r="C231" s="35">
        <v>2.0</v>
      </c>
      <c r="D231" s="35">
        <v>2.0</v>
      </c>
      <c r="E231" s="35">
        <v>2.0</v>
      </c>
      <c r="F231" s="3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35">
        <v>1.0</v>
      </c>
      <c r="V231" s="35">
        <v>-3.0</v>
      </c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25"/>
      <c r="AU231" s="34"/>
      <c r="AV231" s="34"/>
      <c r="AW231" s="34"/>
    </row>
    <row r="232" ht="15.0" customHeight="1">
      <c r="A232" s="23" t="s">
        <v>257</v>
      </c>
      <c r="B232" s="35">
        <v>2.0</v>
      </c>
      <c r="C232" s="35">
        <v>2.0</v>
      </c>
      <c r="D232" s="35">
        <v>2.0</v>
      </c>
      <c r="E232" s="35">
        <v>2.0</v>
      </c>
      <c r="F232" s="3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35">
        <v>1.0</v>
      </c>
      <c r="V232" s="35">
        <v>-3.0</v>
      </c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25"/>
      <c r="AU232" s="34"/>
      <c r="AV232" s="34"/>
      <c r="AW232" s="34"/>
    </row>
    <row r="233" ht="15.0" customHeight="1">
      <c r="A233" s="23" t="s">
        <v>258</v>
      </c>
      <c r="B233" s="35">
        <v>2.0</v>
      </c>
      <c r="C233" s="35">
        <v>2.0</v>
      </c>
      <c r="D233" s="35">
        <v>2.0</v>
      </c>
      <c r="E233" s="35">
        <v>2.0</v>
      </c>
      <c r="F233" s="3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35">
        <v>1.0</v>
      </c>
      <c r="V233" s="35">
        <v>-3.0</v>
      </c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25"/>
      <c r="AU233" s="34"/>
      <c r="AV233" s="34"/>
      <c r="AW233" s="34"/>
    </row>
    <row r="234" ht="15.0" customHeight="1">
      <c r="A234" s="23" t="s">
        <v>259</v>
      </c>
      <c r="B234" s="35">
        <v>2.0</v>
      </c>
      <c r="C234" s="35">
        <v>2.0</v>
      </c>
      <c r="D234" s="35">
        <v>2.0</v>
      </c>
      <c r="E234" s="35">
        <v>2.0</v>
      </c>
      <c r="F234" s="3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35">
        <v>1.0</v>
      </c>
      <c r="V234" s="35">
        <v>-3.0</v>
      </c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25"/>
      <c r="AU234" s="34"/>
      <c r="AV234" s="34"/>
      <c r="AW234" s="34"/>
    </row>
    <row r="235" ht="15.0" customHeight="1">
      <c r="A235" s="23" t="s">
        <v>260</v>
      </c>
      <c r="B235" s="35">
        <v>2.0</v>
      </c>
      <c r="C235" s="35">
        <v>2.0</v>
      </c>
      <c r="D235" s="35">
        <v>2.0</v>
      </c>
      <c r="E235" s="35">
        <v>2.0</v>
      </c>
      <c r="F235" s="3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35">
        <v>1.0</v>
      </c>
      <c r="V235" s="35">
        <v>-3.0</v>
      </c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25"/>
      <c r="AU235" s="34"/>
      <c r="AV235" s="34"/>
      <c r="AW235" s="34"/>
    </row>
    <row r="236" ht="15.0" customHeight="1">
      <c r="A236" s="23" t="s">
        <v>261</v>
      </c>
      <c r="B236" s="35">
        <v>2.0</v>
      </c>
      <c r="C236" s="35">
        <v>2.0</v>
      </c>
      <c r="D236" s="35">
        <v>2.0</v>
      </c>
      <c r="E236" s="35">
        <v>2.0</v>
      </c>
      <c r="F236" s="3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35">
        <v>1.0</v>
      </c>
      <c r="V236" s="35">
        <v>-3.0</v>
      </c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25"/>
      <c r="AU236" s="34"/>
      <c r="AV236" s="34"/>
      <c r="AW236" s="34"/>
    </row>
    <row r="237" ht="15.0" customHeight="1">
      <c r="A237" s="23" t="s">
        <v>262</v>
      </c>
      <c r="B237" s="35">
        <v>2.0</v>
      </c>
      <c r="C237" s="35">
        <v>2.0</v>
      </c>
      <c r="D237" s="35">
        <v>2.0</v>
      </c>
      <c r="E237" s="35">
        <v>2.0</v>
      </c>
      <c r="F237" s="3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35">
        <v>1.0</v>
      </c>
      <c r="V237" s="35">
        <v>-3.0</v>
      </c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25"/>
      <c r="AU237" s="34"/>
      <c r="AV237" s="34"/>
      <c r="AW237" s="34"/>
    </row>
    <row r="238" ht="15.0" customHeight="1">
      <c r="A238" s="23" t="s">
        <v>263</v>
      </c>
      <c r="B238" s="35">
        <v>2.0</v>
      </c>
      <c r="C238" s="35">
        <v>2.0</v>
      </c>
      <c r="D238" s="35">
        <v>2.0</v>
      </c>
      <c r="E238" s="35">
        <v>2.0</v>
      </c>
      <c r="F238" s="3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35">
        <v>1.0</v>
      </c>
      <c r="V238" s="35">
        <v>-3.0</v>
      </c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25"/>
      <c r="AU238" s="34"/>
      <c r="AV238" s="34"/>
      <c r="AW238" s="34"/>
    </row>
    <row r="239" ht="15.0" customHeight="1">
      <c r="A239" s="23" t="s">
        <v>264</v>
      </c>
      <c r="B239" s="35">
        <v>2.0</v>
      </c>
      <c r="C239" s="35">
        <v>2.0</v>
      </c>
      <c r="D239" s="35">
        <v>2.0</v>
      </c>
      <c r="E239" s="35">
        <v>2.0</v>
      </c>
      <c r="F239" s="3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35">
        <v>1.0</v>
      </c>
      <c r="V239" s="35">
        <v>-3.0</v>
      </c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25"/>
      <c r="AU239" s="34"/>
      <c r="AV239" s="34"/>
      <c r="AW239" s="34"/>
    </row>
    <row r="240" ht="15.0" customHeight="1">
      <c r="A240" s="23" t="s">
        <v>265</v>
      </c>
      <c r="B240" s="35">
        <v>2.0</v>
      </c>
      <c r="C240" s="35">
        <v>2.0</v>
      </c>
      <c r="D240" s="35">
        <v>2.0</v>
      </c>
      <c r="E240" s="35">
        <v>2.0</v>
      </c>
      <c r="F240" s="3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35">
        <v>1.0</v>
      </c>
      <c r="V240" s="35">
        <v>-3.0</v>
      </c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25"/>
      <c r="AU240" s="34"/>
      <c r="AV240" s="34"/>
      <c r="AW240" s="34"/>
    </row>
    <row r="241" ht="15.0" customHeight="1">
      <c r="A241" s="23" t="s">
        <v>266</v>
      </c>
      <c r="B241" s="35">
        <v>2.0</v>
      </c>
      <c r="C241" s="35">
        <v>2.0</v>
      </c>
      <c r="D241" s="35">
        <v>2.0</v>
      </c>
      <c r="E241" s="35">
        <v>2.0</v>
      </c>
      <c r="F241" s="3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35">
        <v>1.0</v>
      </c>
      <c r="V241" s="35">
        <v>-3.0</v>
      </c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25"/>
      <c r="AU241" s="34"/>
      <c r="AV241" s="34"/>
      <c r="AW241" s="34"/>
    </row>
    <row r="242" ht="15.0" customHeight="1">
      <c r="A242" s="23" t="s">
        <v>267</v>
      </c>
      <c r="B242" s="35">
        <v>2.0</v>
      </c>
      <c r="C242" s="35">
        <v>2.0</v>
      </c>
      <c r="D242" s="35">
        <v>2.0</v>
      </c>
      <c r="E242" s="35">
        <v>2.0</v>
      </c>
      <c r="F242" s="3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35">
        <v>1.0</v>
      </c>
      <c r="V242" s="35">
        <v>-3.0</v>
      </c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25"/>
      <c r="AU242" s="34"/>
      <c r="AV242" s="34"/>
      <c r="AW242" s="34"/>
    </row>
    <row r="243" ht="15.0" customHeight="1">
      <c r="A243" s="23" t="s">
        <v>268</v>
      </c>
      <c r="B243" s="35">
        <v>2.0</v>
      </c>
      <c r="C243" s="35">
        <v>2.0</v>
      </c>
      <c r="D243" s="35">
        <v>2.0</v>
      </c>
      <c r="E243" s="35">
        <v>2.0</v>
      </c>
      <c r="F243" s="3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35">
        <v>1.0</v>
      </c>
      <c r="V243" s="35">
        <v>-3.0</v>
      </c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25"/>
      <c r="AU243" s="34"/>
      <c r="AV243" s="34"/>
      <c r="AW243" s="34"/>
    </row>
    <row r="244" ht="15.0" customHeight="1">
      <c r="A244" s="23" t="s">
        <v>269</v>
      </c>
      <c r="B244" s="35">
        <v>2.0</v>
      </c>
      <c r="C244" s="35">
        <v>2.0</v>
      </c>
      <c r="D244" s="35">
        <v>2.0</v>
      </c>
      <c r="E244" s="35">
        <v>2.0</v>
      </c>
      <c r="F244" s="3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35">
        <v>1.0</v>
      </c>
      <c r="V244" s="35">
        <v>-3.0</v>
      </c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25"/>
      <c r="AU244" s="34"/>
      <c r="AV244" s="34"/>
      <c r="AW244" s="34"/>
    </row>
    <row r="245" ht="15.0" customHeight="1">
      <c r="A245" s="23" t="s">
        <v>270</v>
      </c>
      <c r="B245" s="35">
        <v>2.0</v>
      </c>
      <c r="C245" s="35">
        <v>2.0</v>
      </c>
      <c r="D245" s="35">
        <v>2.0</v>
      </c>
      <c r="E245" s="35">
        <v>2.0</v>
      </c>
      <c r="F245" s="3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35">
        <v>1.0</v>
      </c>
      <c r="V245" s="35">
        <v>-3.0</v>
      </c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25"/>
      <c r="AU245" s="34"/>
      <c r="AV245" s="34"/>
      <c r="AW245" s="34"/>
    </row>
    <row r="246" ht="15.0" customHeight="1">
      <c r="A246" s="23" t="s">
        <v>271</v>
      </c>
      <c r="B246" s="35">
        <v>2.0</v>
      </c>
      <c r="C246" s="35">
        <v>2.0</v>
      </c>
      <c r="D246" s="35">
        <v>2.0</v>
      </c>
      <c r="E246" s="35">
        <v>2.0</v>
      </c>
      <c r="F246" s="3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35">
        <v>1.0</v>
      </c>
      <c r="V246" s="35">
        <v>-3.0</v>
      </c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25"/>
      <c r="AU246" s="34"/>
      <c r="AV246" s="34"/>
      <c r="AW246" s="34"/>
    </row>
    <row r="247" ht="15.0" customHeight="1">
      <c r="A247" s="23" t="s">
        <v>272</v>
      </c>
      <c r="B247" s="35">
        <v>2.0</v>
      </c>
      <c r="C247" s="35">
        <v>2.0</v>
      </c>
      <c r="D247" s="35">
        <v>2.0</v>
      </c>
      <c r="E247" s="35">
        <v>2.0</v>
      </c>
      <c r="F247" s="3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35">
        <v>1.0</v>
      </c>
      <c r="V247" s="35">
        <v>-3.0</v>
      </c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25"/>
      <c r="AU247" s="34"/>
      <c r="AV247" s="34"/>
      <c r="AW247" s="34"/>
    </row>
    <row r="248" ht="15.0" customHeight="1">
      <c r="A248" s="23" t="s">
        <v>273</v>
      </c>
      <c r="B248" s="35">
        <v>2.0</v>
      </c>
      <c r="C248" s="35">
        <v>2.0</v>
      </c>
      <c r="D248" s="35">
        <v>2.0</v>
      </c>
      <c r="E248" s="35">
        <v>2.0</v>
      </c>
      <c r="F248" s="3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35">
        <v>1.0</v>
      </c>
      <c r="V248" s="35">
        <v>-3.0</v>
      </c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25"/>
      <c r="AU248" s="34"/>
      <c r="AV248" s="34"/>
      <c r="AW248" s="34"/>
    </row>
    <row r="249" ht="15.0" customHeight="1">
      <c r="A249" s="23" t="s">
        <v>274</v>
      </c>
      <c r="B249" s="35">
        <v>2.0</v>
      </c>
      <c r="C249" s="35">
        <v>2.0</v>
      </c>
      <c r="D249" s="35">
        <v>2.0</v>
      </c>
      <c r="E249" s="35">
        <v>2.0</v>
      </c>
      <c r="F249" s="3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35">
        <v>1.0</v>
      </c>
      <c r="V249" s="35">
        <v>-3.0</v>
      </c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25"/>
      <c r="AU249" s="34"/>
      <c r="AV249" s="34"/>
      <c r="AW249" s="34"/>
    </row>
    <row r="250" ht="15.0" customHeight="1">
      <c r="A250" s="23" t="s">
        <v>275</v>
      </c>
      <c r="B250" s="35">
        <v>2.0</v>
      </c>
      <c r="C250" s="35">
        <v>2.0</v>
      </c>
      <c r="D250" s="35">
        <v>2.0</v>
      </c>
      <c r="E250" s="35">
        <v>2.0</v>
      </c>
      <c r="F250" s="3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35">
        <v>1.0</v>
      </c>
      <c r="V250" s="35">
        <v>-3.0</v>
      </c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25"/>
      <c r="AU250" s="34"/>
      <c r="AV250" s="34"/>
      <c r="AW250" s="34"/>
    </row>
    <row r="251" ht="15.0" customHeight="1">
      <c r="A251" s="23" t="s">
        <v>276</v>
      </c>
      <c r="B251" s="35">
        <v>2.0</v>
      </c>
      <c r="C251" s="35">
        <v>2.0</v>
      </c>
      <c r="D251" s="35">
        <v>2.0</v>
      </c>
      <c r="E251" s="35">
        <v>2.0</v>
      </c>
      <c r="F251" s="3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35">
        <v>1.0</v>
      </c>
      <c r="V251" s="35">
        <v>-3.0</v>
      </c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25"/>
      <c r="AU251" s="34"/>
      <c r="AV251" s="34"/>
      <c r="AW251" s="34"/>
    </row>
    <row r="252" ht="15.0" customHeight="1">
      <c r="A252" s="23" t="s">
        <v>277</v>
      </c>
      <c r="B252" s="35">
        <v>2.0</v>
      </c>
      <c r="C252" s="35">
        <v>2.0</v>
      </c>
      <c r="D252" s="35">
        <v>2.0</v>
      </c>
      <c r="E252" s="35">
        <v>2.0</v>
      </c>
      <c r="F252" s="3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35">
        <v>1.0</v>
      </c>
      <c r="V252" s="35">
        <v>-3.0</v>
      </c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25"/>
      <c r="AU252" s="34"/>
      <c r="AV252" s="34"/>
      <c r="AW252" s="34"/>
    </row>
    <row r="253" ht="15.0" customHeight="1">
      <c r="A253" s="23" t="s">
        <v>278</v>
      </c>
      <c r="B253" s="35">
        <v>2.0</v>
      </c>
      <c r="C253" s="35">
        <v>2.0</v>
      </c>
      <c r="D253" s="35">
        <v>2.0</v>
      </c>
      <c r="E253" s="35">
        <v>2.0</v>
      </c>
      <c r="F253" s="3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35">
        <v>1.0</v>
      </c>
      <c r="V253" s="35">
        <v>-3.0</v>
      </c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25"/>
      <c r="AU253" s="34"/>
      <c r="AV253" s="34"/>
      <c r="AW253" s="34"/>
    </row>
    <row r="254" ht="15.0" customHeight="1">
      <c r="A254" s="23" t="s">
        <v>279</v>
      </c>
      <c r="B254" s="35">
        <v>2.0</v>
      </c>
      <c r="C254" s="35">
        <v>2.0</v>
      </c>
      <c r="D254" s="35">
        <v>2.0</v>
      </c>
      <c r="E254" s="35">
        <v>2.0</v>
      </c>
      <c r="F254" s="3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35">
        <v>1.0</v>
      </c>
      <c r="V254" s="35">
        <v>-3.0</v>
      </c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25"/>
      <c r="AU254" s="34"/>
      <c r="AV254" s="34"/>
      <c r="AW254" s="34"/>
    </row>
    <row r="255" ht="15.0" customHeight="1">
      <c r="A255" s="23" t="s">
        <v>280</v>
      </c>
      <c r="B255" s="35">
        <v>2.0</v>
      </c>
      <c r="C255" s="35">
        <v>2.0</v>
      </c>
      <c r="D255" s="35">
        <v>2.0</v>
      </c>
      <c r="E255" s="35">
        <v>2.0</v>
      </c>
      <c r="F255" s="3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35">
        <v>1.0</v>
      </c>
      <c r="V255" s="35">
        <v>-3.0</v>
      </c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25"/>
      <c r="AU255" s="34"/>
      <c r="AV255" s="34"/>
      <c r="AW255" s="34"/>
    </row>
    <row r="256" ht="15.0" customHeight="1">
      <c r="A256" s="23" t="s">
        <v>281</v>
      </c>
      <c r="B256" s="35">
        <v>2.0</v>
      </c>
      <c r="C256" s="35">
        <v>2.0</v>
      </c>
      <c r="D256" s="35">
        <v>2.0</v>
      </c>
      <c r="E256" s="35">
        <v>2.0</v>
      </c>
      <c r="F256" s="3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35">
        <v>1.0</v>
      </c>
      <c r="V256" s="35">
        <v>-3.0</v>
      </c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25"/>
      <c r="AU256" s="34"/>
      <c r="AV256" s="34"/>
      <c r="AW256" s="34"/>
    </row>
    <row r="257" ht="15.0" customHeight="1">
      <c r="A257" s="23" t="s">
        <v>282</v>
      </c>
      <c r="B257" s="35">
        <v>2.0</v>
      </c>
      <c r="C257" s="35">
        <v>2.0</v>
      </c>
      <c r="D257" s="35">
        <v>2.0</v>
      </c>
      <c r="E257" s="35">
        <v>2.0</v>
      </c>
      <c r="F257" s="3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35">
        <v>1.0</v>
      </c>
      <c r="V257" s="35">
        <v>-3.0</v>
      </c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25"/>
      <c r="AU257" s="34"/>
      <c r="AV257" s="34"/>
      <c r="AW257" s="34"/>
    </row>
    <row r="258" ht="15.0" customHeight="1">
      <c r="A258" s="23" t="s">
        <v>283</v>
      </c>
      <c r="B258" s="35">
        <v>2.0</v>
      </c>
      <c r="C258" s="35">
        <v>2.0</v>
      </c>
      <c r="D258" s="35">
        <v>2.0</v>
      </c>
      <c r="E258" s="35">
        <v>2.0</v>
      </c>
      <c r="F258" s="3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35">
        <v>1.0</v>
      </c>
      <c r="V258" s="35">
        <v>-3.0</v>
      </c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25"/>
      <c r="AU258" s="34"/>
      <c r="AV258" s="34"/>
      <c r="AW258" s="34"/>
    </row>
    <row r="259" ht="15.0" customHeight="1">
      <c r="A259" s="23" t="s">
        <v>284</v>
      </c>
      <c r="B259" s="35">
        <v>2.0</v>
      </c>
      <c r="C259" s="35">
        <v>2.0</v>
      </c>
      <c r="D259" s="35">
        <v>2.0</v>
      </c>
      <c r="E259" s="35">
        <v>2.0</v>
      </c>
      <c r="F259" s="3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35">
        <v>1.0</v>
      </c>
      <c r="V259" s="35">
        <v>-3.0</v>
      </c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25"/>
      <c r="AU259" s="34"/>
      <c r="AV259" s="34"/>
      <c r="AW259" s="34"/>
    </row>
    <row r="260" ht="15.0" customHeight="1">
      <c r="A260" s="23" t="s">
        <v>285</v>
      </c>
      <c r="B260" s="35">
        <v>2.0</v>
      </c>
      <c r="C260" s="35">
        <v>2.0</v>
      </c>
      <c r="D260" s="35">
        <v>2.0</v>
      </c>
      <c r="E260" s="35">
        <v>2.0</v>
      </c>
      <c r="F260" s="3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35">
        <v>1.0</v>
      </c>
      <c r="V260" s="35">
        <v>-3.0</v>
      </c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25"/>
      <c r="AU260" s="34"/>
      <c r="AV260" s="34"/>
      <c r="AW260" s="34"/>
    </row>
    <row r="261" ht="15.0" customHeight="1">
      <c r="A261" s="23" t="s">
        <v>286</v>
      </c>
      <c r="B261" s="35">
        <v>2.0</v>
      </c>
      <c r="C261" s="35">
        <v>2.0</v>
      </c>
      <c r="D261" s="35">
        <v>2.0</v>
      </c>
      <c r="E261" s="35">
        <v>2.0</v>
      </c>
      <c r="F261" s="3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35">
        <v>1.0</v>
      </c>
      <c r="V261" s="35">
        <v>-3.0</v>
      </c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25"/>
      <c r="AU261" s="34"/>
      <c r="AV261" s="34"/>
      <c r="AW261" s="34"/>
    </row>
    <row r="262" ht="15.0" customHeight="1">
      <c r="A262" s="23" t="s">
        <v>287</v>
      </c>
      <c r="B262" s="35">
        <v>2.0</v>
      </c>
      <c r="C262" s="35">
        <v>2.0</v>
      </c>
      <c r="D262" s="35">
        <v>2.0</v>
      </c>
      <c r="E262" s="35">
        <v>2.0</v>
      </c>
      <c r="F262" s="3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35">
        <v>1.0</v>
      </c>
      <c r="V262" s="35">
        <v>-3.0</v>
      </c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25"/>
      <c r="AU262" s="34"/>
      <c r="AV262" s="34"/>
      <c r="AW262" s="34"/>
    </row>
    <row r="263" ht="15.0" customHeight="1">
      <c r="A263" s="23" t="s">
        <v>288</v>
      </c>
      <c r="B263" s="35">
        <v>2.0</v>
      </c>
      <c r="C263" s="35">
        <v>2.0</v>
      </c>
      <c r="D263" s="35">
        <v>2.0</v>
      </c>
      <c r="E263" s="35">
        <v>2.0</v>
      </c>
      <c r="F263" s="3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35">
        <v>1.0</v>
      </c>
      <c r="V263" s="35">
        <v>-3.0</v>
      </c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25"/>
      <c r="AU263" s="34"/>
      <c r="AV263" s="34"/>
      <c r="AW263" s="34"/>
    </row>
    <row r="264" ht="15.0" customHeight="1">
      <c r="A264" s="23" t="s">
        <v>289</v>
      </c>
      <c r="B264" s="35">
        <v>2.0</v>
      </c>
      <c r="C264" s="35">
        <v>2.0</v>
      </c>
      <c r="D264" s="35">
        <v>2.0</v>
      </c>
      <c r="E264" s="35">
        <v>2.0</v>
      </c>
      <c r="F264" s="3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35">
        <v>1.0</v>
      </c>
      <c r="V264" s="35">
        <v>-3.0</v>
      </c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25"/>
      <c r="AU264" s="34"/>
      <c r="AV264" s="34"/>
      <c r="AW264" s="34"/>
    </row>
    <row r="265" ht="15.0" customHeight="1">
      <c r="A265" s="23" t="s">
        <v>290</v>
      </c>
      <c r="B265" s="35">
        <v>2.0</v>
      </c>
      <c r="C265" s="35">
        <v>2.0</v>
      </c>
      <c r="D265" s="35">
        <v>2.0</v>
      </c>
      <c r="E265" s="35">
        <v>2.0</v>
      </c>
      <c r="F265" s="3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35">
        <v>1.0</v>
      </c>
      <c r="V265" s="35">
        <v>-3.0</v>
      </c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25"/>
      <c r="AU265" s="34"/>
      <c r="AV265" s="34"/>
      <c r="AW265" s="34"/>
    </row>
    <row r="266" ht="15.0" customHeight="1">
      <c r="A266" s="23" t="s">
        <v>291</v>
      </c>
      <c r="B266" s="35">
        <v>2.0</v>
      </c>
      <c r="C266" s="35">
        <v>2.0</v>
      </c>
      <c r="D266" s="35">
        <v>2.0</v>
      </c>
      <c r="E266" s="35">
        <v>2.0</v>
      </c>
      <c r="F266" s="3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35">
        <v>1.0</v>
      </c>
      <c r="V266" s="35">
        <v>-3.0</v>
      </c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25"/>
      <c r="AU266" s="34"/>
      <c r="AV266" s="34"/>
      <c r="AW266" s="34"/>
    </row>
    <row r="267" ht="15.0" customHeight="1">
      <c r="A267" s="23" t="s">
        <v>292</v>
      </c>
      <c r="B267" s="35">
        <v>2.0</v>
      </c>
      <c r="C267" s="35">
        <v>2.0</v>
      </c>
      <c r="D267" s="35">
        <v>2.0</v>
      </c>
      <c r="E267" s="35">
        <v>2.0</v>
      </c>
      <c r="F267" s="3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35">
        <v>1.0</v>
      </c>
      <c r="V267" s="35">
        <v>-3.0</v>
      </c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25"/>
      <c r="AU267" s="34"/>
      <c r="AV267" s="34"/>
      <c r="AW267" s="34"/>
    </row>
    <row r="268" ht="15.0" customHeight="1">
      <c r="A268" s="23" t="s">
        <v>293</v>
      </c>
      <c r="B268" s="35">
        <v>2.0</v>
      </c>
      <c r="C268" s="35">
        <v>2.0</v>
      </c>
      <c r="D268" s="35">
        <v>2.0</v>
      </c>
      <c r="E268" s="35">
        <v>2.0</v>
      </c>
      <c r="F268" s="3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35">
        <v>1.0</v>
      </c>
      <c r="V268" s="35">
        <v>-3.0</v>
      </c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25"/>
      <c r="AU268" s="34"/>
      <c r="AV268" s="34"/>
      <c r="AW268" s="34"/>
    </row>
    <row r="269" ht="15.0" customHeight="1">
      <c r="A269" s="23" t="s">
        <v>294</v>
      </c>
      <c r="B269" s="35">
        <v>2.0</v>
      </c>
      <c r="C269" s="35">
        <v>2.0</v>
      </c>
      <c r="D269" s="35">
        <v>2.0</v>
      </c>
      <c r="E269" s="35">
        <v>2.0</v>
      </c>
      <c r="F269" s="3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35">
        <v>1.0</v>
      </c>
      <c r="V269" s="35">
        <v>-3.0</v>
      </c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25"/>
      <c r="AU269" s="34"/>
      <c r="AV269" s="34"/>
      <c r="AW269" s="34"/>
    </row>
    <row r="270" ht="15.0" customHeight="1">
      <c r="A270" s="23" t="s">
        <v>295</v>
      </c>
      <c r="B270" s="35">
        <v>2.0</v>
      </c>
      <c r="C270" s="35">
        <v>2.0</v>
      </c>
      <c r="D270" s="35">
        <v>2.0</v>
      </c>
      <c r="E270" s="35">
        <v>2.0</v>
      </c>
      <c r="F270" s="3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35">
        <v>1.0</v>
      </c>
      <c r="V270" s="35">
        <v>-3.0</v>
      </c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25"/>
      <c r="AU270" s="34"/>
      <c r="AV270" s="34"/>
      <c r="AW270" s="34"/>
    </row>
    <row r="271" ht="15.0" customHeight="1">
      <c r="A271" s="23" t="s">
        <v>296</v>
      </c>
      <c r="B271" s="35">
        <v>2.0</v>
      </c>
      <c r="C271" s="35">
        <v>2.0</v>
      </c>
      <c r="D271" s="35">
        <v>2.0</v>
      </c>
      <c r="E271" s="35">
        <v>2.0</v>
      </c>
      <c r="F271" s="3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35">
        <v>1.0</v>
      </c>
      <c r="V271" s="35">
        <v>-3.0</v>
      </c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25"/>
      <c r="AU271" s="34"/>
      <c r="AV271" s="34"/>
      <c r="AW271" s="34"/>
    </row>
    <row r="272" ht="15.0" customHeight="1">
      <c r="A272" s="23" t="s">
        <v>297</v>
      </c>
      <c r="B272" s="35">
        <v>2.0</v>
      </c>
      <c r="C272" s="35">
        <v>2.0</v>
      </c>
      <c r="D272" s="35">
        <v>2.0</v>
      </c>
      <c r="E272" s="35">
        <v>2.0</v>
      </c>
      <c r="F272" s="3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35">
        <v>1.0</v>
      </c>
      <c r="V272" s="35">
        <v>-3.0</v>
      </c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25"/>
      <c r="AU272" s="34"/>
      <c r="AV272" s="34"/>
      <c r="AW272" s="34"/>
    </row>
    <row r="273" ht="15.0" customHeight="1">
      <c r="A273" s="23" t="s">
        <v>298</v>
      </c>
      <c r="B273" s="35">
        <v>2.0</v>
      </c>
      <c r="C273" s="35">
        <v>2.0</v>
      </c>
      <c r="D273" s="35">
        <v>2.0</v>
      </c>
      <c r="E273" s="35">
        <v>2.0</v>
      </c>
      <c r="F273" s="3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35">
        <v>1.0</v>
      </c>
      <c r="V273" s="35">
        <v>-3.0</v>
      </c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25"/>
      <c r="AU273" s="34"/>
      <c r="AV273" s="34"/>
      <c r="AW273" s="34"/>
    </row>
    <row r="274" ht="15.0" customHeight="1">
      <c r="A274" s="23" t="s">
        <v>299</v>
      </c>
      <c r="B274" s="35">
        <v>2.0</v>
      </c>
      <c r="C274" s="35">
        <v>2.0</v>
      </c>
      <c r="D274" s="35">
        <v>2.0</v>
      </c>
      <c r="E274" s="35">
        <v>2.0</v>
      </c>
      <c r="F274" s="3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35">
        <v>1.0</v>
      </c>
      <c r="V274" s="35">
        <v>-3.0</v>
      </c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25"/>
      <c r="AU274" s="34"/>
      <c r="AV274" s="34"/>
      <c r="AW274" s="34"/>
    </row>
    <row r="275" ht="15.0" customHeight="1">
      <c r="A275" s="23" t="s">
        <v>300</v>
      </c>
      <c r="B275" s="35">
        <v>2.0</v>
      </c>
      <c r="C275" s="35">
        <v>2.0</v>
      </c>
      <c r="D275" s="35">
        <v>2.0</v>
      </c>
      <c r="E275" s="35">
        <v>2.0</v>
      </c>
      <c r="F275" s="3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35">
        <v>1.0</v>
      </c>
      <c r="V275" s="35">
        <v>-3.0</v>
      </c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25"/>
      <c r="AU275" s="34"/>
      <c r="AV275" s="34"/>
      <c r="AW275" s="34"/>
    </row>
    <row r="276" ht="15.0" customHeight="1">
      <c r="A276" s="23" t="s">
        <v>301</v>
      </c>
      <c r="B276" s="35">
        <v>2.0</v>
      </c>
      <c r="C276" s="35">
        <v>2.0</v>
      </c>
      <c r="D276" s="35">
        <v>2.0</v>
      </c>
      <c r="E276" s="35">
        <v>2.0</v>
      </c>
      <c r="F276" s="3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35">
        <v>1.0</v>
      </c>
      <c r="V276" s="35">
        <v>-3.0</v>
      </c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25"/>
      <c r="AU276" s="34"/>
      <c r="AV276" s="34"/>
      <c r="AW276" s="34"/>
    </row>
    <row r="277" ht="15.0" customHeight="1">
      <c r="A277" s="23" t="s">
        <v>302</v>
      </c>
      <c r="B277" s="35">
        <v>2.0</v>
      </c>
      <c r="C277" s="35">
        <v>2.0</v>
      </c>
      <c r="D277" s="35">
        <v>2.0</v>
      </c>
      <c r="E277" s="35">
        <v>2.0</v>
      </c>
      <c r="F277" s="3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35">
        <v>1.0</v>
      </c>
      <c r="V277" s="35">
        <v>-3.0</v>
      </c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25"/>
      <c r="AU277" s="34"/>
      <c r="AV277" s="34"/>
      <c r="AW277" s="34"/>
    </row>
    <row r="278" ht="15.0" customHeight="1">
      <c r="A278" s="23" t="s">
        <v>303</v>
      </c>
      <c r="B278" s="35">
        <v>2.0</v>
      </c>
      <c r="C278" s="35">
        <v>2.0</v>
      </c>
      <c r="D278" s="35">
        <v>2.0</v>
      </c>
      <c r="E278" s="35">
        <v>2.0</v>
      </c>
      <c r="F278" s="3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35">
        <v>1.0</v>
      </c>
      <c r="V278" s="35">
        <v>-3.0</v>
      </c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25"/>
      <c r="AU278" s="34"/>
      <c r="AV278" s="34"/>
      <c r="AW278" s="34"/>
    </row>
    <row r="279" ht="15.0" customHeight="1">
      <c r="A279" s="23" t="s">
        <v>304</v>
      </c>
      <c r="B279" s="35">
        <v>2.0</v>
      </c>
      <c r="C279" s="35">
        <v>2.0</v>
      </c>
      <c r="D279" s="35">
        <v>2.0</v>
      </c>
      <c r="E279" s="35">
        <v>2.0</v>
      </c>
      <c r="F279" s="3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35">
        <v>1.0</v>
      </c>
      <c r="V279" s="35">
        <v>-3.0</v>
      </c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25"/>
      <c r="AU279" s="34"/>
      <c r="AV279" s="34"/>
      <c r="AW279" s="34"/>
    </row>
    <row r="280" ht="15.0" customHeight="1">
      <c r="A280" s="23" t="s">
        <v>305</v>
      </c>
      <c r="B280" s="35">
        <v>2.0</v>
      </c>
      <c r="C280" s="35">
        <v>2.0</v>
      </c>
      <c r="D280" s="35">
        <v>2.0</v>
      </c>
      <c r="E280" s="35">
        <v>2.0</v>
      </c>
      <c r="F280" s="3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35">
        <v>1.0</v>
      </c>
      <c r="V280" s="35">
        <v>-3.0</v>
      </c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25"/>
      <c r="AU280" s="34"/>
      <c r="AV280" s="34"/>
      <c r="AW280" s="34"/>
    </row>
    <row r="281" ht="15.0" customHeight="1">
      <c r="A281" s="23" t="s">
        <v>306</v>
      </c>
      <c r="B281" s="35">
        <v>2.0</v>
      </c>
      <c r="C281" s="35">
        <v>2.0</v>
      </c>
      <c r="D281" s="35">
        <v>2.0</v>
      </c>
      <c r="E281" s="35">
        <v>2.0</v>
      </c>
      <c r="F281" s="3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35">
        <v>1.0</v>
      </c>
      <c r="V281" s="35">
        <v>-3.0</v>
      </c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25"/>
      <c r="AU281" s="34"/>
      <c r="AV281" s="34"/>
      <c r="AW281" s="34"/>
    </row>
    <row r="282" ht="15.0" customHeight="1">
      <c r="A282" s="23" t="s">
        <v>307</v>
      </c>
      <c r="B282" s="35">
        <v>2.0</v>
      </c>
      <c r="C282" s="35">
        <v>2.0</v>
      </c>
      <c r="D282" s="35">
        <v>2.0</v>
      </c>
      <c r="E282" s="35">
        <v>2.0</v>
      </c>
      <c r="F282" s="3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35">
        <v>1.0</v>
      </c>
      <c r="V282" s="35">
        <v>-3.0</v>
      </c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25"/>
      <c r="AU282" s="34"/>
      <c r="AV282" s="34"/>
      <c r="AW282" s="34"/>
    </row>
    <row r="283" ht="15.0" customHeight="1">
      <c r="A283" s="23" t="s">
        <v>308</v>
      </c>
      <c r="B283" s="35">
        <v>2.0</v>
      </c>
      <c r="C283" s="35">
        <v>2.0</v>
      </c>
      <c r="D283" s="35">
        <v>2.0</v>
      </c>
      <c r="E283" s="35">
        <v>2.0</v>
      </c>
      <c r="F283" s="3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35">
        <v>1.0</v>
      </c>
      <c r="V283" s="35">
        <v>-3.0</v>
      </c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25"/>
      <c r="AU283" s="34"/>
      <c r="AV283" s="34"/>
      <c r="AW283" s="34"/>
    </row>
    <row r="284" ht="15.0" customHeight="1">
      <c r="A284" s="23" t="s">
        <v>309</v>
      </c>
      <c r="B284" s="35">
        <v>2.0</v>
      </c>
      <c r="C284" s="35">
        <v>2.0</v>
      </c>
      <c r="D284" s="35">
        <v>2.0</v>
      </c>
      <c r="E284" s="35">
        <v>2.0</v>
      </c>
      <c r="F284" s="3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35">
        <v>1.0</v>
      </c>
      <c r="V284" s="35">
        <v>-3.0</v>
      </c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25"/>
      <c r="AU284" s="34"/>
      <c r="AV284" s="34"/>
      <c r="AW284" s="34"/>
    </row>
    <row r="285" ht="15.0" customHeight="1">
      <c r="A285" s="23" t="s">
        <v>310</v>
      </c>
      <c r="B285" s="35">
        <v>2.0</v>
      </c>
      <c r="C285" s="35">
        <v>2.0</v>
      </c>
      <c r="D285" s="35">
        <v>2.0</v>
      </c>
      <c r="E285" s="35">
        <v>2.0</v>
      </c>
      <c r="F285" s="3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35">
        <v>1.0</v>
      </c>
      <c r="V285" s="35">
        <v>-3.0</v>
      </c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25"/>
      <c r="AU285" s="34"/>
      <c r="AV285" s="34"/>
      <c r="AW285" s="34"/>
    </row>
    <row r="286" ht="15.0" customHeight="1">
      <c r="A286" s="23" t="s">
        <v>311</v>
      </c>
      <c r="B286" s="35">
        <v>2.0</v>
      </c>
      <c r="C286" s="35">
        <v>2.0</v>
      </c>
      <c r="D286" s="35">
        <v>2.0</v>
      </c>
      <c r="E286" s="35">
        <v>2.0</v>
      </c>
      <c r="F286" s="3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35">
        <v>1.0</v>
      </c>
      <c r="V286" s="35">
        <v>-3.0</v>
      </c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25"/>
      <c r="AU286" s="34"/>
      <c r="AV286" s="34"/>
      <c r="AW286" s="34"/>
    </row>
    <row r="287" ht="15.0" customHeight="1">
      <c r="A287" s="23" t="s">
        <v>312</v>
      </c>
      <c r="B287" s="35">
        <v>2.0</v>
      </c>
      <c r="C287" s="35">
        <v>2.0</v>
      </c>
      <c r="D287" s="35">
        <v>2.0</v>
      </c>
      <c r="E287" s="35">
        <v>2.0</v>
      </c>
      <c r="F287" s="3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35">
        <v>1.0</v>
      </c>
      <c r="V287" s="35">
        <v>-3.0</v>
      </c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25"/>
      <c r="AU287" s="34"/>
      <c r="AV287" s="34"/>
      <c r="AW287" s="34"/>
    </row>
    <row r="288" ht="15.0" customHeight="1">
      <c r="A288" s="23" t="s">
        <v>313</v>
      </c>
      <c r="B288" s="35">
        <v>2.0</v>
      </c>
      <c r="C288" s="35">
        <v>2.0</v>
      </c>
      <c r="D288" s="35">
        <v>2.0</v>
      </c>
      <c r="E288" s="35">
        <v>2.0</v>
      </c>
      <c r="F288" s="3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35">
        <v>1.0</v>
      </c>
      <c r="V288" s="35">
        <v>-3.0</v>
      </c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25"/>
      <c r="AU288" s="34"/>
      <c r="AV288" s="34"/>
      <c r="AW288" s="34"/>
    </row>
    <row r="289" ht="15.0" customHeight="1">
      <c r="A289" s="23" t="s">
        <v>314</v>
      </c>
      <c r="B289" s="35">
        <v>2.0</v>
      </c>
      <c r="C289" s="35">
        <v>2.0</v>
      </c>
      <c r="D289" s="35">
        <v>2.0</v>
      </c>
      <c r="E289" s="35">
        <v>2.0</v>
      </c>
      <c r="F289" s="3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35">
        <v>1.0</v>
      </c>
      <c r="V289" s="35">
        <v>-3.0</v>
      </c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25"/>
      <c r="AU289" s="34"/>
      <c r="AV289" s="34"/>
      <c r="AW289" s="34"/>
    </row>
    <row r="290" ht="15.0" customHeight="1">
      <c r="A290" s="23" t="s">
        <v>315</v>
      </c>
      <c r="B290" s="35">
        <v>2.0</v>
      </c>
      <c r="C290" s="35">
        <v>2.0</v>
      </c>
      <c r="D290" s="35">
        <v>2.0</v>
      </c>
      <c r="E290" s="35">
        <v>2.0</v>
      </c>
      <c r="F290" s="3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35">
        <v>1.0</v>
      </c>
      <c r="V290" s="35">
        <v>-3.0</v>
      </c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25"/>
      <c r="AU290" s="34"/>
      <c r="AV290" s="34"/>
      <c r="AW290" s="34"/>
    </row>
    <row r="291" ht="15.0" customHeight="1">
      <c r="A291" s="23" t="s">
        <v>316</v>
      </c>
      <c r="B291" s="35">
        <v>2.0</v>
      </c>
      <c r="C291" s="35">
        <v>2.0</v>
      </c>
      <c r="D291" s="35">
        <v>2.0</v>
      </c>
      <c r="E291" s="35">
        <v>2.0</v>
      </c>
      <c r="F291" s="3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35">
        <v>1.0</v>
      </c>
      <c r="V291" s="35">
        <v>-3.0</v>
      </c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25"/>
      <c r="AU291" s="34"/>
      <c r="AV291" s="34"/>
      <c r="AW291" s="34"/>
    </row>
    <row r="292" ht="15.0" customHeight="1">
      <c r="A292" s="23" t="s">
        <v>317</v>
      </c>
      <c r="B292" s="35">
        <v>2.0</v>
      </c>
      <c r="C292" s="35">
        <v>2.0</v>
      </c>
      <c r="D292" s="35">
        <v>2.0</v>
      </c>
      <c r="E292" s="35">
        <v>2.0</v>
      </c>
      <c r="F292" s="3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35">
        <v>1.0</v>
      </c>
      <c r="V292" s="35">
        <v>-3.0</v>
      </c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25"/>
      <c r="AU292" s="34"/>
      <c r="AV292" s="34"/>
      <c r="AW292" s="34"/>
    </row>
    <row r="293" ht="15.0" customHeight="1">
      <c r="A293" s="23" t="s">
        <v>318</v>
      </c>
      <c r="B293" s="35">
        <v>2.0</v>
      </c>
      <c r="C293" s="35">
        <v>2.0</v>
      </c>
      <c r="D293" s="35">
        <v>2.0</v>
      </c>
      <c r="E293" s="35">
        <v>2.0</v>
      </c>
      <c r="F293" s="3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35">
        <v>1.0</v>
      </c>
      <c r="V293" s="35">
        <v>-3.0</v>
      </c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25"/>
      <c r="AU293" s="34"/>
      <c r="AV293" s="34"/>
      <c r="AW293" s="34"/>
    </row>
    <row r="294" ht="15.0" customHeight="1">
      <c r="A294" s="23" t="s">
        <v>319</v>
      </c>
      <c r="B294" s="35">
        <v>2.0</v>
      </c>
      <c r="C294" s="35">
        <v>2.0</v>
      </c>
      <c r="D294" s="35">
        <v>2.0</v>
      </c>
      <c r="E294" s="35">
        <v>2.0</v>
      </c>
      <c r="F294" s="3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35">
        <v>1.0</v>
      </c>
      <c r="V294" s="35">
        <v>-3.0</v>
      </c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25"/>
      <c r="AU294" s="34"/>
      <c r="AV294" s="34"/>
      <c r="AW294" s="34"/>
    </row>
    <row r="295" ht="15.0" customHeight="1">
      <c r="A295" s="23" t="s">
        <v>320</v>
      </c>
      <c r="B295" s="35">
        <v>2.0</v>
      </c>
      <c r="C295" s="35">
        <v>2.0</v>
      </c>
      <c r="D295" s="35">
        <v>2.0</v>
      </c>
      <c r="E295" s="35">
        <v>2.0</v>
      </c>
      <c r="F295" s="3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35">
        <v>1.0</v>
      </c>
      <c r="V295" s="35">
        <v>-3.0</v>
      </c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25"/>
      <c r="AU295" s="34"/>
      <c r="AV295" s="34"/>
      <c r="AW295" s="34"/>
    </row>
    <row r="296" ht="15.0" customHeight="1">
      <c r="A296" s="23" t="s">
        <v>321</v>
      </c>
      <c r="B296" s="35">
        <v>2.0</v>
      </c>
      <c r="C296" s="35">
        <v>2.0</v>
      </c>
      <c r="D296" s="35">
        <v>2.0</v>
      </c>
      <c r="E296" s="35">
        <v>2.0</v>
      </c>
      <c r="F296" s="3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35">
        <v>1.0</v>
      </c>
      <c r="V296" s="35">
        <v>-3.0</v>
      </c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25"/>
      <c r="AU296" s="34"/>
      <c r="AV296" s="34"/>
      <c r="AW296" s="34"/>
    </row>
    <row r="297" ht="15.0" customHeight="1">
      <c r="A297" s="23" t="s">
        <v>322</v>
      </c>
      <c r="B297" s="35">
        <v>2.0</v>
      </c>
      <c r="C297" s="35">
        <v>2.0</v>
      </c>
      <c r="D297" s="35">
        <v>2.0</v>
      </c>
      <c r="E297" s="35">
        <v>2.0</v>
      </c>
      <c r="F297" s="3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35">
        <v>1.0</v>
      </c>
      <c r="V297" s="35">
        <v>-3.0</v>
      </c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25"/>
      <c r="AU297" s="34"/>
      <c r="AV297" s="34"/>
      <c r="AW297" s="34"/>
    </row>
    <row r="298" ht="15.0" customHeight="1">
      <c r="A298" s="23" t="s">
        <v>323</v>
      </c>
      <c r="B298" s="35">
        <v>2.0</v>
      </c>
      <c r="C298" s="35">
        <v>2.0</v>
      </c>
      <c r="D298" s="35">
        <v>2.0</v>
      </c>
      <c r="E298" s="35">
        <v>2.0</v>
      </c>
      <c r="F298" s="3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35">
        <v>1.0</v>
      </c>
      <c r="V298" s="35">
        <v>-3.0</v>
      </c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25"/>
      <c r="AU298" s="34"/>
      <c r="AV298" s="34"/>
      <c r="AW298" s="34"/>
    </row>
    <row r="299" ht="15.0" customHeight="1">
      <c r="A299" s="23" t="s">
        <v>324</v>
      </c>
      <c r="B299" s="35">
        <v>2.0</v>
      </c>
      <c r="C299" s="35">
        <v>2.0</v>
      </c>
      <c r="D299" s="35">
        <v>2.0</v>
      </c>
      <c r="E299" s="35">
        <v>2.0</v>
      </c>
      <c r="F299" s="3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35">
        <v>1.0</v>
      </c>
      <c r="V299" s="35">
        <v>-3.0</v>
      </c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25"/>
      <c r="AU299" s="34"/>
      <c r="AV299" s="34"/>
      <c r="AW299" s="34"/>
    </row>
    <row r="300" ht="15.0" customHeight="1">
      <c r="A300" s="23" t="s">
        <v>325</v>
      </c>
      <c r="B300" s="35">
        <v>2.0</v>
      </c>
      <c r="C300" s="35">
        <v>2.0</v>
      </c>
      <c r="D300" s="35">
        <v>2.0</v>
      </c>
      <c r="E300" s="35">
        <v>2.0</v>
      </c>
      <c r="F300" s="3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35">
        <v>1.0</v>
      </c>
      <c r="V300" s="35">
        <v>-3.0</v>
      </c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25"/>
      <c r="AU300" s="34"/>
      <c r="AV300" s="34"/>
      <c r="AW300" s="34"/>
    </row>
    <row r="301" ht="15.0" customHeight="1">
      <c r="A301" s="23" t="s">
        <v>326</v>
      </c>
      <c r="B301" s="35">
        <v>2.0</v>
      </c>
      <c r="C301" s="35">
        <v>2.0</v>
      </c>
      <c r="D301" s="35">
        <v>2.0</v>
      </c>
      <c r="E301" s="35">
        <v>2.0</v>
      </c>
      <c r="F301" s="3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35">
        <v>1.0</v>
      </c>
      <c r="V301" s="35">
        <v>-3.0</v>
      </c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25"/>
      <c r="AU301" s="34"/>
      <c r="AV301" s="34"/>
      <c r="AW301" s="34"/>
    </row>
    <row r="302" ht="15.0" customHeight="1">
      <c r="A302" s="23" t="s">
        <v>327</v>
      </c>
      <c r="B302" s="35">
        <v>2.0</v>
      </c>
      <c r="C302" s="35">
        <v>2.0</v>
      </c>
      <c r="D302" s="35">
        <v>2.0</v>
      </c>
      <c r="E302" s="35">
        <v>2.0</v>
      </c>
      <c r="F302" s="3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35">
        <v>1.0</v>
      </c>
      <c r="V302" s="35">
        <v>-3.0</v>
      </c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25"/>
      <c r="AU302" s="34"/>
      <c r="AV302" s="34"/>
      <c r="AW302" s="34"/>
    </row>
    <row r="303" ht="15.0" customHeight="1">
      <c r="A303" s="23" t="s">
        <v>328</v>
      </c>
      <c r="B303" s="35">
        <v>2.0</v>
      </c>
      <c r="C303" s="35">
        <v>2.0</v>
      </c>
      <c r="D303" s="35">
        <v>2.0</v>
      </c>
      <c r="E303" s="35">
        <v>2.0</v>
      </c>
      <c r="F303" s="3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35">
        <v>1.0</v>
      </c>
      <c r="V303" s="35">
        <v>-3.0</v>
      </c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25"/>
      <c r="AU303" s="34"/>
      <c r="AV303" s="34"/>
      <c r="AW303" s="34"/>
    </row>
    <row r="304" ht="15.0" customHeight="1">
      <c r="A304" s="23" t="s">
        <v>329</v>
      </c>
      <c r="B304" s="35">
        <v>2.0</v>
      </c>
      <c r="C304" s="35">
        <v>2.0</v>
      </c>
      <c r="D304" s="35">
        <v>2.0</v>
      </c>
      <c r="E304" s="35">
        <v>2.0</v>
      </c>
      <c r="F304" s="3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35">
        <v>1.0</v>
      </c>
      <c r="V304" s="35">
        <v>-3.0</v>
      </c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25"/>
      <c r="AU304" s="34"/>
      <c r="AV304" s="34"/>
      <c r="AW304" s="34"/>
    </row>
    <row r="305" ht="15.0" customHeight="1">
      <c r="A305" s="32" t="s">
        <v>330</v>
      </c>
      <c r="B305" s="25"/>
      <c r="C305" s="25"/>
      <c r="D305" s="25"/>
      <c r="E305" s="25"/>
      <c r="F305" s="25"/>
      <c r="G305" s="35">
        <v>0.0</v>
      </c>
      <c r="H305" s="35">
        <v>1.0</v>
      </c>
      <c r="I305" s="25"/>
      <c r="J305" s="25"/>
      <c r="K305" s="25"/>
      <c r="L305" s="35"/>
      <c r="M305" s="35"/>
      <c r="N305" s="25"/>
      <c r="O305" s="25"/>
      <c r="P305" s="25"/>
      <c r="Q305" s="35">
        <v>2.0</v>
      </c>
      <c r="R305" s="35">
        <v>2.0</v>
      </c>
      <c r="S305" s="35">
        <v>2.0</v>
      </c>
      <c r="T305" s="35">
        <v>2.0</v>
      </c>
      <c r="U305" s="34"/>
      <c r="V305" s="34"/>
      <c r="W305" s="34"/>
      <c r="X305" s="34"/>
      <c r="Y305" s="34"/>
      <c r="Z305" s="34"/>
      <c r="AA305" s="25"/>
      <c r="AB305" s="25"/>
      <c r="AC305" s="25"/>
      <c r="AD305" s="25"/>
      <c r="AE305" s="25"/>
      <c r="AF305" s="25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25"/>
      <c r="AU305" s="34"/>
      <c r="AV305" s="34"/>
      <c r="AW305" s="34"/>
    </row>
    <row r="306" ht="15.0" customHeight="1">
      <c r="A306" s="32" t="s">
        <v>331</v>
      </c>
      <c r="B306" s="25"/>
      <c r="C306" s="25"/>
      <c r="D306" s="25"/>
      <c r="E306" s="25"/>
      <c r="F306" s="25"/>
      <c r="G306" s="35">
        <v>0.0</v>
      </c>
      <c r="H306" s="35">
        <v>1.0</v>
      </c>
      <c r="I306" s="25"/>
      <c r="J306" s="25"/>
      <c r="K306" s="25"/>
      <c r="L306" s="35"/>
      <c r="M306" s="35"/>
      <c r="N306" s="25"/>
      <c r="O306" s="25"/>
      <c r="P306" s="25"/>
      <c r="Q306" s="35">
        <v>2.0</v>
      </c>
      <c r="R306" s="35">
        <v>2.0</v>
      </c>
      <c r="S306" s="35">
        <v>2.0</v>
      </c>
      <c r="T306" s="35">
        <v>2.0</v>
      </c>
      <c r="U306" s="34"/>
      <c r="V306" s="34"/>
      <c r="W306" s="34"/>
      <c r="X306" s="34"/>
      <c r="Y306" s="34"/>
      <c r="Z306" s="34"/>
      <c r="AA306" s="25"/>
      <c r="AB306" s="25"/>
      <c r="AC306" s="25"/>
      <c r="AD306" s="25"/>
      <c r="AE306" s="25"/>
      <c r="AF306" s="25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25"/>
      <c r="AU306" s="34"/>
      <c r="AV306" s="34"/>
      <c r="AW306" s="34"/>
    </row>
    <row r="307" ht="15.0" customHeight="1">
      <c r="A307" s="32" t="s">
        <v>332</v>
      </c>
      <c r="B307" s="25"/>
      <c r="C307" s="25"/>
      <c r="D307" s="25"/>
      <c r="E307" s="25"/>
      <c r="F307" s="25"/>
      <c r="G307" s="35">
        <v>0.0</v>
      </c>
      <c r="H307" s="35">
        <v>1.0</v>
      </c>
      <c r="I307" s="25"/>
      <c r="J307" s="25"/>
      <c r="K307" s="25"/>
      <c r="L307" s="35"/>
      <c r="M307" s="35"/>
      <c r="N307" s="25"/>
      <c r="O307" s="25"/>
      <c r="P307" s="25"/>
      <c r="Q307" s="35">
        <v>2.0</v>
      </c>
      <c r="R307" s="35">
        <v>2.0</v>
      </c>
      <c r="S307" s="35">
        <v>2.0</v>
      </c>
      <c r="T307" s="35">
        <v>2.0</v>
      </c>
      <c r="U307" s="34"/>
      <c r="V307" s="34"/>
      <c r="W307" s="34"/>
      <c r="X307" s="34"/>
      <c r="Y307" s="34"/>
      <c r="Z307" s="34"/>
      <c r="AA307" s="25"/>
      <c r="AB307" s="25"/>
      <c r="AC307" s="25"/>
      <c r="AD307" s="25"/>
      <c r="AE307" s="25"/>
      <c r="AF307" s="25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25"/>
      <c r="AU307" s="34"/>
      <c r="AV307" s="34"/>
      <c r="AW307" s="34"/>
    </row>
    <row r="308" ht="15.0" customHeight="1">
      <c r="A308" s="32" t="s">
        <v>333</v>
      </c>
      <c r="B308" s="25"/>
      <c r="C308" s="25"/>
      <c r="D308" s="25"/>
      <c r="E308" s="25"/>
      <c r="F308" s="25"/>
      <c r="G308" s="35">
        <v>0.0</v>
      </c>
      <c r="H308" s="35">
        <v>1.0</v>
      </c>
      <c r="I308" s="25"/>
      <c r="J308" s="25"/>
      <c r="K308" s="25"/>
      <c r="L308" s="35"/>
      <c r="M308" s="35"/>
      <c r="N308" s="25"/>
      <c r="O308" s="25"/>
      <c r="P308" s="25"/>
      <c r="Q308" s="35">
        <v>2.0</v>
      </c>
      <c r="R308" s="35">
        <v>2.0</v>
      </c>
      <c r="S308" s="35">
        <v>2.0</v>
      </c>
      <c r="T308" s="35">
        <v>2.0</v>
      </c>
      <c r="U308" s="34"/>
      <c r="V308" s="34"/>
      <c r="W308" s="34"/>
      <c r="X308" s="34"/>
      <c r="Y308" s="34"/>
      <c r="Z308" s="34"/>
      <c r="AA308" s="25"/>
      <c r="AB308" s="25"/>
      <c r="AC308" s="25"/>
      <c r="AD308" s="25"/>
      <c r="AE308" s="25"/>
      <c r="AF308" s="25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25"/>
      <c r="AU308" s="34"/>
      <c r="AV308" s="34"/>
      <c r="AW308" s="34"/>
    </row>
    <row r="309" ht="15.0" customHeight="1">
      <c r="A309" s="32" t="s">
        <v>334</v>
      </c>
      <c r="B309" s="25"/>
      <c r="C309" s="25"/>
      <c r="D309" s="25"/>
      <c r="E309" s="25"/>
      <c r="F309" s="25"/>
      <c r="G309" s="35">
        <v>0.0</v>
      </c>
      <c r="H309" s="35">
        <v>1.0</v>
      </c>
      <c r="I309" s="25"/>
      <c r="J309" s="25"/>
      <c r="K309" s="25"/>
      <c r="L309" s="35"/>
      <c r="M309" s="35"/>
      <c r="N309" s="25"/>
      <c r="O309" s="25"/>
      <c r="P309" s="25"/>
      <c r="Q309" s="35">
        <v>2.0</v>
      </c>
      <c r="R309" s="35">
        <v>2.0</v>
      </c>
      <c r="S309" s="35">
        <v>2.0</v>
      </c>
      <c r="T309" s="35">
        <v>2.0</v>
      </c>
      <c r="U309" s="34"/>
      <c r="V309" s="34"/>
      <c r="W309" s="34"/>
      <c r="X309" s="34"/>
      <c r="Y309" s="34"/>
      <c r="Z309" s="34"/>
      <c r="AA309" s="25"/>
      <c r="AB309" s="25"/>
      <c r="AC309" s="25"/>
      <c r="AD309" s="25"/>
      <c r="AE309" s="25"/>
      <c r="AF309" s="25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25"/>
      <c r="AU309" s="34"/>
      <c r="AV309" s="34"/>
      <c r="AW309" s="34"/>
    </row>
    <row r="310" ht="15.0" customHeight="1">
      <c r="A310" s="32" t="s">
        <v>335</v>
      </c>
      <c r="B310" s="25"/>
      <c r="C310" s="25"/>
      <c r="D310" s="25"/>
      <c r="E310" s="25"/>
      <c r="F310" s="25"/>
      <c r="G310" s="35">
        <v>0.0</v>
      </c>
      <c r="H310" s="35">
        <v>1.0</v>
      </c>
      <c r="I310" s="25"/>
      <c r="J310" s="25"/>
      <c r="K310" s="25"/>
      <c r="L310" s="35"/>
      <c r="M310" s="35"/>
      <c r="N310" s="25"/>
      <c r="O310" s="25"/>
      <c r="P310" s="25"/>
      <c r="Q310" s="35">
        <v>2.0</v>
      </c>
      <c r="R310" s="35">
        <v>2.0</v>
      </c>
      <c r="S310" s="35">
        <v>2.0</v>
      </c>
      <c r="T310" s="35">
        <v>2.0</v>
      </c>
      <c r="U310" s="34"/>
      <c r="V310" s="34"/>
      <c r="W310" s="34"/>
      <c r="X310" s="34"/>
      <c r="Y310" s="34"/>
      <c r="Z310" s="34"/>
      <c r="AA310" s="25"/>
      <c r="AB310" s="25"/>
      <c r="AC310" s="25"/>
      <c r="AD310" s="25"/>
      <c r="AE310" s="25"/>
      <c r="AF310" s="25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25"/>
      <c r="AU310" s="34"/>
      <c r="AV310" s="34"/>
      <c r="AW310" s="34"/>
    </row>
    <row r="311" ht="15.0" customHeight="1">
      <c r="A311" s="32" t="s">
        <v>336</v>
      </c>
      <c r="B311" s="25"/>
      <c r="C311" s="25"/>
      <c r="D311" s="25"/>
      <c r="E311" s="25"/>
      <c r="F311" s="25"/>
      <c r="G311" s="35">
        <v>0.0</v>
      </c>
      <c r="H311" s="35">
        <v>1.0</v>
      </c>
      <c r="I311" s="25"/>
      <c r="J311" s="25"/>
      <c r="K311" s="25"/>
      <c r="L311" s="35"/>
      <c r="M311" s="35"/>
      <c r="N311" s="25"/>
      <c r="O311" s="25"/>
      <c r="P311" s="25"/>
      <c r="Q311" s="35">
        <v>2.0</v>
      </c>
      <c r="R311" s="35">
        <v>2.0</v>
      </c>
      <c r="S311" s="35">
        <v>2.0</v>
      </c>
      <c r="T311" s="35">
        <v>2.0</v>
      </c>
      <c r="U311" s="34"/>
      <c r="V311" s="34"/>
      <c r="W311" s="34"/>
      <c r="X311" s="34"/>
      <c r="Y311" s="34"/>
      <c r="Z311" s="34"/>
      <c r="AA311" s="25"/>
      <c r="AB311" s="25"/>
      <c r="AC311" s="25"/>
      <c r="AD311" s="25"/>
      <c r="AE311" s="25"/>
      <c r="AF311" s="25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25"/>
      <c r="AU311" s="34"/>
      <c r="AV311" s="34"/>
      <c r="AW311" s="34"/>
    </row>
    <row r="312" ht="15.0" customHeight="1">
      <c r="A312" s="32" t="s">
        <v>337</v>
      </c>
      <c r="B312" s="25"/>
      <c r="C312" s="25"/>
      <c r="D312" s="25"/>
      <c r="E312" s="25"/>
      <c r="F312" s="25"/>
      <c r="G312" s="35">
        <v>0.0</v>
      </c>
      <c r="H312" s="35">
        <v>1.0</v>
      </c>
      <c r="I312" s="25"/>
      <c r="J312" s="25"/>
      <c r="K312" s="25"/>
      <c r="L312" s="35"/>
      <c r="M312" s="35"/>
      <c r="N312" s="25"/>
      <c r="O312" s="25"/>
      <c r="P312" s="25"/>
      <c r="Q312" s="35">
        <v>2.0</v>
      </c>
      <c r="R312" s="35">
        <v>2.0</v>
      </c>
      <c r="S312" s="35">
        <v>2.0</v>
      </c>
      <c r="T312" s="35">
        <v>2.0</v>
      </c>
      <c r="U312" s="34"/>
      <c r="V312" s="34"/>
      <c r="W312" s="34"/>
      <c r="X312" s="34"/>
      <c r="Y312" s="34"/>
      <c r="Z312" s="34"/>
      <c r="AA312" s="25"/>
      <c r="AB312" s="25"/>
      <c r="AC312" s="25"/>
      <c r="AD312" s="25"/>
      <c r="AE312" s="25"/>
      <c r="AF312" s="25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25"/>
      <c r="AU312" s="34"/>
      <c r="AV312" s="34"/>
      <c r="AW312" s="34"/>
    </row>
    <row r="313" ht="15.0" customHeight="1">
      <c r="A313" s="32" t="s">
        <v>338</v>
      </c>
      <c r="B313" s="25"/>
      <c r="C313" s="25"/>
      <c r="D313" s="25"/>
      <c r="E313" s="25"/>
      <c r="F313" s="25"/>
      <c r="G313" s="35">
        <v>0.0</v>
      </c>
      <c r="H313" s="35">
        <v>1.0</v>
      </c>
      <c r="I313" s="25"/>
      <c r="J313" s="25"/>
      <c r="K313" s="25"/>
      <c r="L313" s="35"/>
      <c r="M313" s="35"/>
      <c r="N313" s="25"/>
      <c r="O313" s="25"/>
      <c r="P313" s="25"/>
      <c r="Q313" s="35">
        <v>2.0</v>
      </c>
      <c r="R313" s="35">
        <v>2.0</v>
      </c>
      <c r="S313" s="35">
        <v>2.0</v>
      </c>
      <c r="T313" s="35">
        <v>2.0</v>
      </c>
      <c r="U313" s="34"/>
      <c r="V313" s="34"/>
      <c r="W313" s="34"/>
      <c r="X313" s="34"/>
      <c r="Y313" s="34"/>
      <c r="Z313" s="34"/>
      <c r="AA313" s="25"/>
      <c r="AB313" s="25"/>
      <c r="AC313" s="25"/>
      <c r="AD313" s="25"/>
      <c r="AE313" s="25"/>
      <c r="AF313" s="25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25"/>
      <c r="AU313" s="34"/>
      <c r="AV313" s="34"/>
      <c r="AW313" s="34"/>
    </row>
    <row r="314" ht="15.0" customHeight="1">
      <c r="A314" s="32" t="s">
        <v>339</v>
      </c>
      <c r="B314" s="25"/>
      <c r="C314" s="25"/>
      <c r="D314" s="25"/>
      <c r="E314" s="25"/>
      <c r="F314" s="25"/>
      <c r="G314" s="35">
        <v>0.0</v>
      </c>
      <c r="H314" s="35">
        <v>1.0</v>
      </c>
      <c r="I314" s="25"/>
      <c r="J314" s="25"/>
      <c r="K314" s="25"/>
      <c r="L314" s="35"/>
      <c r="M314" s="35"/>
      <c r="N314" s="25"/>
      <c r="O314" s="25"/>
      <c r="P314" s="25"/>
      <c r="Q314" s="35">
        <v>2.0</v>
      </c>
      <c r="R314" s="35">
        <v>2.0</v>
      </c>
      <c r="S314" s="35">
        <v>2.0</v>
      </c>
      <c r="T314" s="35">
        <v>2.0</v>
      </c>
      <c r="U314" s="34"/>
      <c r="V314" s="34"/>
      <c r="W314" s="34"/>
      <c r="X314" s="34"/>
      <c r="Y314" s="34"/>
      <c r="Z314" s="34"/>
      <c r="AA314" s="25"/>
      <c r="AB314" s="25"/>
      <c r="AC314" s="25"/>
      <c r="AD314" s="25"/>
      <c r="AE314" s="25"/>
      <c r="AF314" s="25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25"/>
      <c r="AU314" s="34"/>
      <c r="AV314" s="34"/>
      <c r="AW314" s="34"/>
    </row>
    <row r="315" ht="15.0" customHeight="1">
      <c r="A315" s="32" t="s">
        <v>340</v>
      </c>
      <c r="B315" s="25"/>
      <c r="C315" s="25"/>
      <c r="D315" s="25"/>
      <c r="E315" s="25"/>
      <c r="F315" s="25"/>
      <c r="G315" s="35">
        <v>0.0</v>
      </c>
      <c r="H315" s="35">
        <v>1.0</v>
      </c>
      <c r="I315" s="25"/>
      <c r="J315" s="25"/>
      <c r="K315" s="25"/>
      <c r="L315" s="35"/>
      <c r="M315" s="35"/>
      <c r="N315" s="25"/>
      <c r="O315" s="25"/>
      <c r="P315" s="25"/>
      <c r="Q315" s="35">
        <v>2.0</v>
      </c>
      <c r="R315" s="35">
        <v>2.0</v>
      </c>
      <c r="S315" s="35">
        <v>2.0</v>
      </c>
      <c r="T315" s="35">
        <v>2.0</v>
      </c>
      <c r="U315" s="34"/>
      <c r="V315" s="34"/>
      <c r="W315" s="34"/>
      <c r="X315" s="34"/>
      <c r="Y315" s="34"/>
      <c r="Z315" s="34"/>
      <c r="AA315" s="25"/>
      <c r="AB315" s="25"/>
      <c r="AC315" s="25"/>
      <c r="AD315" s="25"/>
      <c r="AE315" s="25"/>
      <c r="AF315" s="25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25"/>
      <c r="AU315" s="34"/>
      <c r="AV315" s="34"/>
      <c r="AW315" s="34"/>
    </row>
    <row r="316" ht="15.0" customHeight="1">
      <c r="A316" s="32" t="s">
        <v>341</v>
      </c>
      <c r="B316" s="25"/>
      <c r="C316" s="25"/>
      <c r="D316" s="25"/>
      <c r="E316" s="25"/>
      <c r="F316" s="25"/>
      <c r="G316" s="35">
        <v>0.0</v>
      </c>
      <c r="H316" s="35">
        <v>1.0</v>
      </c>
      <c r="I316" s="25"/>
      <c r="J316" s="25"/>
      <c r="K316" s="25"/>
      <c r="L316" s="35"/>
      <c r="M316" s="35"/>
      <c r="N316" s="25"/>
      <c r="O316" s="25"/>
      <c r="P316" s="25"/>
      <c r="Q316" s="35">
        <v>2.0</v>
      </c>
      <c r="R316" s="35">
        <v>2.0</v>
      </c>
      <c r="S316" s="35">
        <v>2.0</v>
      </c>
      <c r="T316" s="35">
        <v>2.0</v>
      </c>
      <c r="U316" s="34"/>
      <c r="V316" s="34"/>
      <c r="W316" s="34"/>
      <c r="X316" s="34"/>
      <c r="Y316" s="34"/>
      <c r="Z316" s="34"/>
      <c r="AA316" s="25"/>
      <c r="AB316" s="25"/>
      <c r="AC316" s="25"/>
      <c r="AD316" s="25"/>
      <c r="AE316" s="25"/>
      <c r="AF316" s="25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25"/>
      <c r="AU316" s="34"/>
      <c r="AV316" s="34"/>
      <c r="AW316" s="34"/>
    </row>
    <row r="317" ht="15.0" customHeight="1">
      <c r="A317" s="32" t="s">
        <v>342</v>
      </c>
      <c r="B317" s="25"/>
      <c r="C317" s="25"/>
      <c r="D317" s="25"/>
      <c r="E317" s="25"/>
      <c r="F317" s="25"/>
      <c r="G317" s="35">
        <v>0.0</v>
      </c>
      <c r="H317" s="35">
        <v>1.0</v>
      </c>
      <c r="I317" s="25"/>
      <c r="J317" s="25"/>
      <c r="K317" s="25"/>
      <c r="L317" s="35"/>
      <c r="M317" s="35"/>
      <c r="N317" s="25"/>
      <c r="O317" s="25"/>
      <c r="P317" s="25"/>
      <c r="Q317" s="35">
        <v>2.0</v>
      </c>
      <c r="R317" s="35">
        <v>2.0</v>
      </c>
      <c r="S317" s="35">
        <v>2.0</v>
      </c>
      <c r="T317" s="35">
        <v>2.0</v>
      </c>
      <c r="U317" s="34"/>
      <c r="V317" s="34"/>
      <c r="W317" s="34"/>
      <c r="X317" s="34"/>
      <c r="Y317" s="34"/>
      <c r="Z317" s="34"/>
      <c r="AA317" s="25"/>
      <c r="AB317" s="25"/>
      <c r="AC317" s="25"/>
      <c r="AD317" s="25"/>
      <c r="AE317" s="25"/>
      <c r="AF317" s="25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25"/>
      <c r="AU317" s="34"/>
      <c r="AV317" s="34"/>
      <c r="AW317" s="34"/>
    </row>
    <row r="318" ht="15.0" customHeight="1">
      <c r="A318" s="32" t="s">
        <v>343</v>
      </c>
      <c r="B318" s="25"/>
      <c r="C318" s="25"/>
      <c r="D318" s="25"/>
      <c r="E318" s="25"/>
      <c r="F318" s="25"/>
      <c r="G318" s="35">
        <v>0.0</v>
      </c>
      <c r="H318" s="35">
        <v>1.0</v>
      </c>
      <c r="I318" s="25"/>
      <c r="J318" s="25"/>
      <c r="K318" s="25"/>
      <c r="L318" s="35"/>
      <c r="M318" s="35"/>
      <c r="N318" s="25"/>
      <c r="O318" s="25"/>
      <c r="P318" s="25"/>
      <c r="Q318" s="35">
        <v>2.0</v>
      </c>
      <c r="R318" s="35">
        <v>2.0</v>
      </c>
      <c r="S318" s="35">
        <v>2.0</v>
      </c>
      <c r="T318" s="35">
        <v>2.0</v>
      </c>
      <c r="U318" s="34"/>
      <c r="V318" s="34"/>
      <c r="W318" s="34"/>
      <c r="X318" s="34"/>
      <c r="Y318" s="34"/>
      <c r="Z318" s="34"/>
      <c r="AA318" s="25"/>
      <c r="AB318" s="25"/>
      <c r="AC318" s="25"/>
      <c r="AD318" s="25"/>
      <c r="AE318" s="25"/>
      <c r="AF318" s="25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25"/>
      <c r="AU318" s="34"/>
      <c r="AV318" s="34"/>
      <c r="AW318" s="34"/>
    </row>
    <row r="319" ht="15.0" customHeight="1">
      <c r="A319" s="32" t="s">
        <v>344</v>
      </c>
      <c r="B319" s="25"/>
      <c r="C319" s="25"/>
      <c r="D319" s="25"/>
      <c r="E319" s="25"/>
      <c r="F319" s="25"/>
      <c r="G319" s="35">
        <v>0.0</v>
      </c>
      <c r="H319" s="35">
        <v>1.0</v>
      </c>
      <c r="I319" s="25"/>
      <c r="J319" s="25"/>
      <c r="K319" s="25"/>
      <c r="L319" s="35"/>
      <c r="M319" s="35"/>
      <c r="N319" s="25"/>
      <c r="O319" s="25"/>
      <c r="P319" s="25"/>
      <c r="Q319" s="35">
        <v>2.0</v>
      </c>
      <c r="R319" s="35">
        <v>2.0</v>
      </c>
      <c r="S319" s="35">
        <v>2.0</v>
      </c>
      <c r="T319" s="35">
        <v>2.0</v>
      </c>
      <c r="U319" s="34"/>
      <c r="V319" s="34"/>
      <c r="W319" s="34"/>
      <c r="X319" s="34"/>
      <c r="Y319" s="34"/>
      <c r="Z319" s="34"/>
      <c r="AA319" s="25"/>
      <c r="AB319" s="25"/>
      <c r="AC319" s="25"/>
      <c r="AD319" s="25"/>
      <c r="AE319" s="25"/>
      <c r="AF319" s="25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25"/>
      <c r="AU319" s="34"/>
      <c r="AV319" s="34"/>
      <c r="AW319" s="34"/>
    </row>
    <row r="320" ht="15.0" customHeight="1">
      <c r="A320" s="32" t="s">
        <v>345</v>
      </c>
      <c r="B320" s="25"/>
      <c r="C320" s="25"/>
      <c r="D320" s="25"/>
      <c r="E320" s="25"/>
      <c r="F320" s="25"/>
      <c r="G320" s="35">
        <v>0.0</v>
      </c>
      <c r="H320" s="35">
        <v>1.0</v>
      </c>
      <c r="I320" s="25"/>
      <c r="J320" s="25"/>
      <c r="K320" s="25"/>
      <c r="L320" s="35"/>
      <c r="M320" s="35"/>
      <c r="N320" s="25"/>
      <c r="O320" s="25"/>
      <c r="P320" s="25"/>
      <c r="Q320" s="35">
        <v>2.0</v>
      </c>
      <c r="R320" s="35">
        <v>2.0</v>
      </c>
      <c r="S320" s="35">
        <v>2.0</v>
      </c>
      <c r="T320" s="35">
        <v>2.0</v>
      </c>
      <c r="U320" s="34"/>
      <c r="V320" s="34"/>
      <c r="W320" s="34"/>
      <c r="X320" s="34"/>
      <c r="Y320" s="34"/>
      <c r="Z320" s="34"/>
      <c r="AA320" s="25"/>
      <c r="AB320" s="25"/>
      <c r="AC320" s="25"/>
      <c r="AD320" s="25"/>
      <c r="AE320" s="25"/>
      <c r="AF320" s="25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25"/>
      <c r="AU320" s="34"/>
      <c r="AV320" s="34"/>
      <c r="AW320" s="34"/>
    </row>
    <row r="321" ht="15.0" customHeight="1">
      <c r="A321" s="32" t="s">
        <v>346</v>
      </c>
      <c r="B321" s="25"/>
      <c r="C321" s="25"/>
      <c r="D321" s="25"/>
      <c r="E321" s="25"/>
      <c r="F321" s="25"/>
      <c r="G321" s="35">
        <v>0.0</v>
      </c>
      <c r="H321" s="35">
        <v>1.0</v>
      </c>
      <c r="I321" s="25"/>
      <c r="J321" s="25"/>
      <c r="K321" s="25"/>
      <c r="L321" s="35"/>
      <c r="M321" s="35"/>
      <c r="N321" s="25"/>
      <c r="O321" s="25"/>
      <c r="P321" s="25"/>
      <c r="Q321" s="35">
        <v>2.0</v>
      </c>
      <c r="R321" s="35">
        <v>2.0</v>
      </c>
      <c r="S321" s="35">
        <v>2.0</v>
      </c>
      <c r="T321" s="35">
        <v>2.0</v>
      </c>
      <c r="U321" s="34"/>
      <c r="V321" s="34"/>
      <c r="W321" s="34"/>
      <c r="X321" s="34"/>
      <c r="Y321" s="34"/>
      <c r="Z321" s="34"/>
      <c r="AA321" s="25"/>
      <c r="AB321" s="25"/>
      <c r="AC321" s="25"/>
      <c r="AD321" s="25"/>
      <c r="AE321" s="25"/>
      <c r="AF321" s="25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25"/>
      <c r="AU321" s="34"/>
      <c r="AV321" s="34"/>
      <c r="AW321" s="34"/>
    </row>
    <row r="322" ht="15.0" customHeight="1">
      <c r="A322" s="32" t="s">
        <v>347</v>
      </c>
      <c r="B322" s="25"/>
      <c r="C322" s="25"/>
      <c r="D322" s="25"/>
      <c r="E322" s="25"/>
      <c r="F322" s="25"/>
      <c r="G322" s="35">
        <v>0.0</v>
      </c>
      <c r="H322" s="35">
        <v>1.0</v>
      </c>
      <c r="I322" s="25"/>
      <c r="J322" s="25"/>
      <c r="K322" s="25"/>
      <c r="L322" s="35"/>
      <c r="M322" s="35"/>
      <c r="N322" s="25"/>
      <c r="O322" s="25"/>
      <c r="P322" s="25"/>
      <c r="Q322" s="35">
        <v>2.0</v>
      </c>
      <c r="R322" s="35">
        <v>2.0</v>
      </c>
      <c r="S322" s="35">
        <v>2.0</v>
      </c>
      <c r="T322" s="35">
        <v>2.0</v>
      </c>
      <c r="U322" s="34"/>
      <c r="V322" s="34"/>
      <c r="W322" s="34"/>
      <c r="X322" s="34"/>
      <c r="Y322" s="34"/>
      <c r="Z322" s="34"/>
      <c r="AA322" s="25"/>
      <c r="AB322" s="25"/>
      <c r="AC322" s="25"/>
      <c r="AD322" s="25"/>
      <c r="AE322" s="25"/>
      <c r="AF322" s="25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25"/>
      <c r="AU322" s="34"/>
      <c r="AV322" s="34"/>
      <c r="AW322" s="34"/>
    </row>
    <row r="323" ht="15.0" customHeight="1">
      <c r="A323" s="32" t="s">
        <v>348</v>
      </c>
      <c r="B323" s="25"/>
      <c r="C323" s="25"/>
      <c r="D323" s="25"/>
      <c r="E323" s="25"/>
      <c r="F323" s="25"/>
      <c r="G323" s="35">
        <v>0.0</v>
      </c>
      <c r="H323" s="35">
        <v>1.0</v>
      </c>
      <c r="I323" s="25"/>
      <c r="J323" s="25"/>
      <c r="K323" s="25"/>
      <c r="L323" s="35"/>
      <c r="M323" s="35"/>
      <c r="N323" s="25"/>
      <c r="O323" s="25"/>
      <c r="P323" s="25"/>
      <c r="Q323" s="35">
        <v>2.0</v>
      </c>
      <c r="R323" s="35">
        <v>2.0</v>
      </c>
      <c r="S323" s="35">
        <v>2.0</v>
      </c>
      <c r="T323" s="35">
        <v>2.0</v>
      </c>
      <c r="U323" s="34"/>
      <c r="V323" s="34"/>
      <c r="W323" s="34"/>
      <c r="X323" s="34"/>
      <c r="Y323" s="34"/>
      <c r="Z323" s="34"/>
      <c r="AA323" s="25"/>
      <c r="AB323" s="25"/>
      <c r="AC323" s="25"/>
      <c r="AD323" s="25"/>
      <c r="AE323" s="25"/>
      <c r="AF323" s="25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25"/>
      <c r="AU323" s="34"/>
      <c r="AV323" s="34"/>
      <c r="AW323" s="34"/>
    </row>
    <row r="324" ht="15.0" customHeight="1">
      <c r="A324" s="32" t="s">
        <v>349</v>
      </c>
      <c r="B324" s="25"/>
      <c r="C324" s="25"/>
      <c r="D324" s="25"/>
      <c r="E324" s="25"/>
      <c r="F324" s="25"/>
      <c r="G324" s="35">
        <v>0.0</v>
      </c>
      <c r="H324" s="35">
        <v>1.0</v>
      </c>
      <c r="I324" s="25"/>
      <c r="J324" s="25"/>
      <c r="K324" s="25"/>
      <c r="L324" s="35"/>
      <c r="M324" s="35"/>
      <c r="N324" s="25"/>
      <c r="O324" s="25"/>
      <c r="P324" s="25"/>
      <c r="Q324" s="35">
        <v>2.0</v>
      </c>
      <c r="R324" s="35">
        <v>2.0</v>
      </c>
      <c r="S324" s="35">
        <v>2.0</v>
      </c>
      <c r="T324" s="35">
        <v>2.0</v>
      </c>
      <c r="U324" s="34"/>
      <c r="V324" s="34"/>
      <c r="W324" s="34"/>
      <c r="X324" s="34"/>
      <c r="Y324" s="34"/>
      <c r="Z324" s="34"/>
      <c r="AA324" s="25"/>
      <c r="AB324" s="25"/>
      <c r="AC324" s="25"/>
      <c r="AD324" s="25"/>
      <c r="AE324" s="25"/>
      <c r="AF324" s="25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25"/>
      <c r="AU324" s="34"/>
      <c r="AV324" s="34"/>
      <c r="AW324" s="34"/>
    </row>
    <row r="325" ht="15.0" customHeight="1">
      <c r="A325" s="32" t="s">
        <v>350</v>
      </c>
      <c r="B325" s="25"/>
      <c r="C325" s="25"/>
      <c r="D325" s="25"/>
      <c r="E325" s="25"/>
      <c r="F325" s="25"/>
      <c r="G325" s="35">
        <v>0.0</v>
      </c>
      <c r="H325" s="35">
        <v>1.0</v>
      </c>
      <c r="I325" s="25"/>
      <c r="J325" s="25"/>
      <c r="K325" s="25"/>
      <c r="L325" s="35"/>
      <c r="M325" s="35"/>
      <c r="N325" s="25"/>
      <c r="O325" s="25"/>
      <c r="P325" s="25"/>
      <c r="Q325" s="35">
        <v>2.0</v>
      </c>
      <c r="R325" s="35">
        <v>2.0</v>
      </c>
      <c r="S325" s="35">
        <v>2.0</v>
      </c>
      <c r="T325" s="35">
        <v>2.0</v>
      </c>
      <c r="U325" s="34"/>
      <c r="V325" s="34"/>
      <c r="W325" s="34"/>
      <c r="X325" s="34"/>
      <c r="Y325" s="34"/>
      <c r="Z325" s="34"/>
      <c r="AA325" s="25"/>
      <c r="AB325" s="25"/>
      <c r="AC325" s="25"/>
      <c r="AD325" s="25"/>
      <c r="AE325" s="25"/>
      <c r="AF325" s="25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25"/>
      <c r="AU325" s="34"/>
      <c r="AV325" s="34"/>
      <c r="AW325" s="34"/>
    </row>
    <row r="326" ht="15.0" customHeight="1">
      <c r="A326" s="32" t="s">
        <v>351</v>
      </c>
      <c r="B326" s="25"/>
      <c r="C326" s="25"/>
      <c r="D326" s="25"/>
      <c r="E326" s="25"/>
      <c r="F326" s="25"/>
      <c r="G326" s="35">
        <v>0.0</v>
      </c>
      <c r="H326" s="35">
        <v>1.0</v>
      </c>
      <c r="I326" s="25"/>
      <c r="J326" s="25"/>
      <c r="K326" s="25"/>
      <c r="L326" s="35"/>
      <c r="M326" s="35"/>
      <c r="N326" s="25"/>
      <c r="O326" s="25"/>
      <c r="P326" s="25"/>
      <c r="Q326" s="35">
        <v>2.0</v>
      </c>
      <c r="R326" s="35">
        <v>2.0</v>
      </c>
      <c r="S326" s="35">
        <v>2.0</v>
      </c>
      <c r="T326" s="35">
        <v>2.0</v>
      </c>
      <c r="U326" s="34"/>
      <c r="V326" s="34"/>
      <c r="W326" s="34"/>
      <c r="X326" s="34"/>
      <c r="Y326" s="34"/>
      <c r="Z326" s="34"/>
      <c r="AA326" s="25"/>
      <c r="AB326" s="25"/>
      <c r="AC326" s="25"/>
      <c r="AD326" s="25"/>
      <c r="AE326" s="25"/>
      <c r="AF326" s="25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25"/>
      <c r="AU326" s="34"/>
      <c r="AV326" s="34"/>
      <c r="AW326" s="34"/>
    </row>
    <row r="327" ht="15.0" customHeight="1">
      <c r="A327" s="32" t="s">
        <v>352</v>
      </c>
      <c r="B327" s="25"/>
      <c r="C327" s="25"/>
      <c r="D327" s="25"/>
      <c r="E327" s="25"/>
      <c r="F327" s="25"/>
      <c r="G327" s="35">
        <v>0.0</v>
      </c>
      <c r="H327" s="35">
        <v>1.0</v>
      </c>
      <c r="I327" s="25"/>
      <c r="J327" s="25"/>
      <c r="K327" s="25"/>
      <c r="L327" s="35"/>
      <c r="M327" s="35"/>
      <c r="N327" s="25"/>
      <c r="O327" s="25"/>
      <c r="P327" s="25"/>
      <c r="Q327" s="35">
        <v>2.0</v>
      </c>
      <c r="R327" s="35">
        <v>2.0</v>
      </c>
      <c r="S327" s="35">
        <v>2.0</v>
      </c>
      <c r="T327" s="35">
        <v>2.0</v>
      </c>
      <c r="U327" s="34"/>
      <c r="V327" s="34"/>
      <c r="W327" s="34"/>
      <c r="X327" s="34"/>
      <c r="Y327" s="34"/>
      <c r="Z327" s="34"/>
      <c r="AA327" s="25"/>
      <c r="AB327" s="25"/>
      <c r="AC327" s="25"/>
      <c r="AD327" s="25"/>
      <c r="AE327" s="25"/>
      <c r="AF327" s="25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25"/>
      <c r="AU327" s="34"/>
      <c r="AV327" s="34"/>
      <c r="AW327" s="34"/>
    </row>
    <row r="328" ht="15.0" customHeight="1">
      <c r="A328" s="32" t="s">
        <v>353</v>
      </c>
      <c r="B328" s="25"/>
      <c r="C328" s="25"/>
      <c r="D328" s="25"/>
      <c r="E328" s="25"/>
      <c r="F328" s="25"/>
      <c r="G328" s="35">
        <v>0.0</v>
      </c>
      <c r="H328" s="35">
        <v>1.0</v>
      </c>
      <c r="I328" s="25"/>
      <c r="J328" s="25"/>
      <c r="K328" s="25"/>
      <c r="L328" s="35"/>
      <c r="M328" s="35"/>
      <c r="N328" s="25"/>
      <c r="O328" s="25"/>
      <c r="P328" s="25"/>
      <c r="Q328" s="35">
        <v>2.0</v>
      </c>
      <c r="R328" s="35">
        <v>2.0</v>
      </c>
      <c r="S328" s="35">
        <v>2.0</v>
      </c>
      <c r="T328" s="35">
        <v>2.0</v>
      </c>
      <c r="U328" s="34"/>
      <c r="V328" s="34"/>
      <c r="W328" s="34"/>
      <c r="X328" s="34"/>
      <c r="Y328" s="34"/>
      <c r="Z328" s="34"/>
      <c r="AA328" s="25"/>
      <c r="AB328" s="25"/>
      <c r="AC328" s="25"/>
      <c r="AD328" s="25"/>
      <c r="AE328" s="25"/>
      <c r="AF328" s="25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25"/>
      <c r="AU328" s="34"/>
      <c r="AV328" s="34"/>
      <c r="AW328" s="34"/>
    </row>
    <row r="329" ht="15.0" customHeight="1">
      <c r="A329" s="32" t="s">
        <v>354</v>
      </c>
      <c r="B329" s="25"/>
      <c r="C329" s="25"/>
      <c r="D329" s="25"/>
      <c r="E329" s="25"/>
      <c r="F329" s="25"/>
      <c r="G329" s="35">
        <v>0.0</v>
      </c>
      <c r="H329" s="35">
        <v>1.0</v>
      </c>
      <c r="I329" s="25"/>
      <c r="J329" s="25"/>
      <c r="K329" s="25"/>
      <c r="L329" s="35"/>
      <c r="M329" s="35"/>
      <c r="N329" s="25"/>
      <c r="O329" s="25"/>
      <c r="P329" s="25"/>
      <c r="Q329" s="35">
        <v>2.0</v>
      </c>
      <c r="R329" s="35">
        <v>2.0</v>
      </c>
      <c r="S329" s="35">
        <v>2.0</v>
      </c>
      <c r="T329" s="35">
        <v>2.0</v>
      </c>
      <c r="U329" s="34"/>
      <c r="V329" s="34"/>
      <c r="W329" s="34"/>
      <c r="X329" s="34"/>
      <c r="Y329" s="34"/>
      <c r="Z329" s="34"/>
      <c r="AA329" s="25"/>
      <c r="AB329" s="25"/>
      <c r="AC329" s="25"/>
      <c r="AD329" s="25"/>
      <c r="AE329" s="25"/>
      <c r="AF329" s="25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25"/>
      <c r="AU329" s="34"/>
      <c r="AV329" s="34"/>
      <c r="AW329" s="34"/>
    </row>
    <row r="330" ht="15.0" customHeight="1">
      <c r="A330" s="32" t="s">
        <v>355</v>
      </c>
      <c r="B330" s="25"/>
      <c r="C330" s="25"/>
      <c r="D330" s="25"/>
      <c r="E330" s="25"/>
      <c r="F330" s="25"/>
      <c r="G330" s="35">
        <v>0.0</v>
      </c>
      <c r="H330" s="35">
        <v>1.0</v>
      </c>
      <c r="I330" s="25"/>
      <c r="J330" s="25"/>
      <c r="K330" s="25"/>
      <c r="L330" s="35"/>
      <c r="M330" s="35"/>
      <c r="N330" s="25"/>
      <c r="O330" s="25"/>
      <c r="P330" s="25"/>
      <c r="Q330" s="35">
        <v>2.0</v>
      </c>
      <c r="R330" s="35">
        <v>2.0</v>
      </c>
      <c r="S330" s="35">
        <v>2.0</v>
      </c>
      <c r="T330" s="35">
        <v>2.0</v>
      </c>
      <c r="U330" s="34"/>
      <c r="V330" s="34"/>
      <c r="W330" s="34"/>
      <c r="X330" s="34"/>
      <c r="Y330" s="34"/>
      <c r="Z330" s="34"/>
      <c r="AA330" s="25"/>
      <c r="AB330" s="25"/>
      <c r="AC330" s="25"/>
      <c r="AD330" s="25"/>
      <c r="AE330" s="25"/>
      <c r="AF330" s="25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25"/>
      <c r="AU330" s="34"/>
      <c r="AV330" s="34"/>
      <c r="AW330" s="34"/>
    </row>
    <row r="331" ht="15.0" customHeight="1">
      <c r="A331" s="32" t="s">
        <v>356</v>
      </c>
      <c r="B331" s="25"/>
      <c r="C331" s="25"/>
      <c r="D331" s="25"/>
      <c r="E331" s="25"/>
      <c r="F331" s="25"/>
      <c r="G331" s="35">
        <v>0.0</v>
      </c>
      <c r="H331" s="35">
        <v>1.0</v>
      </c>
      <c r="I331" s="25"/>
      <c r="J331" s="25"/>
      <c r="K331" s="25"/>
      <c r="L331" s="35"/>
      <c r="M331" s="35"/>
      <c r="N331" s="25"/>
      <c r="O331" s="25"/>
      <c r="P331" s="25"/>
      <c r="Q331" s="35">
        <v>2.0</v>
      </c>
      <c r="R331" s="35">
        <v>2.0</v>
      </c>
      <c r="S331" s="35">
        <v>2.0</v>
      </c>
      <c r="T331" s="35">
        <v>2.0</v>
      </c>
      <c r="U331" s="34"/>
      <c r="V331" s="34"/>
      <c r="W331" s="34"/>
      <c r="X331" s="34"/>
      <c r="Y331" s="34"/>
      <c r="Z331" s="34"/>
      <c r="AA331" s="25"/>
      <c r="AB331" s="25"/>
      <c r="AC331" s="25"/>
      <c r="AD331" s="25"/>
      <c r="AE331" s="25"/>
      <c r="AF331" s="25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25"/>
      <c r="AU331" s="34"/>
      <c r="AV331" s="34"/>
      <c r="AW331" s="34"/>
    </row>
    <row r="332" ht="15.0" customHeight="1">
      <c r="A332" s="32" t="s">
        <v>357</v>
      </c>
      <c r="B332" s="25"/>
      <c r="C332" s="25"/>
      <c r="D332" s="25"/>
      <c r="E332" s="25"/>
      <c r="F332" s="25"/>
      <c r="G332" s="35">
        <v>0.0</v>
      </c>
      <c r="H332" s="35">
        <v>1.0</v>
      </c>
      <c r="I332" s="25"/>
      <c r="J332" s="25"/>
      <c r="K332" s="25"/>
      <c r="L332" s="35"/>
      <c r="M332" s="35"/>
      <c r="N332" s="25"/>
      <c r="O332" s="25"/>
      <c r="P332" s="25"/>
      <c r="Q332" s="35">
        <v>2.0</v>
      </c>
      <c r="R332" s="35">
        <v>2.0</v>
      </c>
      <c r="S332" s="35">
        <v>2.0</v>
      </c>
      <c r="T332" s="35">
        <v>2.0</v>
      </c>
      <c r="U332" s="34"/>
      <c r="V332" s="34"/>
      <c r="W332" s="34"/>
      <c r="X332" s="34"/>
      <c r="Y332" s="34"/>
      <c r="Z332" s="34"/>
      <c r="AA332" s="25"/>
      <c r="AB332" s="25"/>
      <c r="AC332" s="25"/>
      <c r="AD332" s="25"/>
      <c r="AE332" s="25"/>
      <c r="AF332" s="25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25"/>
      <c r="AU332" s="34"/>
      <c r="AV332" s="34"/>
      <c r="AW332" s="34"/>
    </row>
    <row r="333" ht="15.0" customHeight="1">
      <c r="A333" s="32" t="s">
        <v>358</v>
      </c>
      <c r="B333" s="25"/>
      <c r="C333" s="25"/>
      <c r="D333" s="25"/>
      <c r="E333" s="25"/>
      <c r="F333" s="25"/>
      <c r="G333" s="35">
        <v>0.0</v>
      </c>
      <c r="H333" s="35">
        <v>1.0</v>
      </c>
      <c r="I333" s="25"/>
      <c r="J333" s="25"/>
      <c r="K333" s="25"/>
      <c r="L333" s="35"/>
      <c r="M333" s="35"/>
      <c r="N333" s="25"/>
      <c r="O333" s="25"/>
      <c r="P333" s="25"/>
      <c r="Q333" s="35">
        <v>2.0</v>
      </c>
      <c r="R333" s="35">
        <v>2.0</v>
      </c>
      <c r="S333" s="35">
        <v>2.0</v>
      </c>
      <c r="T333" s="35">
        <v>2.0</v>
      </c>
      <c r="U333" s="34"/>
      <c r="V333" s="34"/>
      <c r="W333" s="34"/>
      <c r="X333" s="34"/>
      <c r="Y333" s="34"/>
      <c r="Z333" s="34"/>
      <c r="AA333" s="25"/>
      <c r="AB333" s="25"/>
      <c r="AC333" s="25"/>
      <c r="AD333" s="25"/>
      <c r="AE333" s="25"/>
      <c r="AF333" s="25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25"/>
      <c r="AU333" s="34"/>
      <c r="AV333" s="34"/>
      <c r="AW333" s="34"/>
    </row>
    <row r="334" ht="15.0" customHeight="1">
      <c r="A334" s="32" t="s">
        <v>359</v>
      </c>
      <c r="B334" s="25"/>
      <c r="C334" s="25"/>
      <c r="D334" s="25"/>
      <c r="E334" s="25"/>
      <c r="F334" s="25"/>
      <c r="G334" s="35">
        <v>0.0</v>
      </c>
      <c r="H334" s="35">
        <v>1.0</v>
      </c>
      <c r="I334" s="25"/>
      <c r="J334" s="25"/>
      <c r="K334" s="25"/>
      <c r="L334" s="35"/>
      <c r="M334" s="35"/>
      <c r="N334" s="25"/>
      <c r="O334" s="25"/>
      <c r="P334" s="25"/>
      <c r="Q334" s="35">
        <v>2.0</v>
      </c>
      <c r="R334" s="35">
        <v>2.0</v>
      </c>
      <c r="S334" s="35">
        <v>2.0</v>
      </c>
      <c r="T334" s="35">
        <v>2.0</v>
      </c>
      <c r="U334" s="34"/>
      <c r="V334" s="34"/>
      <c r="W334" s="34"/>
      <c r="X334" s="34"/>
      <c r="Y334" s="34"/>
      <c r="Z334" s="34"/>
      <c r="AA334" s="25"/>
      <c r="AB334" s="25"/>
      <c r="AC334" s="25"/>
      <c r="AD334" s="25"/>
      <c r="AE334" s="25"/>
      <c r="AF334" s="25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25"/>
      <c r="AU334" s="34"/>
      <c r="AV334" s="34"/>
      <c r="AW334" s="34"/>
    </row>
    <row r="335" ht="15.0" customHeight="1">
      <c r="A335" s="32" t="s">
        <v>360</v>
      </c>
      <c r="B335" s="25"/>
      <c r="C335" s="25"/>
      <c r="D335" s="25"/>
      <c r="E335" s="25"/>
      <c r="F335" s="25"/>
      <c r="G335" s="35">
        <v>0.0</v>
      </c>
      <c r="H335" s="35">
        <v>1.0</v>
      </c>
      <c r="I335" s="25"/>
      <c r="J335" s="25"/>
      <c r="K335" s="25"/>
      <c r="L335" s="35"/>
      <c r="M335" s="35"/>
      <c r="N335" s="25"/>
      <c r="O335" s="25"/>
      <c r="P335" s="25"/>
      <c r="Q335" s="35">
        <v>2.0</v>
      </c>
      <c r="R335" s="35">
        <v>2.0</v>
      </c>
      <c r="S335" s="35">
        <v>2.0</v>
      </c>
      <c r="T335" s="35">
        <v>2.0</v>
      </c>
      <c r="U335" s="34"/>
      <c r="V335" s="34"/>
      <c r="W335" s="34"/>
      <c r="X335" s="34"/>
      <c r="Y335" s="34"/>
      <c r="Z335" s="34"/>
      <c r="AA335" s="25"/>
      <c r="AB335" s="25"/>
      <c r="AC335" s="25"/>
      <c r="AD335" s="25"/>
      <c r="AE335" s="25"/>
      <c r="AF335" s="25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25"/>
      <c r="AU335" s="34"/>
      <c r="AV335" s="34"/>
      <c r="AW335" s="34"/>
    </row>
    <row r="336" ht="15.0" customHeight="1">
      <c r="A336" s="32" t="s">
        <v>361</v>
      </c>
      <c r="B336" s="25"/>
      <c r="C336" s="25"/>
      <c r="D336" s="25"/>
      <c r="E336" s="25"/>
      <c r="F336" s="25"/>
      <c r="G336" s="35">
        <v>0.0</v>
      </c>
      <c r="H336" s="35">
        <v>1.0</v>
      </c>
      <c r="I336" s="25"/>
      <c r="J336" s="25"/>
      <c r="K336" s="25"/>
      <c r="L336" s="35"/>
      <c r="M336" s="35"/>
      <c r="N336" s="25"/>
      <c r="O336" s="25"/>
      <c r="P336" s="25"/>
      <c r="Q336" s="35">
        <v>2.0</v>
      </c>
      <c r="R336" s="35">
        <v>2.0</v>
      </c>
      <c r="S336" s="35">
        <v>2.0</v>
      </c>
      <c r="T336" s="35">
        <v>2.0</v>
      </c>
      <c r="U336" s="34"/>
      <c r="V336" s="34"/>
      <c r="W336" s="34"/>
      <c r="X336" s="34"/>
      <c r="Y336" s="34"/>
      <c r="Z336" s="34"/>
      <c r="AA336" s="25"/>
      <c r="AB336" s="25"/>
      <c r="AC336" s="25"/>
      <c r="AD336" s="25"/>
      <c r="AE336" s="25"/>
      <c r="AF336" s="25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25"/>
      <c r="AU336" s="34"/>
      <c r="AV336" s="34"/>
      <c r="AW336" s="34"/>
    </row>
    <row r="337" ht="15.0" customHeight="1">
      <c r="A337" s="32" t="s">
        <v>362</v>
      </c>
      <c r="B337" s="25"/>
      <c r="C337" s="25"/>
      <c r="D337" s="25"/>
      <c r="E337" s="25"/>
      <c r="F337" s="25"/>
      <c r="G337" s="35">
        <v>0.0</v>
      </c>
      <c r="H337" s="35">
        <v>1.0</v>
      </c>
      <c r="I337" s="25"/>
      <c r="J337" s="25"/>
      <c r="K337" s="25"/>
      <c r="L337" s="35"/>
      <c r="M337" s="35"/>
      <c r="N337" s="25"/>
      <c r="O337" s="25"/>
      <c r="P337" s="25"/>
      <c r="Q337" s="35">
        <v>2.0</v>
      </c>
      <c r="R337" s="35">
        <v>2.0</v>
      </c>
      <c r="S337" s="35">
        <v>2.0</v>
      </c>
      <c r="T337" s="35">
        <v>2.0</v>
      </c>
      <c r="U337" s="34"/>
      <c r="V337" s="34"/>
      <c r="W337" s="34"/>
      <c r="X337" s="34"/>
      <c r="Y337" s="34"/>
      <c r="Z337" s="34"/>
      <c r="AA337" s="25"/>
      <c r="AB337" s="25"/>
      <c r="AC337" s="25"/>
      <c r="AD337" s="25"/>
      <c r="AE337" s="25"/>
      <c r="AF337" s="25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25"/>
      <c r="AU337" s="34"/>
      <c r="AV337" s="34"/>
      <c r="AW337" s="34"/>
    </row>
    <row r="338" ht="15.0" customHeight="1">
      <c r="A338" s="32" t="s">
        <v>363</v>
      </c>
      <c r="B338" s="25"/>
      <c r="C338" s="25"/>
      <c r="D338" s="25"/>
      <c r="E338" s="25"/>
      <c r="F338" s="25"/>
      <c r="G338" s="35">
        <v>0.0</v>
      </c>
      <c r="H338" s="35">
        <v>1.0</v>
      </c>
      <c r="I338" s="25"/>
      <c r="J338" s="25"/>
      <c r="K338" s="25"/>
      <c r="L338" s="35"/>
      <c r="M338" s="35"/>
      <c r="N338" s="25"/>
      <c r="O338" s="25"/>
      <c r="P338" s="25"/>
      <c r="Q338" s="35">
        <v>2.0</v>
      </c>
      <c r="R338" s="35">
        <v>2.0</v>
      </c>
      <c r="S338" s="35">
        <v>2.0</v>
      </c>
      <c r="T338" s="35">
        <v>2.0</v>
      </c>
      <c r="U338" s="34"/>
      <c r="V338" s="34"/>
      <c r="W338" s="34"/>
      <c r="X338" s="34"/>
      <c r="Y338" s="34"/>
      <c r="Z338" s="34"/>
      <c r="AA338" s="25"/>
      <c r="AB338" s="25"/>
      <c r="AC338" s="25"/>
      <c r="AD338" s="25"/>
      <c r="AE338" s="25"/>
      <c r="AF338" s="25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25"/>
      <c r="AU338" s="34"/>
      <c r="AV338" s="34"/>
      <c r="AW338" s="34"/>
    </row>
    <row r="339" ht="15.0" customHeight="1">
      <c r="A339" s="32" t="s">
        <v>364</v>
      </c>
      <c r="B339" s="25"/>
      <c r="C339" s="25"/>
      <c r="D339" s="25"/>
      <c r="E339" s="25"/>
      <c r="F339" s="25"/>
      <c r="G339" s="35">
        <v>0.0</v>
      </c>
      <c r="H339" s="35">
        <v>1.0</v>
      </c>
      <c r="I339" s="25"/>
      <c r="J339" s="25"/>
      <c r="K339" s="25"/>
      <c r="L339" s="35"/>
      <c r="M339" s="35"/>
      <c r="N339" s="25"/>
      <c r="O339" s="25"/>
      <c r="P339" s="25"/>
      <c r="Q339" s="35">
        <v>2.0</v>
      </c>
      <c r="R339" s="35">
        <v>2.0</v>
      </c>
      <c r="S339" s="35">
        <v>2.0</v>
      </c>
      <c r="T339" s="35">
        <v>2.0</v>
      </c>
      <c r="U339" s="34"/>
      <c r="V339" s="34"/>
      <c r="W339" s="34"/>
      <c r="X339" s="34"/>
      <c r="Y339" s="34"/>
      <c r="Z339" s="34"/>
      <c r="AA339" s="25"/>
      <c r="AB339" s="25"/>
      <c r="AC339" s="25"/>
      <c r="AD339" s="25"/>
      <c r="AE339" s="25"/>
      <c r="AF339" s="25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25"/>
      <c r="AU339" s="34"/>
      <c r="AV339" s="34"/>
      <c r="AW339" s="34"/>
    </row>
    <row r="340" ht="15.0" customHeight="1">
      <c r="A340" s="32" t="s">
        <v>365</v>
      </c>
      <c r="B340" s="25"/>
      <c r="C340" s="25"/>
      <c r="D340" s="25"/>
      <c r="E340" s="25"/>
      <c r="F340" s="25"/>
      <c r="G340" s="35">
        <v>0.0</v>
      </c>
      <c r="H340" s="35">
        <v>1.0</v>
      </c>
      <c r="I340" s="25"/>
      <c r="J340" s="25"/>
      <c r="K340" s="25"/>
      <c r="L340" s="35"/>
      <c r="M340" s="35"/>
      <c r="N340" s="25"/>
      <c r="O340" s="25"/>
      <c r="P340" s="25"/>
      <c r="Q340" s="35">
        <v>2.0</v>
      </c>
      <c r="R340" s="35">
        <v>2.0</v>
      </c>
      <c r="S340" s="35">
        <v>2.0</v>
      </c>
      <c r="T340" s="35">
        <v>2.0</v>
      </c>
      <c r="U340" s="34"/>
      <c r="V340" s="34"/>
      <c r="W340" s="34"/>
      <c r="X340" s="34"/>
      <c r="Y340" s="34"/>
      <c r="Z340" s="34"/>
      <c r="AA340" s="25"/>
      <c r="AB340" s="25"/>
      <c r="AC340" s="25"/>
      <c r="AD340" s="25"/>
      <c r="AE340" s="25"/>
      <c r="AF340" s="25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25"/>
      <c r="AU340" s="34"/>
      <c r="AV340" s="34"/>
      <c r="AW340" s="34"/>
    </row>
    <row r="341" ht="15.0" customHeight="1">
      <c r="A341" s="32" t="s">
        <v>366</v>
      </c>
      <c r="B341" s="25"/>
      <c r="C341" s="25"/>
      <c r="D341" s="25"/>
      <c r="E341" s="25"/>
      <c r="F341" s="25"/>
      <c r="G341" s="35">
        <v>0.0</v>
      </c>
      <c r="H341" s="35">
        <v>1.0</v>
      </c>
      <c r="I341" s="25"/>
      <c r="J341" s="25"/>
      <c r="K341" s="25"/>
      <c r="L341" s="35"/>
      <c r="M341" s="35"/>
      <c r="N341" s="25"/>
      <c r="O341" s="25"/>
      <c r="P341" s="25"/>
      <c r="Q341" s="35">
        <v>2.0</v>
      </c>
      <c r="R341" s="35">
        <v>2.0</v>
      </c>
      <c r="S341" s="35">
        <v>2.0</v>
      </c>
      <c r="T341" s="35">
        <v>2.0</v>
      </c>
      <c r="U341" s="34"/>
      <c r="V341" s="34"/>
      <c r="W341" s="34"/>
      <c r="X341" s="34"/>
      <c r="Y341" s="34"/>
      <c r="Z341" s="34"/>
      <c r="AA341" s="25"/>
      <c r="AB341" s="25"/>
      <c r="AC341" s="25"/>
      <c r="AD341" s="25"/>
      <c r="AE341" s="25"/>
      <c r="AF341" s="25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25"/>
      <c r="AU341" s="34"/>
      <c r="AV341" s="34"/>
      <c r="AW341" s="34"/>
    </row>
    <row r="342" ht="15.0" customHeight="1">
      <c r="A342" s="32" t="s">
        <v>367</v>
      </c>
      <c r="B342" s="25"/>
      <c r="C342" s="25"/>
      <c r="D342" s="25"/>
      <c r="E342" s="25"/>
      <c r="F342" s="25"/>
      <c r="G342" s="35">
        <v>0.0</v>
      </c>
      <c r="H342" s="35">
        <v>1.0</v>
      </c>
      <c r="I342" s="25"/>
      <c r="J342" s="25"/>
      <c r="K342" s="25"/>
      <c r="L342" s="35"/>
      <c r="M342" s="35"/>
      <c r="N342" s="25"/>
      <c r="O342" s="25"/>
      <c r="P342" s="25"/>
      <c r="Q342" s="35">
        <v>2.0</v>
      </c>
      <c r="R342" s="35">
        <v>2.0</v>
      </c>
      <c r="S342" s="35">
        <v>2.0</v>
      </c>
      <c r="T342" s="35">
        <v>2.0</v>
      </c>
      <c r="U342" s="34"/>
      <c r="V342" s="34"/>
      <c r="W342" s="34"/>
      <c r="X342" s="34"/>
      <c r="Y342" s="34"/>
      <c r="Z342" s="34"/>
      <c r="AA342" s="25"/>
      <c r="AB342" s="25"/>
      <c r="AC342" s="25"/>
      <c r="AD342" s="25"/>
      <c r="AE342" s="25"/>
      <c r="AF342" s="25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25"/>
      <c r="AU342" s="34"/>
      <c r="AV342" s="34"/>
      <c r="AW342" s="34"/>
    </row>
    <row r="343" ht="15.0" customHeight="1">
      <c r="A343" s="32" t="s">
        <v>368</v>
      </c>
      <c r="B343" s="25"/>
      <c r="C343" s="25"/>
      <c r="D343" s="25"/>
      <c r="E343" s="25"/>
      <c r="F343" s="25"/>
      <c r="G343" s="35">
        <v>0.0</v>
      </c>
      <c r="H343" s="35">
        <v>1.0</v>
      </c>
      <c r="I343" s="25"/>
      <c r="J343" s="25"/>
      <c r="K343" s="25"/>
      <c r="L343" s="35"/>
      <c r="M343" s="35"/>
      <c r="N343" s="25"/>
      <c r="O343" s="25"/>
      <c r="P343" s="25"/>
      <c r="Q343" s="35">
        <v>2.0</v>
      </c>
      <c r="R343" s="35">
        <v>2.0</v>
      </c>
      <c r="S343" s="35">
        <v>2.0</v>
      </c>
      <c r="T343" s="35">
        <v>2.0</v>
      </c>
      <c r="U343" s="34"/>
      <c r="V343" s="34"/>
      <c r="W343" s="34"/>
      <c r="X343" s="34"/>
      <c r="Y343" s="34"/>
      <c r="Z343" s="34"/>
      <c r="AA343" s="25"/>
      <c r="AB343" s="25"/>
      <c r="AC343" s="25"/>
      <c r="AD343" s="25"/>
      <c r="AE343" s="25"/>
      <c r="AF343" s="25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25"/>
      <c r="AU343" s="34"/>
      <c r="AV343" s="34"/>
      <c r="AW343" s="34"/>
    </row>
    <row r="344" ht="15.0" customHeight="1">
      <c r="A344" s="32" t="s">
        <v>369</v>
      </c>
      <c r="B344" s="25"/>
      <c r="C344" s="25"/>
      <c r="D344" s="25"/>
      <c r="E344" s="25"/>
      <c r="F344" s="25"/>
      <c r="G344" s="35">
        <v>0.0</v>
      </c>
      <c r="H344" s="35">
        <v>1.0</v>
      </c>
      <c r="I344" s="25"/>
      <c r="J344" s="25"/>
      <c r="K344" s="25"/>
      <c r="L344" s="35"/>
      <c r="M344" s="35"/>
      <c r="N344" s="25"/>
      <c r="O344" s="25"/>
      <c r="P344" s="25"/>
      <c r="Q344" s="35">
        <v>2.0</v>
      </c>
      <c r="R344" s="35">
        <v>2.0</v>
      </c>
      <c r="S344" s="35">
        <v>2.0</v>
      </c>
      <c r="T344" s="35">
        <v>2.0</v>
      </c>
      <c r="U344" s="34"/>
      <c r="V344" s="34"/>
      <c r="W344" s="34"/>
      <c r="X344" s="34"/>
      <c r="Y344" s="34"/>
      <c r="Z344" s="34"/>
      <c r="AA344" s="25"/>
      <c r="AB344" s="25"/>
      <c r="AC344" s="25"/>
      <c r="AD344" s="25"/>
      <c r="AE344" s="25"/>
      <c r="AF344" s="25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25"/>
      <c r="AU344" s="34"/>
      <c r="AV344" s="34"/>
      <c r="AW344" s="34"/>
    </row>
    <row r="345" ht="15.0" customHeight="1">
      <c r="A345" s="32" t="s">
        <v>370</v>
      </c>
      <c r="B345" s="25"/>
      <c r="C345" s="25"/>
      <c r="D345" s="25"/>
      <c r="E345" s="25"/>
      <c r="F345" s="25"/>
      <c r="G345" s="35">
        <v>0.0</v>
      </c>
      <c r="H345" s="35">
        <v>1.0</v>
      </c>
      <c r="I345" s="25"/>
      <c r="J345" s="25"/>
      <c r="K345" s="25"/>
      <c r="L345" s="35"/>
      <c r="M345" s="35"/>
      <c r="N345" s="25"/>
      <c r="O345" s="25"/>
      <c r="P345" s="25"/>
      <c r="Q345" s="35">
        <v>2.0</v>
      </c>
      <c r="R345" s="35">
        <v>2.0</v>
      </c>
      <c r="S345" s="35">
        <v>2.0</v>
      </c>
      <c r="T345" s="35">
        <v>2.0</v>
      </c>
      <c r="U345" s="34"/>
      <c r="V345" s="34"/>
      <c r="W345" s="34"/>
      <c r="X345" s="34"/>
      <c r="Y345" s="34"/>
      <c r="Z345" s="34"/>
      <c r="AA345" s="25"/>
      <c r="AB345" s="25"/>
      <c r="AC345" s="25"/>
      <c r="AD345" s="25"/>
      <c r="AE345" s="25"/>
      <c r="AF345" s="25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25"/>
      <c r="AU345" s="34"/>
      <c r="AV345" s="34"/>
      <c r="AW345" s="34"/>
    </row>
    <row r="346" ht="15.0" customHeight="1">
      <c r="A346" s="32" t="s">
        <v>371</v>
      </c>
      <c r="B346" s="25"/>
      <c r="C346" s="25"/>
      <c r="D346" s="25"/>
      <c r="E346" s="25"/>
      <c r="F346" s="25"/>
      <c r="G346" s="35">
        <v>0.0</v>
      </c>
      <c r="H346" s="35">
        <v>1.0</v>
      </c>
      <c r="I346" s="25"/>
      <c r="J346" s="25"/>
      <c r="K346" s="25"/>
      <c r="L346" s="35"/>
      <c r="M346" s="35"/>
      <c r="N346" s="25"/>
      <c r="O346" s="25"/>
      <c r="P346" s="25"/>
      <c r="Q346" s="35">
        <v>2.0</v>
      </c>
      <c r="R346" s="35">
        <v>2.0</v>
      </c>
      <c r="S346" s="35">
        <v>2.0</v>
      </c>
      <c r="T346" s="35">
        <v>2.0</v>
      </c>
      <c r="U346" s="34"/>
      <c r="V346" s="34"/>
      <c r="W346" s="34"/>
      <c r="X346" s="34"/>
      <c r="Y346" s="34"/>
      <c r="Z346" s="34"/>
      <c r="AA346" s="25"/>
      <c r="AB346" s="25"/>
      <c r="AC346" s="25"/>
      <c r="AD346" s="25"/>
      <c r="AE346" s="25"/>
      <c r="AF346" s="25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25"/>
      <c r="AU346" s="34"/>
      <c r="AV346" s="34"/>
      <c r="AW346" s="34"/>
    </row>
    <row r="347" ht="15.0" customHeight="1">
      <c r="A347" s="32" t="s">
        <v>372</v>
      </c>
      <c r="B347" s="25"/>
      <c r="C347" s="25"/>
      <c r="D347" s="25"/>
      <c r="E347" s="25"/>
      <c r="F347" s="25"/>
      <c r="G347" s="35">
        <v>0.0</v>
      </c>
      <c r="H347" s="35">
        <v>1.0</v>
      </c>
      <c r="I347" s="25"/>
      <c r="J347" s="25"/>
      <c r="K347" s="25"/>
      <c r="L347" s="35"/>
      <c r="M347" s="35"/>
      <c r="N347" s="25"/>
      <c r="O347" s="25"/>
      <c r="P347" s="25"/>
      <c r="Q347" s="35">
        <v>2.0</v>
      </c>
      <c r="R347" s="35">
        <v>2.0</v>
      </c>
      <c r="S347" s="35">
        <v>2.0</v>
      </c>
      <c r="T347" s="35">
        <v>2.0</v>
      </c>
      <c r="U347" s="34"/>
      <c r="V347" s="34"/>
      <c r="W347" s="34"/>
      <c r="X347" s="34"/>
      <c r="Y347" s="34"/>
      <c r="Z347" s="34"/>
      <c r="AA347" s="25"/>
      <c r="AB347" s="25"/>
      <c r="AC347" s="25"/>
      <c r="AD347" s="25"/>
      <c r="AE347" s="25"/>
      <c r="AF347" s="25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25"/>
      <c r="AU347" s="34"/>
      <c r="AV347" s="34"/>
      <c r="AW347" s="34"/>
    </row>
    <row r="348" ht="15.0" customHeight="1">
      <c r="A348" s="32" t="s">
        <v>373</v>
      </c>
      <c r="B348" s="25"/>
      <c r="C348" s="25"/>
      <c r="D348" s="25"/>
      <c r="E348" s="25"/>
      <c r="F348" s="25"/>
      <c r="G348" s="35">
        <v>0.0</v>
      </c>
      <c r="H348" s="35">
        <v>1.0</v>
      </c>
      <c r="I348" s="25"/>
      <c r="J348" s="25"/>
      <c r="K348" s="25"/>
      <c r="L348" s="35"/>
      <c r="M348" s="35"/>
      <c r="N348" s="25"/>
      <c r="O348" s="25"/>
      <c r="P348" s="25"/>
      <c r="Q348" s="35">
        <v>2.0</v>
      </c>
      <c r="R348" s="35">
        <v>2.0</v>
      </c>
      <c r="S348" s="35">
        <v>2.0</v>
      </c>
      <c r="T348" s="35">
        <v>2.0</v>
      </c>
      <c r="U348" s="34"/>
      <c r="V348" s="34"/>
      <c r="W348" s="34"/>
      <c r="X348" s="34"/>
      <c r="Y348" s="34"/>
      <c r="Z348" s="34"/>
      <c r="AA348" s="25"/>
      <c r="AB348" s="25"/>
      <c r="AC348" s="25"/>
      <c r="AD348" s="25"/>
      <c r="AE348" s="25"/>
      <c r="AF348" s="25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25"/>
      <c r="AU348" s="34"/>
      <c r="AV348" s="34"/>
      <c r="AW348" s="34"/>
    </row>
    <row r="349" ht="15.0" customHeight="1">
      <c r="A349" s="32" t="s">
        <v>374</v>
      </c>
      <c r="B349" s="25"/>
      <c r="C349" s="25"/>
      <c r="D349" s="25"/>
      <c r="E349" s="25"/>
      <c r="F349" s="25"/>
      <c r="G349" s="35">
        <v>0.0</v>
      </c>
      <c r="H349" s="35">
        <v>1.0</v>
      </c>
      <c r="I349" s="25"/>
      <c r="J349" s="25"/>
      <c r="K349" s="25"/>
      <c r="L349" s="35"/>
      <c r="M349" s="35"/>
      <c r="N349" s="25"/>
      <c r="O349" s="25"/>
      <c r="P349" s="25"/>
      <c r="Q349" s="35">
        <v>2.0</v>
      </c>
      <c r="R349" s="35">
        <v>2.0</v>
      </c>
      <c r="S349" s="35">
        <v>2.0</v>
      </c>
      <c r="T349" s="35">
        <v>2.0</v>
      </c>
      <c r="U349" s="34"/>
      <c r="V349" s="34"/>
      <c r="W349" s="34"/>
      <c r="X349" s="34"/>
      <c r="Y349" s="34"/>
      <c r="Z349" s="34"/>
      <c r="AA349" s="25"/>
      <c r="AB349" s="25"/>
      <c r="AC349" s="25"/>
      <c r="AD349" s="25"/>
      <c r="AE349" s="25"/>
      <c r="AF349" s="25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25"/>
      <c r="AU349" s="34"/>
      <c r="AV349" s="34"/>
      <c r="AW349" s="34"/>
    </row>
    <row r="350" ht="15.0" customHeight="1">
      <c r="A350" s="32" t="s">
        <v>375</v>
      </c>
      <c r="B350" s="25"/>
      <c r="C350" s="25"/>
      <c r="D350" s="25"/>
      <c r="E350" s="25"/>
      <c r="F350" s="25"/>
      <c r="G350" s="35">
        <v>0.0</v>
      </c>
      <c r="H350" s="35">
        <v>1.0</v>
      </c>
      <c r="I350" s="25"/>
      <c r="J350" s="25"/>
      <c r="K350" s="25"/>
      <c r="L350" s="35"/>
      <c r="M350" s="35"/>
      <c r="N350" s="25"/>
      <c r="O350" s="25"/>
      <c r="P350" s="25"/>
      <c r="Q350" s="35">
        <v>2.0</v>
      </c>
      <c r="R350" s="35">
        <v>2.0</v>
      </c>
      <c r="S350" s="35">
        <v>2.0</v>
      </c>
      <c r="T350" s="35">
        <v>2.0</v>
      </c>
      <c r="U350" s="34"/>
      <c r="V350" s="34"/>
      <c r="W350" s="34"/>
      <c r="X350" s="34"/>
      <c r="Y350" s="34"/>
      <c r="Z350" s="34"/>
      <c r="AA350" s="25"/>
      <c r="AB350" s="25"/>
      <c r="AC350" s="25"/>
      <c r="AD350" s="25"/>
      <c r="AE350" s="25"/>
      <c r="AF350" s="25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25"/>
      <c r="AU350" s="34"/>
      <c r="AV350" s="34"/>
      <c r="AW350" s="34"/>
    </row>
    <row r="351" ht="15.0" customHeight="1">
      <c r="A351" s="32" t="s">
        <v>376</v>
      </c>
      <c r="B351" s="25"/>
      <c r="C351" s="25"/>
      <c r="D351" s="25"/>
      <c r="E351" s="25"/>
      <c r="F351" s="25"/>
      <c r="G351" s="35">
        <v>0.0</v>
      </c>
      <c r="H351" s="35">
        <v>1.0</v>
      </c>
      <c r="I351" s="25"/>
      <c r="J351" s="25"/>
      <c r="K351" s="25"/>
      <c r="L351" s="35"/>
      <c r="M351" s="35"/>
      <c r="N351" s="25"/>
      <c r="O351" s="25"/>
      <c r="P351" s="25"/>
      <c r="Q351" s="35">
        <v>2.0</v>
      </c>
      <c r="R351" s="35">
        <v>2.0</v>
      </c>
      <c r="S351" s="35">
        <v>2.0</v>
      </c>
      <c r="T351" s="35">
        <v>2.0</v>
      </c>
      <c r="U351" s="34"/>
      <c r="V351" s="34"/>
      <c r="W351" s="34"/>
      <c r="X351" s="34"/>
      <c r="Y351" s="34"/>
      <c r="Z351" s="34"/>
      <c r="AA351" s="25"/>
      <c r="AB351" s="25"/>
      <c r="AC351" s="25"/>
      <c r="AD351" s="25"/>
      <c r="AE351" s="25"/>
      <c r="AF351" s="25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25"/>
      <c r="AU351" s="34"/>
      <c r="AV351" s="34"/>
      <c r="AW351" s="34"/>
    </row>
    <row r="352" ht="15.0" customHeight="1">
      <c r="A352" s="32" t="s">
        <v>377</v>
      </c>
      <c r="B352" s="25"/>
      <c r="C352" s="25"/>
      <c r="D352" s="25"/>
      <c r="E352" s="25"/>
      <c r="F352" s="25"/>
      <c r="G352" s="35">
        <v>0.0</v>
      </c>
      <c r="H352" s="35">
        <v>1.0</v>
      </c>
      <c r="I352" s="25"/>
      <c r="J352" s="25"/>
      <c r="K352" s="25"/>
      <c r="L352" s="35"/>
      <c r="M352" s="35"/>
      <c r="N352" s="25"/>
      <c r="O352" s="25"/>
      <c r="P352" s="25"/>
      <c r="Q352" s="35">
        <v>2.0</v>
      </c>
      <c r="R352" s="35">
        <v>2.0</v>
      </c>
      <c r="S352" s="35">
        <v>2.0</v>
      </c>
      <c r="T352" s="35">
        <v>2.0</v>
      </c>
      <c r="U352" s="34"/>
      <c r="V352" s="34"/>
      <c r="W352" s="34"/>
      <c r="X352" s="34"/>
      <c r="Y352" s="34"/>
      <c r="Z352" s="34"/>
      <c r="AA352" s="25"/>
      <c r="AB352" s="25"/>
      <c r="AC352" s="25"/>
      <c r="AD352" s="25"/>
      <c r="AE352" s="25"/>
      <c r="AF352" s="25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25"/>
      <c r="AU352" s="34"/>
      <c r="AV352" s="34"/>
      <c r="AW352" s="34"/>
    </row>
    <row r="353" ht="15.0" customHeight="1">
      <c r="A353" s="32" t="s">
        <v>378</v>
      </c>
      <c r="B353" s="25"/>
      <c r="C353" s="25"/>
      <c r="D353" s="25"/>
      <c r="E353" s="25"/>
      <c r="F353" s="25"/>
      <c r="G353" s="35">
        <v>0.0</v>
      </c>
      <c r="H353" s="35">
        <v>1.0</v>
      </c>
      <c r="I353" s="25"/>
      <c r="J353" s="25"/>
      <c r="K353" s="25"/>
      <c r="L353" s="35"/>
      <c r="M353" s="35"/>
      <c r="N353" s="25"/>
      <c r="O353" s="25"/>
      <c r="P353" s="25"/>
      <c r="Q353" s="35">
        <v>2.0</v>
      </c>
      <c r="R353" s="35">
        <v>2.0</v>
      </c>
      <c r="S353" s="35">
        <v>2.0</v>
      </c>
      <c r="T353" s="35">
        <v>2.0</v>
      </c>
      <c r="U353" s="34"/>
      <c r="V353" s="34"/>
      <c r="W353" s="34"/>
      <c r="X353" s="34"/>
      <c r="Y353" s="34"/>
      <c r="Z353" s="34"/>
      <c r="AA353" s="25"/>
      <c r="AB353" s="25"/>
      <c r="AC353" s="25"/>
      <c r="AD353" s="25"/>
      <c r="AE353" s="25"/>
      <c r="AF353" s="25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25"/>
      <c r="AU353" s="34"/>
      <c r="AV353" s="34"/>
      <c r="AW353" s="34"/>
    </row>
    <row r="354" ht="15.0" customHeight="1">
      <c r="A354" s="32" t="s">
        <v>379</v>
      </c>
      <c r="B354" s="25"/>
      <c r="C354" s="25"/>
      <c r="D354" s="25"/>
      <c r="E354" s="25"/>
      <c r="F354" s="25"/>
      <c r="G354" s="35">
        <v>0.0</v>
      </c>
      <c r="H354" s="35">
        <v>1.0</v>
      </c>
      <c r="I354" s="25"/>
      <c r="J354" s="25"/>
      <c r="K354" s="25"/>
      <c r="L354" s="35"/>
      <c r="M354" s="35"/>
      <c r="N354" s="25"/>
      <c r="O354" s="25"/>
      <c r="P354" s="25"/>
      <c r="Q354" s="35">
        <v>2.0</v>
      </c>
      <c r="R354" s="35">
        <v>2.0</v>
      </c>
      <c r="S354" s="35">
        <v>2.0</v>
      </c>
      <c r="T354" s="35">
        <v>2.0</v>
      </c>
      <c r="U354" s="34"/>
      <c r="V354" s="34"/>
      <c r="W354" s="34"/>
      <c r="X354" s="34"/>
      <c r="Y354" s="34"/>
      <c r="Z354" s="34"/>
      <c r="AA354" s="25"/>
      <c r="AB354" s="25"/>
      <c r="AC354" s="25"/>
      <c r="AD354" s="25"/>
      <c r="AE354" s="25"/>
      <c r="AF354" s="25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25"/>
      <c r="AU354" s="34"/>
      <c r="AV354" s="34"/>
      <c r="AW354" s="34"/>
    </row>
    <row r="355" ht="15.0" customHeight="1">
      <c r="A355" s="32" t="s">
        <v>380</v>
      </c>
      <c r="B355" s="25"/>
      <c r="C355" s="25"/>
      <c r="D355" s="25"/>
      <c r="E355" s="25"/>
      <c r="F355" s="25"/>
      <c r="G355" s="35">
        <v>0.0</v>
      </c>
      <c r="H355" s="35">
        <v>1.0</v>
      </c>
      <c r="I355" s="25"/>
      <c r="J355" s="25"/>
      <c r="K355" s="25"/>
      <c r="L355" s="35"/>
      <c r="M355" s="35"/>
      <c r="N355" s="25"/>
      <c r="O355" s="25"/>
      <c r="P355" s="25"/>
      <c r="Q355" s="35">
        <v>2.0</v>
      </c>
      <c r="R355" s="35">
        <v>2.0</v>
      </c>
      <c r="S355" s="35">
        <v>2.0</v>
      </c>
      <c r="T355" s="35">
        <v>2.0</v>
      </c>
      <c r="U355" s="34"/>
      <c r="V355" s="34"/>
      <c r="W355" s="34"/>
      <c r="X355" s="34"/>
      <c r="Y355" s="34"/>
      <c r="Z355" s="34"/>
      <c r="AA355" s="25"/>
      <c r="AB355" s="25"/>
      <c r="AC355" s="25"/>
      <c r="AD355" s="25"/>
      <c r="AE355" s="25"/>
      <c r="AF355" s="25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25"/>
      <c r="AU355" s="34"/>
      <c r="AV355" s="34"/>
      <c r="AW355" s="34"/>
    </row>
    <row r="356" ht="15.0" customHeight="1">
      <c r="A356" s="32" t="s">
        <v>381</v>
      </c>
      <c r="B356" s="25"/>
      <c r="C356" s="25"/>
      <c r="D356" s="25"/>
      <c r="E356" s="25"/>
      <c r="F356" s="25"/>
      <c r="G356" s="35">
        <v>0.0</v>
      </c>
      <c r="H356" s="35">
        <v>1.0</v>
      </c>
      <c r="I356" s="25"/>
      <c r="J356" s="25"/>
      <c r="K356" s="25"/>
      <c r="L356" s="35"/>
      <c r="M356" s="35"/>
      <c r="N356" s="25"/>
      <c r="O356" s="25"/>
      <c r="P356" s="25"/>
      <c r="Q356" s="35">
        <v>2.0</v>
      </c>
      <c r="R356" s="35">
        <v>2.0</v>
      </c>
      <c r="S356" s="35">
        <v>2.0</v>
      </c>
      <c r="T356" s="35">
        <v>2.0</v>
      </c>
      <c r="U356" s="34"/>
      <c r="V356" s="34"/>
      <c r="W356" s="34"/>
      <c r="X356" s="34"/>
      <c r="Y356" s="34"/>
      <c r="Z356" s="34"/>
      <c r="AA356" s="25"/>
      <c r="AB356" s="25"/>
      <c r="AC356" s="25"/>
      <c r="AD356" s="25"/>
      <c r="AE356" s="25"/>
      <c r="AF356" s="25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25"/>
      <c r="AU356" s="34"/>
      <c r="AV356" s="34"/>
      <c r="AW356" s="34"/>
    </row>
    <row r="357" ht="15.0" customHeight="1">
      <c r="A357" s="32" t="s">
        <v>382</v>
      </c>
      <c r="B357" s="25"/>
      <c r="C357" s="25"/>
      <c r="D357" s="25"/>
      <c r="E357" s="25"/>
      <c r="F357" s="25"/>
      <c r="G357" s="35">
        <v>0.0</v>
      </c>
      <c r="H357" s="35">
        <v>1.0</v>
      </c>
      <c r="I357" s="25"/>
      <c r="J357" s="25"/>
      <c r="K357" s="25"/>
      <c r="L357" s="35"/>
      <c r="M357" s="35"/>
      <c r="N357" s="25"/>
      <c r="O357" s="25"/>
      <c r="P357" s="25"/>
      <c r="Q357" s="35">
        <v>2.0</v>
      </c>
      <c r="R357" s="35">
        <v>2.0</v>
      </c>
      <c r="S357" s="35">
        <v>2.0</v>
      </c>
      <c r="T357" s="35">
        <v>2.0</v>
      </c>
      <c r="U357" s="34"/>
      <c r="V357" s="34"/>
      <c r="W357" s="34"/>
      <c r="X357" s="34"/>
      <c r="Y357" s="34"/>
      <c r="Z357" s="34"/>
      <c r="AA357" s="25"/>
      <c r="AB357" s="25"/>
      <c r="AC357" s="25"/>
      <c r="AD357" s="25"/>
      <c r="AE357" s="25"/>
      <c r="AF357" s="25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25"/>
      <c r="AU357" s="34"/>
      <c r="AV357" s="34"/>
      <c r="AW357" s="34"/>
    </row>
    <row r="358" ht="15.0" customHeight="1">
      <c r="A358" s="32" t="s">
        <v>383</v>
      </c>
      <c r="B358" s="25"/>
      <c r="C358" s="25"/>
      <c r="D358" s="25"/>
      <c r="E358" s="25"/>
      <c r="F358" s="25"/>
      <c r="G358" s="35">
        <v>0.0</v>
      </c>
      <c r="H358" s="35">
        <v>1.0</v>
      </c>
      <c r="I358" s="25"/>
      <c r="J358" s="25"/>
      <c r="K358" s="25"/>
      <c r="L358" s="35"/>
      <c r="M358" s="35"/>
      <c r="N358" s="25"/>
      <c r="O358" s="25"/>
      <c r="P358" s="25"/>
      <c r="Q358" s="35">
        <v>2.0</v>
      </c>
      <c r="R358" s="35">
        <v>2.0</v>
      </c>
      <c r="S358" s="35">
        <v>2.0</v>
      </c>
      <c r="T358" s="35">
        <v>2.0</v>
      </c>
      <c r="U358" s="34"/>
      <c r="V358" s="34"/>
      <c r="W358" s="34"/>
      <c r="X358" s="34"/>
      <c r="Y358" s="34"/>
      <c r="Z358" s="34"/>
      <c r="AA358" s="25"/>
      <c r="AB358" s="25"/>
      <c r="AC358" s="25"/>
      <c r="AD358" s="25"/>
      <c r="AE358" s="25"/>
      <c r="AF358" s="25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25"/>
      <c r="AU358" s="34"/>
      <c r="AV358" s="34"/>
      <c r="AW358" s="34"/>
    </row>
    <row r="359" ht="15.0" customHeight="1">
      <c r="A359" s="32" t="s">
        <v>384</v>
      </c>
      <c r="B359" s="25"/>
      <c r="C359" s="25"/>
      <c r="D359" s="25"/>
      <c r="E359" s="25"/>
      <c r="F359" s="25"/>
      <c r="G359" s="35">
        <v>0.0</v>
      </c>
      <c r="H359" s="35">
        <v>1.0</v>
      </c>
      <c r="I359" s="25"/>
      <c r="J359" s="25"/>
      <c r="K359" s="25"/>
      <c r="L359" s="35"/>
      <c r="M359" s="35"/>
      <c r="N359" s="25"/>
      <c r="O359" s="25"/>
      <c r="P359" s="25"/>
      <c r="Q359" s="35">
        <v>2.0</v>
      </c>
      <c r="R359" s="35">
        <v>2.0</v>
      </c>
      <c r="S359" s="35">
        <v>2.0</v>
      </c>
      <c r="T359" s="35">
        <v>2.0</v>
      </c>
      <c r="U359" s="34"/>
      <c r="V359" s="34"/>
      <c r="W359" s="34"/>
      <c r="X359" s="34"/>
      <c r="Y359" s="34"/>
      <c r="Z359" s="34"/>
      <c r="AA359" s="25"/>
      <c r="AB359" s="25"/>
      <c r="AC359" s="25"/>
      <c r="AD359" s="25"/>
      <c r="AE359" s="25"/>
      <c r="AF359" s="25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25"/>
      <c r="AU359" s="34"/>
      <c r="AV359" s="34"/>
      <c r="AW359" s="34"/>
    </row>
    <row r="360" ht="15.0" customHeight="1">
      <c r="A360" s="32" t="s">
        <v>385</v>
      </c>
      <c r="B360" s="25"/>
      <c r="C360" s="25"/>
      <c r="D360" s="25"/>
      <c r="E360" s="25"/>
      <c r="F360" s="25"/>
      <c r="G360" s="35">
        <v>0.0</v>
      </c>
      <c r="H360" s="35">
        <v>1.0</v>
      </c>
      <c r="I360" s="25"/>
      <c r="J360" s="25"/>
      <c r="K360" s="25"/>
      <c r="L360" s="35"/>
      <c r="M360" s="35"/>
      <c r="N360" s="25"/>
      <c r="O360" s="25"/>
      <c r="P360" s="25"/>
      <c r="Q360" s="35">
        <v>2.0</v>
      </c>
      <c r="R360" s="35">
        <v>2.0</v>
      </c>
      <c r="S360" s="35">
        <v>2.0</v>
      </c>
      <c r="T360" s="35">
        <v>2.0</v>
      </c>
      <c r="U360" s="34"/>
      <c r="V360" s="34"/>
      <c r="W360" s="34"/>
      <c r="X360" s="34"/>
      <c r="Y360" s="34"/>
      <c r="Z360" s="34"/>
      <c r="AA360" s="25"/>
      <c r="AB360" s="25"/>
      <c r="AC360" s="25"/>
      <c r="AD360" s="25"/>
      <c r="AE360" s="25"/>
      <c r="AF360" s="25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25"/>
      <c r="AU360" s="34"/>
      <c r="AV360" s="34"/>
      <c r="AW360" s="34"/>
    </row>
    <row r="361" ht="15.0" customHeight="1">
      <c r="A361" s="32" t="s">
        <v>386</v>
      </c>
      <c r="B361" s="25"/>
      <c r="C361" s="25"/>
      <c r="D361" s="25"/>
      <c r="E361" s="25"/>
      <c r="F361" s="25"/>
      <c r="G361" s="35">
        <v>0.0</v>
      </c>
      <c r="H361" s="35">
        <v>1.0</v>
      </c>
      <c r="I361" s="25"/>
      <c r="J361" s="25"/>
      <c r="K361" s="25"/>
      <c r="L361" s="35"/>
      <c r="M361" s="35"/>
      <c r="N361" s="25"/>
      <c r="O361" s="25"/>
      <c r="P361" s="25"/>
      <c r="Q361" s="35">
        <v>2.0</v>
      </c>
      <c r="R361" s="35">
        <v>2.0</v>
      </c>
      <c r="S361" s="35">
        <v>2.0</v>
      </c>
      <c r="T361" s="35">
        <v>2.0</v>
      </c>
      <c r="U361" s="34"/>
      <c r="V361" s="34"/>
      <c r="W361" s="34"/>
      <c r="X361" s="34"/>
      <c r="Y361" s="34"/>
      <c r="Z361" s="34"/>
      <c r="AA361" s="25"/>
      <c r="AB361" s="25"/>
      <c r="AC361" s="25"/>
      <c r="AD361" s="25"/>
      <c r="AE361" s="25"/>
      <c r="AF361" s="25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25"/>
      <c r="AU361" s="34"/>
      <c r="AV361" s="34"/>
      <c r="AW361" s="34"/>
    </row>
    <row r="362" ht="15.0" customHeight="1">
      <c r="A362" s="32" t="s">
        <v>387</v>
      </c>
      <c r="B362" s="25"/>
      <c r="C362" s="25"/>
      <c r="D362" s="25"/>
      <c r="E362" s="25"/>
      <c r="F362" s="25"/>
      <c r="G362" s="35">
        <v>0.0</v>
      </c>
      <c r="H362" s="35">
        <v>1.0</v>
      </c>
      <c r="I362" s="25"/>
      <c r="J362" s="25"/>
      <c r="K362" s="25"/>
      <c r="L362" s="35"/>
      <c r="M362" s="35"/>
      <c r="N362" s="25"/>
      <c r="O362" s="25"/>
      <c r="P362" s="25"/>
      <c r="Q362" s="35">
        <v>2.0</v>
      </c>
      <c r="R362" s="35">
        <v>2.0</v>
      </c>
      <c r="S362" s="35">
        <v>2.0</v>
      </c>
      <c r="T362" s="35">
        <v>2.0</v>
      </c>
      <c r="U362" s="34"/>
      <c r="V362" s="34"/>
      <c r="W362" s="34"/>
      <c r="X362" s="34"/>
      <c r="Y362" s="34"/>
      <c r="Z362" s="34"/>
      <c r="AA362" s="25"/>
      <c r="AB362" s="25"/>
      <c r="AC362" s="25"/>
      <c r="AD362" s="25"/>
      <c r="AE362" s="25"/>
      <c r="AF362" s="25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25"/>
      <c r="AU362" s="34"/>
      <c r="AV362" s="34"/>
      <c r="AW362" s="34"/>
    </row>
    <row r="363" ht="15.0" customHeight="1">
      <c r="A363" s="32" t="s">
        <v>388</v>
      </c>
      <c r="B363" s="25"/>
      <c r="C363" s="25"/>
      <c r="D363" s="25"/>
      <c r="E363" s="25"/>
      <c r="F363" s="25"/>
      <c r="G363" s="35">
        <v>0.0</v>
      </c>
      <c r="H363" s="35">
        <v>1.0</v>
      </c>
      <c r="I363" s="25"/>
      <c r="J363" s="25"/>
      <c r="K363" s="25"/>
      <c r="L363" s="35"/>
      <c r="M363" s="35"/>
      <c r="N363" s="25"/>
      <c r="O363" s="25"/>
      <c r="P363" s="25"/>
      <c r="Q363" s="35">
        <v>2.0</v>
      </c>
      <c r="R363" s="35">
        <v>2.0</v>
      </c>
      <c r="S363" s="35">
        <v>2.0</v>
      </c>
      <c r="T363" s="35">
        <v>2.0</v>
      </c>
      <c r="U363" s="34"/>
      <c r="V363" s="34"/>
      <c r="W363" s="34"/>
      <c r="X363" s="34"/>
      <c r="Y363" s="34"/>
      <c r="Z363" s="34"/>
      <c r="AA363" s="25"/>
      <c r="AB363" s="25"/>
      <c r="AC363" s="25"/>
      <c r="AD363" s="25"/>
      <c r="AE363" s="25"/>
      <c r="AF363" s="25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25"/>
      <c r="AU363" s="34"/>
      <c r="AV363" s="34"/>
      <c r="AW363" s="34"/>
    </row>
    <row r="364" ht="15.0" customHeight="1">
      <c r="A364" s="32" t="s">
        <v>389</v>
      </c>
      <c r="B364" s="25"/>
      <c r="C364" s="25"/>
      <c r="D364" s="25"/>
      <c r="E364" s="25"/>
      <c r="F364" s="25"/>
      <c r="G364" s="35">
        <v>0.0</v>
      </c>
      <c r="H364" s="35">
        <v>1.0</v>
      </c>
      <c r="I364" s="25"/>
      <c r="J364" s="25"/>
      <c r="K364" s="25"/>
      <c r="L364" s="35"/>
      <c r="M364" s="35"/>
      <c r="N364" s="25"/>
      <c r="O364" s="25"/>
      <c r="P364" s="25"/>
      <c r="Q364" s="35">
        <v>2.0</v>
      </c>
      <c r="R364" s="35">
        <v>2.0</v>
      </c>
      <c r="S364" s="35">
        <v>2.0</v>
      </c>
      <c r="T364" s="35">
        <v>2.0</v>
      </c>
      <c r="U364" s="34"/>
      <c r="V364" s="34"/>
      <c r="W364" s="34"/>
      <c r="X364" s="34"/>
      <c r="Y364" s="34"/>
      <c r="Z364" s="34"/>
      <c r="AA364" s="25"/>
      <c r="AB364" s="25"/>
      <c r="AC364" s="25"/>
      <c r="AD364" s="25"/>
      <c r="AE364" s="25"/>
      <c r="AF364" s="25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25"/>
      <c r="AU364" s="34"/>
      <c r="AV364" s="34"/>
      <c r="AW364" s="34"/>
    </row>
    <row r="365" ht="15.0" customHeight="1">
      <c r="A365" s="32" t="s">
        <v>390</v>
      </c>
      <c r="B365" s="25"/>
      <c r="C365" s="25"/>
      <c r="D365" s="25"/>
      <c r="E365" s="25"/>
      <c r="F365" s="25"/>
      <c r="G365" s="35">
        <v>0.0</v>
      </c>
      <c r="H365" s="35">
        <v>1.0</v>
      </c>
      <c r="I365" s="25"/>
      <c r="J365" s="25"/>
      <c r="K365" s="25"/>
      <c r="L365" s="35"/>
      <c r="M365" s="35"/>
      <c r="N365" s="25"/>
      <c r="O365" s="25"/>
      <c r="P365" s="25"/>
      <c r="Q365" s="35">
        <v>2.0</v>
      </c>
      <c r="R365" s="35">
        <v>2.0</v>
      </c>
      <c r="S365" s="35">
        <v>2.0</v>
      </c>
      <c r="T365" s="35">
        <v>2.0</v>
      </c>
      <c r="U365" s="34"/>
      <c r="V365" s="34"/>
      <c r="W365" s="34"/>
      <c r="X365" s="34"/>
      <c r="Y365" s="34"/>
      <c r="Z365" s="34"/>
      <c r="AA365" s="25"/>
      <c r="AB365" s="25"/>
      <c r="AC365" s="25"/>
      <c r="AD365" s="25"/>
      <c r="AE365" s="25"/>
      <c r="AF365" s="25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25"/>
      <c r="AU365" s="34"/>
      <c r="AV365" s="34"/>
      <c r="AW365" s="34"/>
    </row>
    <row r="366" ht="15.0" customHeight="1">
      <c r="A366" s="32" t="s">
        <v>391</v>
      </c>
      <c r="B366" s="25"/>
      <c r="C366" s="25"/>
      <c r="D366" s="25"/>
      <c r="E366" s="25"/>
      <c r="F366" s="25"/>
      <c r="G366" s="35">
        <v>0.0</v>
      </c>
      <c r="H366" s="35">
        <v>1.0</v>
      </c>
      <c r="I366" s="25"/>
      <c r="J366" s="25"/>
      <c r="K366" s="25"/>
      <c r="L366" s="35"/>
      <c r="M366" s="35"/>
      <c r="N366" s="25"/>
      <c r="O366" s="25"/>
      <c r="P366" s="25"/>
      <c r="Q366" s="35">
        <v>2.0</v>
      </c>
      <c r="R366" s="35">
        <v>2.0</v>
      </c>
      <c r="S366" s="35">
        <v>2.0</v>
      </c>
      <c r="T366" s="35">
        <v>2.0</v>
      </c>
      <c r="U366" s="34"/>
      <c r="V366" s="34"/>
      <c r="W366" s="34"/>
      <c r="X366" s="34"/>
      <c r="Y366" s="34"/>
      <c r="Z366" s="34"/>
      <c r="AA366" s="25"/>
      <c r="AB366" s="25"/>
      <c r="AC366" s="25"/>
      <c r="AD366" s="25"/>
      <c r="AE366" s="25"/>
      <c r="AF366" s="25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25"/>
      <c r="AU366" s="34"/>
      <c r="AV366" s="34"/>
      <c r="AW366" s="34"/>
    </row>
    <row r="367" ht="15.0" customHeight="1">
      <c r="A367" s="32" t="s">
        <v>392</v>
      </c>
      <c r="B367" s="25"/>
      <c r="C367" s="25"/>
      <c r="D367" s="25"/>
      <c r="E367" s="25"/>
      <c r="F367" s="25"/>
      <c r="G367" s="35">
        <v>0.0</v>
      </c>
      <c r="H367" s="35">
        <v>1.0</v>
      </c>
      <c r="I367" s="25"/>
      <c r="J367" s="25"/>
      <c r="K367" s="25"/>
      <c r="L367" s="35"/>
      <c r="M367" s="35"/>
      <c r="N367" s="25"/>
      <c r="O367" s="25"/>
      <c r="P367" s="25"/>
      <c r="Q367" s="35">
        <v>2.0</v>
      </c>
      <c r="R367" s="35">
        <v>2.0</v>
      </c>
      <c r="S367" s="35">
        <v>2.0</v>
      </c>
      <c r="T367" s="35">
        <v>2.0</v>
      </c>
      <c r="U367" s="34"/>
      <c r="V367" s="34"/>
      <c r="W367" s="34"/>
      <c r="X367" s="34"/>
      <c r="Y367" s="34"/>
      <c r="Z367" s="34"/>
      <c r="AA367" s="25"/>
      <c r="AB367" s="25"/>
      <c r="AC367" s="25"/>
      <c r="AD367" s="25"/>
      <c r="AE367" s="25"/>
      <c r="AF367" s="25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25"/>
      <c r="AU367" s="34"/>
      <c r="AV367" s="34"/>
      <c r="AW367" s="34"/>
    </row>
    <row r="368" ht="15.0" customHeight="1">
      <c r="A368" s="32" t="s">
        <v>393</v>
      </c>
      <c r="B368" s="25"/>
      <c r="C368" s="25"/>
      <c r="D368" s="25"/>
      <c r="E368" s="25"/>
      <c r="F368" s="25"/>
      <c r="G368" s="35">
        <v>0.0</v>
      </c>
      <c r="H368" s="35">
        <v>1.0</v>
      </c>
      <c r="I368" s="25"/>
      <c r="J368" s="25"/>
      <c r="K368" s="25"/>
      <c r="L368" s="35"/>
      <c r="M368" s="35"/>
      <c r="N368" s="25"/>
      <c r="O368" s="25"/>
      <c r="P368" s="25"/>
      <c r="Q368" s="35">
        <v>2.0</v>
      </c>
      <c r="R368" s="35">
        <v>2.0</v>
      </c>
      <c r="S368" s="35">
        <v>2.0</v>
      </c>
      <c r="T368" s="35">
        <v>2.0</v>
      </c>
      <c r="U368" s="34"/>
      <c r="V368" s="34"/>
      <c r="W368" s="34"/>
      <c r="X368" s="34"/>
      <c r="Y368" s="34"/>
      <c r="Z368" s="34"/>
      <c r="AA368" s="25"/>
      <c r="AB368" s="25"/>
      <c r="AC368" s="25"/>
      <c r="AD368" s="25"/>
      <c r="AE368" s="25"/>
      <c r="AF368" s="25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25"/>
      <c r="AU368" s="34"/>
      <c r="AV368" s="34"/>
      <c r="AW368" s="34"/>
    </row>
    <row r="369" ht="15.0" customHeight="1">
      <c r="A369" s="32" t="s">
        <v>394</v>
      </c>
      <c r="B369" s="25"/>
      <c r="C369" s="25"/>
      <c r="D369" s="25"/>
      <c r="E369" s="25"/>
      <c r="F369" s="25"/>
      <c r="G369" s="35">
        <v>0.0</v>
      </c>
      <c r="H369" s="35">
        <v>1.0</v>
      </c>
      <c r="I369" s="25"/>
      <c r="J369" s="25"/>
      <c r="K369" s="25"/>
      <c r="L369" s="35"/>
      <c r="M369" s="35"/>
      <c r="N369" s="25"/>
      <c r="O369" s="25"/>
      <c r="P369" s="25"/>
      <c r="Q369" s="35">
        <v>2.0</v>
      </c>
      <c r="R369" s="35">
        <v>2.0</v>
      </c>
      <c r="S369" s="35">
        <v>2.0</v>
      </c>
      <c r="T369" s="35">
        <v>2.0</v>
      </c>
      <c r="U369" s="34"/>
      <c r="V369" s="34"/>
      <c r="W369" s="34"/>
      <c r="X369" s="34"/>
      <c r="Y369" s="34"/>
      <c r="Z369" s="34"/>
      <c r="AA369" s="25"/>
      <c r="AB369" s="25"/>
      <c r="AC369" s="25"/>
      <c r="AD369" s="25"/>
      <c r="AE369" s="25"/>
      <c r="AF369" s="25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25"/>
      <c r="AU369" s="34"/>
      <c r="AV369" s="34"/>
      <c r="AW369" s="34"/>
    </row>
    <row r="370" ht="15.0" customHeight="1">
      <c r="A370" s="32" t="s">
        <v>395</v>
      </c>
      <c r="B370" s="25"/>
      <c r="C370" s="25"/>
      <c r="D370" s="25"/>
      <c r="E370" s="25"/>
      <c r="F370" s="25"/>
      <c r="G370" s="35">
        <v>0.0</v>
      </c>
      <c r="H370" s="35">
        <v>1.0</v>
      </c>
      <c r="I370" s="25"/>
      <c r="J370" s="25"/>
      <c r="K370" s="25"/>
      <c r="L370" s="35"/>
      <c r="M370" s="35"/>
      <c r="N370" s="25"/>
      <c r="O370" s="25"/>
      <c r="P370" s="25"/>
      <c r="Q370" s="35">
        <v>2.0</v>
      </c>
      <c r="R370" s="35">
        <v>2.0</v>
      </c>
      <c r="S370" s="35">
        <v>2.0</v>
      </c>
      <c r="T370" s="35">
        <v>2.0</v>
      </c>
      <c r="U370" s="34"/>
      <c r="V370" s="34"/>
      <c r="W370" s="34"/>
      <c r="X370" s="34"/>
      <c r="Y370" s="34"/>
      <c r="Z370" s="34"/>
      <c r="AA370" s="25"/>
      <c r="AB370" s="25"/>
      <c r="AC370" s="25"/>
      <c r="AD370" s="25"/>
      <c r="AE370" s="25"/>
      <c r="AF370" s="25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25"/>
      <c r="AU370" s="34"/>
      <c r="AV370" s="34"/>
      <c r="AW370" s="34"/>
    </row>
    <row r="371" ht="15.0" customHeight="1">
      <c r="A371" s="32" t="s">
        <v>396</v>
      </c>
      <c r="B371" s="25"/>
      <c r="C371" s="25"/>
      <c r="D371" s="25"/>
      <c r="E371" s="25"/>
      <c r="F371" s="25"/>
      <c r="G371" s="35">
        <v>0.0</v>
      </c>
      <c r="H371" s="35">
        <v>1.0</v>
      </c>
      <c r="I371" s="25"/>
      <c r="J371" s="25"/>
      <c r="K371" s="25"/>
      <c r="L371" s="35"/>
      <c r="M371" s="35"/>
      <c r="N371" s="25"/>
      <c r="O371" s="25"/>
      <c r="P371" s="25"/>
      <c r="Q371" s="35">
        <v>2.0</v>
      </c>
      <c r="R371" s="35">
        <v>2.0</v>
      </c>
      <c r="S371" s="35">
        <v>2.0</v>
      </c>
      <c r="T371" s="35">
        <v>2.0</v>
      </c>
      <c r="U371" s="34"/>
      <c r="V371" s="34"/>
      <c r="W371" s="34"/>
      <c r="X371" s="34"/>
      <c r="Y371" s="34"/>
      <c r="Z371" s="34"/>
      <c r="AA371" s="25"/>
      <c r="AB371" s="25"/>
      <c r="AC371" s="25"/>
      <c r="AD371" s="25"/>
      <c r="AE371" s="25"/>
      <c r="AF371" s="25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25"/>
      <c r="AU371" s="34"/>
      <c r="AV371" s="34"/>
      <c r="AW371" s="34"/>
    </row>
    <row r="372" ht="15.0" customHeight="1">
      <c r="A372" s="32" t="s">
        <v>397</v>
      </c>
      <c r="B372" s="25"/>
      <c r="C372" s="25"/>
      <c r="D372" s="25"/>
      <c r="E372" s="25"/>
      <c r="F372" s="25"/>
      <c r="G372" s="35">
        <v>0.0</v>
      </c>
      <c r="H372" s="35">
        <v>1.0</v>
      </c>
      <c r="I372" s="25"/>
      <c r="J372" s="25"/>
      <c r="K372" s="25"/>
      <c r="L372" s="35"/>
      <c r="M372" s="35"/>
      <c r="N372" s="25"/>
      <c r="O372" s="25"/>
      <c r="P372" s="25"/>
      <c r="Q372" s="35">
        <v>2.0</v>
      </c>
      <c r="R372" s="35">
        <v>2.0</v>
      </c>
      <c r="S372" s="35">
        <v>2.0</v>
      </c>
      <c r="T372" s="35">
        <v>2.0</v>
      </c>
      <c r="U372" s="34"/>
      <c r="V372" s="34"/>
      <c r="W372" s="34"/>
      <c r="X372" s="34"/>
      <c r="Y372" s="34"/>
      <c r="Z372" s="34"/>
      <c r="AA372" s="25"/>
      <c r="AB372" s="25"/>
      <c r="AC372" s="25"/>
      <c r="AD372" s="25"/>
      <c r="AE372" s="25"/>
      <c r="AF372" s="25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25"/>
      <c r="AU372" s="34"/>
      <c r="AV372" s="34"/>
      <c r="AW372" s="34"/>
    </row>
    <row r="373" ht="15.0" customHeight="1">
      <c r="A373" s="32" t="s">
        <v>398</v>
      </c>
      <c r="B373" s="25"/>
      <c r="C373" s="25"/>
      <c r="D373" s="25"/>
      <c r="E373" s="25"/>
      <c r="F373" s="25"/>
      <c r="G373" s="35">
        <v>0.0</v>
      </c>
      <c r="H373" s="35">
        <v>1.0</v>
      </c>
      <c r="I373" s="25"/>
      <c r="J373" s="25"/>
      <c r="K373" s="25"/>
      <c r="L373" s="35"/>
      <c r="M373" s="35"/>
      <c r="N373" s="25"/>
      <c r="O373" s="25"/>
      <c r="P373" s="25"/>
      <c r="Q373" s="35">
        <v>2.0</v>
      </c>
      <c r="R373" s="35">
        <v>2.0</v>
      </c>
      <c r="S373" s="35">
        <v>2.0</v>
      </c>
      <c r="T373" s="35">
        <v>2.0</v>
      </c>
      <c r="U373" s="34"/>
      <c r="V373" s="34"/>
      <c r="W373" s="34"/>
      <c r="X373" s="34"/>
      <c r="Y373" s="34"/>
      <c r="Z373" s="34"/>
      <c r="AA373" s="25"/>
      <c r="AB373" s="25"/>
      <c r="AC373" s="25"/>
      <c r="AD373" s="25"/>
      <c r="AE373" s="25"/>
      <c r="AF373" s="25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25"/>
      <c r="AU373" s="34"/>
      <c r="AV373" s="34"/>
      <c r="AW373" s="34"/>
    </row>
    <row r="374" ht="15.0" customHeight="1">
      <c r="A374" s="32" t="s">
        <v>399</v>
      </c>
      <c r="B374" s="25"/>
      <c r="C374" s="25"/>
      <c r="D374" s="25"/>
      <c r="E374" s="25"/>
      <c r="F374" s="25"/>
      <c r="G374" s="35">
        <v>0.0</v>
      </c>
      <c r="H374" s="35">
        <v>1.0</v>
      </c>
      <c r="I374" s="25"/>
      <c r="J374" s="25"/>
      <c r="K374" s="25"/>
      <c r="L374" s="35"/>
      <c r="M374" s="35"/>
      <c r="N374" s="25"/>
      <c r="O374" s="25"/>
      <c r="P374" s="25"/>
      <c r="Q374" s="35">
        <v>2.0</v>
      </c>
      <c r="R374" s="35">
        <v>2.0</v>
      </c>
      <c r="S374" s="35">
        <v>2.0</v>
      </c>
      <c r="T374" s="35">
        <v>2.0</v>
      </c>
      <c r="U374" s="34"/>
      <c r="V374" s="34"/>
      <c r="W374" s="34"/>
      <c r="X374" s="34"/>
      <c r="Y374" s="34"/>
      <c r="Z374" s="34"/>
      <c r="AA374" s="25"/>
      <c r="AB374" s="25"/>
      <c r="AC374" s="25"/>
      <c r="AD374" s="25"/>
      <c r="AE374" s="25"/>
      <c r="AF374" s="25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25"/>
      <c r="AU374" s="34"/>
      <c r="AV374" s="34"/>
      <c r="AW374" s="34"/>
    </row>
    <row r="375" ht="15.0" customHeight="1">
      <c r="A375" s="32" t="s">
        <v>400</v>
      </c>
      <c r="B375" s="25"/>
      <c r="C375" s="25"/>
      <c r="D375" s="25"/>
      <c r="E375" s="25"/>
      <c r="F375" s="25"/>
      <c r="G375" s="35">
        <v>0.0</v>
      </c>
      <c r="H375" s="35">
        <v>1.0</v>
      </c>
      <c r="I375" s="25"/>
      <c r="J375" s="25"/>
      <c r="K375" s="25"/>
      <c r="L375" s="35"/>
      <c r="M375" s="35"/>
      <c r="N375" s="25"/>
      <c r="O375" s="25"/>
      <c r="P375" s="25"/>
      <c r="Q375" s="35">
        <v>2.0</v>
      </c>
      <c r="R375" s="35">
        <v>2.0</v>
      </c>
      <c r="S375" s="35">
        <v>2.0</v>
      </c>
      <c r="T375" s="35">
        <v>2.0</v>
      </c>
      <c r="U375" s="34"/>
      <c r="V375" s="34"/>
      <c r="W375" s="34"/>
      <c r="X375" s="34"/>
      <c r="Y375" s="34"/>
      <c r="Z375" s="34"/>
      <c r="AA375" s="25"/>
      <c r="AB375" s="25"/>
      <c r="AC375" s="25"/>
      <c r="AD375" s="25"/>
      <c r="AE375" s="25"/>
      <c r="AF375" s="25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25"/>
      <c r="AU375" s="34"/>
      <c r="AV375" s="34"/>
      <c r="AW375" s="34"/>
    </row>
    <row r="376" ht="15.0" customHeight="1">
      <c r="A376" s="32" t="s">
        <v>401</v>
      </c>
      <c r="B376" s="25"/>
      <c r="C376" s="25"/>
      <c r="D376" s="25"/>
      <c r="E376" s="25"/>
      <c r="F376" s="25"/>
      <c r="G376" s="35">
        <v>0.0</v>
      </c>
      <c r="H376" s="35">
        <v>1.0</v>
      </c>
      <c r="I376" s="25"/>
      <c r="J376" s="25"/>
      <c r="K376" s="25"/>
      <c r="L376" s="35"/>
      <c r="M376" s="35"/>
      <c r="N376" s="25"/>
      <c r="O376" s="25"/>
      <c r="P376" s="25"/>
      <c r="Q376" s="35">
        <v>2.0</v>
      </c>
      <c r="R376" s="35">
        <v>2.0</v>
      </c>
      <c r="S376" s="35">
        <v>2.0</v>
      </c>
      <c r="T376" s="35">
        <v>2.0</v>
      </c>
      <c r="U376" s="34"/>
      <c r="V376" s="34"/>
      <c r="W376" s="34"/>
      <c r="X376" s="34"/>
      <c r="Y376" s="34"/>
      <c r="Z376" s="34"/>
      <c r="AA376" s="25"/>
      <c r="AB376" s="25"/>
      <c r="AC376" s="25"/>
      <c r="AD376" s="25"/>
      <c r="AE376" s="25"/>
      <c r="AF376" s="25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25"/>
      <c r="AU376" s="34"/>
      <c r="AV376" s="34"/>
      <c r="AW376" s="34"/>
    </row>
    <row r="377" ht="15.0" customHeight="1">
      <c r="A377" s="32" t="s">
        <v>402</v>
      </c>
      <c r="B377" s="25"/>
      <c r="C377" s="25"/>
      <c r="D377" s="25"/>
      <c r="E377" s="25"/>
      <c r="F377" s="25"/>
      <c r="G377" s="35">
        <v>0.0</v>
      </c>
      <c r="H377" s="35">
        <v>1.0</v>
      </c>
      <c r="I377" s="25"/>
      <c r="J377" s="25"/>
      <c r="K377" s="25"/>
      <c r="L377" s="35"/>
      <c r="M377" s="35"/>
      <c r="N377" s="25"/>
      <c r="O377" s="25"/>
      <c r="P377" s="25"/>
      <c r="Q377" s="35">
        <v>2.0</v>
      </c>
      <c r="R377" s="35">
        <v>2.0</v>
      </c>
      <c r="S377" s="35">
        <v>2.0</v>
      </c>
      <c r="T377" s="35">
        <v>2.0</v>
      </c>
      <c r="U377" s="34"/>
      <c r="V377" s="34"/>
      <c r="W377" s="34"/>
      <c r="X377" s="34"/>
      <c r="Y377" s="34"/>
      <c r="Z377" s="34"/>
      <c r="AA377" s="25"/>
      <c r="AB377" s="25"/>
      <c r="AC377" s="25"/>
      <c r="AD377" s="25"/>
      <c r="AE377" s="25"/>
      <c r="AF377" s="25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25"/>
      <c r="AU377" s="34"/>
      <c r="AV377" s="34"/>
      <c r="AW377" s="34"/>
    </row>
    <row r="378" ht="15.0" customHeight="1">
      <c r="A378" s="32" t="s">
        <v>403</v>
      </c>
      <c r="B378" s="25"/>
      <c r="C378" s="25"/>
      <c r="D378" s="25"/>
      <c r="E378" s="25"/>
      <c r="F378" s="25"/>
      <c r="G378" s="35">
        <v>0.0</v>
      </c>
      <c r="H378" s="35">
        <v>1.0</v>
      </c>
      <c r="I378" s="25"/>
      <c r="J378" s="25"/>
      <c r="K378" s="25"/>
      <c r="L378" s="35"/>
      <c r="M378" s="35"/>
      <c r="N378" s="25"/>
      <c r="O378" s="25"/>
      <c r="P378" s="25"/>
      <c r="Q378" s="35">
        <v>2.0</v>
      </c>
      <c r="R378" s="35">
        <v>2.0</v>
      </c>
      <c r="S378" s="35">
        <v>2.0</v>
      </c>
      <c r="T378" s="35">
        <v>2.0</v>
      </c>
      <c r="U378" s="34"/>
      <c r="V378" s="34"/>
      <c r="W378" s="34"/>
      <c r="X378" s="34"/>
      <c r="Y378" s="34"/>
      <c r="Z378" s="34"/>
      <c r="AA378" s="25"/>
      <c r="AB378" s="25"/>
      <c r="AC378" s="25"/>
      <c r="AD378" s="25"/>
      <c r="AE378" s="25"/>
      <c r="AF378" s="25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25"/>
      <c r="AU378" s="34"/>
      <c r="AV378" s="34"/>
      <c r="AW378" s="34"/>
    </row>
    <row r="379" ht="15.0" customHeight="1">
      <c r="A379" s="32" t="s">
        <v>404</v>
      </c>
      <c r="B379" s="25"/>
      <c r="C379" s="25"/>
      <c r="D379" s="25"/>
      <c r="E379" s="25"/>
      <c r="F379" s="25"/>
      <c r="G379" s="35">
        <v>0.0</v>
      </c>
      <c r="H379" s="35">
        <v>1.0</v>
      </c>
      <c r="I379" s="25"/>
      <c r="J379" s="25"/>
      <c r="K379" s="25"/>
      <c r="L379" s="35"/>
      <c r="M379" s="35"/>
      <c r="N379" s="25"/>
      <c r="O379" s="25"/>
      <c r="P379" s="25"/>
      <c r="Q379" s="35">
        <v>2.0</v>
      </c>
      <c r="R379" s="35">
        <v>2.0</v>
      </c>
      <c r="S379" s="35">
        <v>2.0</v>
      </c>
      <c r="T379" s="35">
        <v>2.0</v>
      </c>
      <c r="U379" s="34"/>
      <c r="V379" s="34"/>
      <c r="W379" s="34"/>
      <c r="X379" s="34"/>
      <c r="Y379" s="34"/>
      <c r="Z379" s="34"/>
      <c r="AA379" s="25"/>
      <c r="AB379" s="25"/>
      <c r="AC379" s="25"/>
      <c r="AD379" s="25"/>
      <c r="AE379" s="25"/>
      <c r="AF379" s="25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25"/>
      <c r="AU379" s="34"/>
      <c r="AV379" s="34"/>
      <c r="AW379" s="34"/>
    </row>
    <row r="380" ht="15.0" customHeight="1">
      <c r="A380" s="32" t="s">
        <v>405</v>
      </c>
      <c r="B380" s="25"/>
      <c r="C380" s="25"/>
      <c r="D380" s="25"/>
      <c r="E380" s="25"/>
      <c r="F380" s="25"/>
      <c r="G380" s="35">
        <v>0.0</v>
      </c>
      <c r="H380" s="35">
        <v>1.0</v>
      </c>
      <c r="I380" s="25"/>
      <c r="J380" s="25"/>
      <c r="K380" s="25"/>
      <c r="L380" s="35"/>
      <c r="M380" s="35"/>
      <c r="N380" s="25"/>
      <c r="O380" s="25"/>
      <c r="P380" s="25"/>
      <c r="Q380" s="35">
        <v>2.0</v>
      </c>
      <c r="R380" s="35">
        <v>2.0</v>
      </c>
      <c r="S380" s="35">
        <v>2.0</v>
      </c>
      <c r="T380" s="35">
        <v>2.0</v>
      </c>
      <c r="U380" s="34"/>
      <c r="V380" s="34"/>
      <c r="W380" s="34"/>
      <c r="X380" s="34"/>
      <c r="Y380" s="34"/>
      <c r="Z380" s="34"/>
      <c r="AA380" s="25"/>
      <c r="AB380" s="25"/>
      <c r="AC380" s="25"/>
      <c r="AD380" s="25"/>
      <c r="AE380" s="25"/>
      <c r="AF380" s="25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25"/>
      <c r="AU380" s="34"/>
      <c r="AV380" s="34"/>
      <c r="AW380" s="34"/>
    </row>
    <row r="381" ht="15.0" customHeight="1">
      <c r="A381" s="32" t="s">
        <v>406</v>
      </c>
      <c r="B381" s="25"/>
      <c r="C381" s="25"/>
      <c r="D381" s="25"/>
      <c r="E381" s="25"/>
      <c r="F381" s="25"/>
      <c r="G381" s="35">
        <v>0.0</v>
      </c>
      <c r="H381" s="35">
        <v>1.0</v>
      </c>
      <c r="I381" s="25"/>
      <c r="J381" s="25"/>
      <c r="K381" s="25"/>
      <c r="L381" s="35"/>
      <c r="M381" s="35"/>
      <c r="N381" s="25"/>
      <c r="O381" s="25"/>
      <c r="P381" s="25"/>
      <c r="Q381" s="35">
        <v>2.0</v>
      </c>
      <c r="R381" s="35">
        <v>2.0</v>
      </c>
      <c r="S381" s="35">
        <v>2.0</v>
      </c>
      <c r="T381" s="35">
        <v>2.0</v>
      </c>
      <c r="U381" s="34"/>
      <c r="V381" s="34"/>
      <c r="W381" s="34"/>
      <c r="X381" s="34"/>
      <c r="Y381" s="34"/>
      <c r="Z381" s="34"/>
      <c r="AA381" s="25"/>
      <c r="AB381" s="25"/>
      <c r="AC381" s="25"/>
      <c r="AD381" s="25"/>
      <c r="AE381" s="25"/>
      <c r="AF381" s="25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25"/>
      <c r="AU381" s="34"/>
      <c r="AV381" s="34"/>
      <c r="AW381" s="34"/>
    </row>
    <row r="382" ht="15.0" customHeight="1">
      <c r="A382" s="32" t="s">
        <v>407</v>
      </c>
      <c r="B382" s="25"/>
      <c r="C382" s="25"/>
      <c r="D382" s="25"/>
      <c r="E382" s="25"/>
      <c r="F382" s="25"/>
      <c r="G382" s="35">
        <v>0.0</v>
      </c>
      <c r="H382" s="35">
        <v>1.0</v>
      </c>
      <c r="I382" s="25"/>
      <c r="J382" s="25"/>
      <c r="K382" s="25"/>
      <c r="L382" s="35"/>
      <c r="M382" s="35"/>
      <c r="N382" s="25"/>
      <c r="O382" s="25"/>
      <c r="P382" s="25"/>
      <c r="Q382" s="35">
        <v>2.0</v>
      </c>
      <c r="R382" s="35">
        <v>2.0</v>
      </c>
      <c r="S382" s="35">
        <v>2.0</v>
      </c>
      <c r="T382" s="35">
        <v>2.0</v>
      </c>
      <c r="U382" s="34"/>
      <c r="V382" s="34"/>
      <c r="W382" s="34"/>
      <c r="X382" s="34"/>
      <c r="Y382" s="34"/>
      <c r="Z382" s="34"/>
      <c r="AA382" s="25"/>
      <c r="AB382" s="25"/>
      <c r="AC382" s="25"/>
      <c r="AD382" s="25"/>
      <c r="AE382" s="25"/>
      <c r="AF382" s="25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25"/>
      <c r="AU382" s="34"/>
      <c r="AV382" s="34"/>
      <c r="AW382" s="34"/>
    </row>
    <row r="383" ht="15.0" customHeight="1">
      <c r="A383" s="32" t="s">
        <v>408</v>
      </c>
      <c r="B383" s="25"/>
      <c r="C383" s="25"/>
      <c r="D383" s="25"/>
      <c r="E383" s="25"/>
      <c r="F383" s="25"/>
      <c r="G383" s="35">
        <v>0.0</v>
      </c>
      <c r="H383" s="35">
        <v>1.0</v>
      </c>
      <c r="I383" s="25"/>
      <c r="J383" s="25"/>
      <c r="K383" s="25"/>
      <c r="L383" s="35"/>
      <c r="M383" s="35"/>
      <c r="N383" s="25"/>
      <c r="O383" s="25"/>
      <c r="P383" s="25"/>
      <c r="Q383" s="35">
        <v>2.0</v>
      </c>
      <c r="R383" s="35">
        <v>2.0</v>
      </c>
      <c r="S383" s="35">
        <v>2.0</v>
      </c>
      <c r="T383" s="35">
        <v>2.0</v>
      </c>
      <c r="U383" s="34"/>
      <c r="V383" s="34"/>
      <c r="W383" s="34"/>
      <c r="X383" s="34"/>
      <c r="Y383" s="34"/>
      <c r="Z383" s="34"/>
      <c r="AA383" s="25"/>
      <c r="AB383" s="25"/>
      <c r="AC383" s="25"/>
      <c r="AD383" s="25"/>
      <c r="AE383" s="25"/>
      <c r="AF383" s="25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25"/>
      <c r="AU383" s="34"/>
      <c r="AV383" s="34"/>
      <c r="AW383" s="34"/>
    </row>
    <row r="384" ht="15.0" customHeight="1">
      <c r="A384" s="32" t="s">
        <v>409</v>
      </c>
      <c r="B384" s="25"/>
      <c r="C384" s="25"/>
      <c r="D384" s="25"/>
      <c r="E384" s="25"/>
      <c r="F384" s="25"/>
      <c r="G384" s="35">
        <v>0.0</v>
      </c>
      <c r="H384" s="35">
        <v>1.0</v>
      </c>
      <c r="I384" s="25"/>
      <c r="J384" s="25"/>
      <c r="K384" s="25"/>
      <c r="L384" s="35"/>
      <c r="M384" s="35"/>
      <c r="N384" s="25"/>
      <c r="O384" s="25"/>
      <c r="P384" s="25"/>
      <c r="Q384" s="35">
        <v>2.0</v>
      </c>
      <c r="R384" s="35">
        <v>2.0</v>
      </c>
      <c r="S384" s="35">
        <v>2.0</v>
      </c>
      <c r="T384" s="35">
        <v>2.0</v>
      </c>
      <c r="U384" s="34"/>
      <c r="V384" s="34"/>
      <c r="W384" s="34"/>
      <c r="X384" s="34"/>
      <c r="Y384" s="34"/>
      <c r="Z384" s="34"/>
      <c r="AA384" s="25"/>
      <c r="AB384" s="25"/>
      <c r="AC384" s="25"/>
      <c r="AD384" s="25"/>
      <c r="AE384" s="25"/>
      <c r="AF384" s="25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25"/>
      <c r="AU384" s="34"/>
      <c r="AV384" s="34"/>
      <c r="AW384" s="34"/>
    </row>
    <row r="385" ht="15.0" customHeight="1">
      <c r="A385" s="32" t="s">
        <v>410</v>
      </c>
      <c r="B385" s="25"/>
      <c r="C385" s="25"/>
      <c r="D385" s="25"/>
      <c r="E385" s="25"/>
      <c r="F385" s="25"/>
      <c r="G385" s="35">
        <v>0.0</v>
      </c>
      <c r="H385" s="35">
        <v>1.0</v>
      </c>
      <c r="I385" s="25"/>
      <c r="J385" s="25"/>
      <c r="K385" s="25"/>
      <c r="L385" s="35"/>
      <c r="M385" s="35"/>
      <c r="N385" s="25"/>
      <c r="O385" s="25"/>
      <c r="P385" s="25"/>
      <c r="Q385" s="35">
        <v>2.0</v>
      </c>
      <c r="R385" s="35">
        <v>2.0</v>
      </c>
      <c r="S385" s="35">
        <v>2.0</v>
      </c>
      <c r="T385" s="35">
        <v>2.0</v>
      </c>
      <c r="U385" s="34"/>
      <c r="V385" s="34"/>
      <c r="W385" s="34"/>
      <c r="X385" s="34"/>
      <c r="Y385" s="34"/>
      <c r="Z385" s="34"/>
      <c r="AA385" s="25"/>
      <c r="AB385" s="25"/>
      <c r="AC385" s="25"/>
      <c r="AD385" s="25"/>
      <c r="AE385" s="25"/>
      <c r="AF385" s="25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25"/>
      <c r="AU385" s="34"/>
      <c r="AV385" s="34"/>
      <c r="AW385" s="34"/>
    </row>
    <row r="386" ht="15.0" customHeight="1">
      <c r="A386" s="32" t="s">
        <v>411</v>
      </c>
      <c r="B386" s="25"/>
      <c r="C386" s="25"/>
      <c r="D386" s="25"/>
      <c r="E386" s="25"/>
      <c r="F386" s="25"/>
      <c r="G386" s="35">
        <v>0.0</v>
      </c>
      <c r="H386" s="35">
        <v>1.0</v>
      </c>
      <c r="I386" s="25"/>
      <c r="J386" s="25"/>
      <c r="K386" s="25"/>
      <c r="L386" s="35"/>
      <c r="M386" s="35"/>
      <c r="N386" s="25"/>
      <c r="O386" s="25"/>
      <c r="P386" s="25"/>
      <c r="Q386" s="35">
        <v>2.0</v>
      </c>
      <c r="R386" s="35">
        <v>2.0</v>
      </c>
      <c r="S386" s="35">
        <v>2.0</v>
      </c>
      <c r="T386" s="35">
        <v>2.0</v>
      </c>
      <c r="U386" s="34"/>
      <c r="V386" s="34"/>
      <c r="W386" s="34"/>
      <c r="X386" s="34"/>
      <c r="Y386" s="34"/>
      <c r="Z386" s="34"/>
      <c r="AA386" s="25"/>
      <c r="AB386" s="25"/>
      <c r="AC386" s="25"/>
      <c r="AD386" s="25"/>
      <c r="AE386" s="25"/>
      <c r="AF386" s="25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25"/>
      <c r="AU386" s="34"/>
      <c r="AV386" s="34"/>
      <c r="AW386" s="34"/>
    </row>
    <row r="387" ht="15.0" customHeight="1">
      <c r="A387" s="32" t="s">
        <v>412</v>
      </c>
      <c r="B387" s="25"/>
      <c r="C387" s="25"/>
      <c r="D387" s="25"/>
      <c r="E387" s="25"/>
      <c r="F387" s="25"/>
      <c r="G387" s="35">
        <v>0.0</v>
      </c>
      <c r="H387" s="35">
        <v>1.0</v>
      </c>
      <c r="I387" s="25"/>
      <c r="J387" s="25"/>
      <c r="K387" s="25"/>
      <c r="L387" s="35"/>
      <c r="M387" s="35"/>
      <c r="N387" s="25"/>
      <c r="O387" s="25"/>
      <c r="P387" s="25"/>
      <c r="Q387" s="35">
        <v>2.0</v>
      </c>
      <c r="R387" s="35">
        <v>2.0</v>
      </c>
      <c r="S387" s="35">
        <v>2.0</v>
      </c>
      <c r="T387" s="35">
        <v>2.0</v>
      </c>
      <c r="U387" s="34"/>
      <c r="V387" s="34"/>
      <c r="W387" s="34"/>
      <c r="X387" s="34"/>
      <c r="Y387" s="34"/>
      <c r="Z387" s="34"/>
      <c r="AA387" s="25"/>
      <c r="AB387" s="25"/>
      <c r="AC387" s="25"/>
      <c r="AD387" s="25"/>
      <c r="AE387" s="25"/>
      <c r="AF387" s="25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25"/>
      <c r="AU387" s="34"/>
      <c r="AV387" s="34"/>
      <c r="AW387" s="34"/>
    </row>
    <row r="388" ht="15.0" customHeight="1">
      <c r="A388" s="32" t="s">
        <v>413</v>
      </c>
      <c r="B388" s="25"/>
      <c r="C388" s="25"/>
      <c r="D388" s="25"/>
      <c r="E388" s="25"/>
      <c r="F388" s="25"/>
      <c r="G388" s="35">
        <v>0.0</v>
      </c>
      <c r="H388" s="35">
        <v>1.0</v>
      </c>
      <c r="I388" s="25"/>
      <c r="J388" s="25"/>
      <c r="K388" s="25"/>
      <c r="L388" s="35"/>
      <c r="M388" s="35"/>
      <c r="N388" s="25"/>
      <c r="O388" s="25"/>
      <c r="P388" s="25"/>
      <c r="Q388" s="35">
        <v>2.0</v>
      </c>
      <c r="R388" s="35">
        <v>2.0</v>
      </c>
      <c r="S388" s="35">
        <v>2.0</v>
      </c>
      <c r="T388" s="35">
        <v>2.0</v>
      </c>
      <c r="U388" s="34"/>
      <c r="V388" s="34"/>
      <c r="W388" s="34"/>
      <c r="X388" s="34"/>
      <c r="Y388" s="34"/>
      <c r="Z388" s="34"/>
      <c r="AA388" s="25"/>
      <c r="AB388" s="25"/>
      <c r="AC388" s="25"/>
      <c r="AD388" s="25"/>
      <c r="AE388" s="25"/>
      <c r="AF388" s="25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25"/>
      <c r="AU388" s="34"/>
      <c r="AV388" s="34"/>
      <c r="AW388" s="34"/>
    </row>
    <row r="389" ht="15.0" customHeight="1">
      <c r="A389" s="32" t="s">
        <v>414</v>
      </c>
      <c r="B389" s="25"/>
      <c r="C389" s="25"/>
      <c r="D389" s="25"/>
      <c r="E389" s="25"/>
      <c r="F389" s="25"/>
      <c r="G389" s="35">
        <v>0.0</v>
      </c>
      <c r="H389" s="35">
        <v>1.0</v>
      </c>
      <c r="I389" s="25"/>
      <c r="J389" s="25"/>
      <c r="K389" s="25"/>
      <c r="L389" s="35"/>
      <c r="M389" s="35"/>
      <c r="N389" s="25"/>
      <c r="O389" s="25"/>
      <c r="P389" s="25"/>
      <c r="Q389" s="35">
        <v>2.0</v>
      </c>
      <c r="R389" s="35">
        <v>2.0</v>
      </c>
      <c r="S389" s="35">
        <v>2.0</v>
      </c>
      <c r="T389" s="35">
        <v>2.0</v>
      </c>
      <c r="U389" s="34"/>
      <c r="V389" s="34"/>
      <c r="W389" s="34"/>
      <c r="X389" s="34"/>
      <c r="Y389" s="34"/>
      <c r="Z389" s="34"/>
      <c r="AA389" s="25"/>
      <c r="AB389" s="25"/>
      <c r="AC389" s="25"/>
      <c r="AD389" s="25"/>
      <c r="AE389" s="25"/>
      <c r="AF389" s="25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25"/>
      <c r="AU389" s="34"/>
      <c r="AV389" s="34"/>
      <c r="AW389" s="34"/>
    </row>
    <row r="390" ht="15.0" customHeight="1">
      <c r="A390" s="32" t="s">
        <v>415</v>
      </c>
      <c r="B390" s="25"/>
      <c r="C390" s="25"/>
      <c r="D390" s="25"/>
      <c r="E390" s="25"/>
      <c r="F390" s="25"/>
      <c r="G390" s="35">
        <v>0.0</v>
      </c>
      <c r="H390" s="35">
        <v>1.0</v>
      </c>
      <c r="I390" s="25"/>
      <c r="J390" s="25"/>
      <c r="K390" s="25"/>
      <c r="L390" s="35"/>
      <c r="M390" s="35"/>
      <c r="N390" s="25"/>
      <c r="O390" s="25"/>
      <c r="P390" s="25"/>
      <c r="Q390" s="35">
        <v>2.0</v>
      </c>
      <c r="R390" s="35">
        <v>2.0</v>
      </c>
      <c r="S390" s="35">
        <v>2.0</v>
      </c>
      <c r="T390" s="35">
        <v>2.0</v>
      </c>
      <c r="U390" s="34"/>
      <c r="V390" s="34"/>
      <c r="W390" s="34"/>
      <c r="X390" s="34"/>
      <c r="Y390" s="34"/>
      <c r="Z390" s="34"/>
      <c r="AA390" s="25"/>
      <c r="AB390" s="25"/>
      <c r="AC390" s="25"/>
      <c r="AD390" s="25"/>
      <c r="AE390" s="25"/>
      <c r="AF390" s="25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25"/>
      <c r="AU390" s="34"/>
      <c r="AV390" s="34"/>
      <c r="AW390" s="34"/>
    </row>
    <row r="391" ht="15.0" customHeight="1">
      <c r="A391" s="32" t="s">
        <v>416</v>
      </c>
      <c r="B391" s="25"/>
      <c r="C391" s="25"/>
      <c r="D391" s="25"/>
      <c r="E391" s="25"/>
      <c r="F391" s="25"/>
      <c r="G391" s="35">
        <v>0.0</v>
      </c>
      <c r="H391" s="35">
        <v>1.0</v>
      </c>
      <c r="I391" s="25"/>
      <c r="J391" s="25"/>
      <c r="K391" s="25"/>
      <c r="L391" s="35"/>
      <c r="M391" s="35"/>
      <c r="N391" s="25"/>
      <c r="O391" s="25"/>
      <c r="P391" s="25"/>
      <c r="Q391" s="35">
        <v>2.0</v>
      </c>
      <c r="R391" s="35">
        <v>2.0</v>
      </c>
      <c r="S391" s="35">
        <v>2.0</v>
      </c>
      <c r="T391" s="35">
        <v>2.0</v>
      </c>
      <c r="U391" s="34"/>
      <c r="V391" s="34"/>
      <c r="W391" s="34"/>
      <c r="X391" s="34"/>
      <c r="Y391" s="34"/>
      <c r="Z391" s="34"/>
      <c r="AA391" s="25"/>
      <c r="AB391" s="25"/>
      <c r="AC391" s="25"/>
      <c r="AD391" s="25"/>
      <c r="AE391" s="25"/>
      <c r="AF391" s="25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25"/>
      <c r="AU391" s="34"/>
      <c r="AV391" s="34"/>
      <c r="AW391" s="34"/>
    </row>
    <row r="392" ht="15.0" customHeight="1">
      <c r="A392" s="32" t="s">
        <v>417</v>
      </c>
      <c r="B392" s="25"/>
      <c r="C392" s="25"/>
      <c r="D392" s="25"/>
      <c r="E392" s="25"/>
      <c r="F392" s="25"/>
      <c r="G392" s="35">
        <v>0.0</v>
      </c>
      <c r="H392" s="35">
        <v>1.0</v>
      </c>
      <c r="I392" s="25"/>
      <c r="J392" s="25"/>
      <c r="K392" s="25"/>
      <c r="L392" s="35"/>
      <c r="M392" s="35"/>
      <c r="N392" s="25"/>
      <c r="O392" s="25"/>
      <c r="P392" s="25"/>
      <c r="Q392" s="35">
        <v>2.0</v>
      </c>
      <c r="R392" s="35">
        <v>2.0</v>
      </c>
      <c r="S392" s="35">
        <v>2.0</v>
      </c>
      <c r="T392" s="35">
        <v>2.0</v>
      </c>
      <c r="U392" s="34"/>
      <c r="V392" s="34"/>
      <c r="W392" s="34"/>
      <c r="X392" s="34"/>
      <c r="Y392" s="34"/>
      <c r="Z392" s="34"/>
      <c r="AA392" s="25"/>
      <c r="AB392" s="25"/>
      <c r="AC392" s="25"/>
      <c r="AD392" s="25"/>
      <c r="AE392" s="25"/>
      <c r="AF392" s="25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25"/>
      <c r="AU392" s="34"/>
      <c r="AV392" s="34"/>
      <c r="AW392" s="34"/>
    </row>
    <row r="393" ht="15.0" customHeight="1">
      <c r="A393" s="32" t="s">
        <v>418</v>
      </c>
      <c r="B393" s="25"/>
      <c r="C393" s="25"/>
      <c r="D393" s="25"/>
      <c r="E393" s="25"/>
      <c r="F393" s="25"/>
      <c r="G393" s="35">
        <v>0.0</v>
      </c>
      <c r="H393" s="35">
        <v>1.0</v>
      </c>
      <c r="I393" s="25"/>
      <c r="J393" s="25"/>
      <c r="K393" s="25"/>
      <c r="L393" s="35"/>
      <c r="M393" s="35"/>
      <c r="N393" s="25"/>
      <c r="O393" s="25"/>
      <c r="P393" s="25"/>
      <c r="Q393" s="35">
        <v>2.0</v>
      </c>
      <c r="R393" s="35">
        <v>2.0</v>
      </c>
      <c r="S393" s="35">
        <v>2.0</v>
      </c>
      <c r="T393" s="35">
        <v>2.0</v>
      </c>
      <c r="U393" s="34"/>
      <c r="V393" s="34"/>
      <c r="W393" s="34"/>
      <c r="X393" s="34"/>
      <c r="Y393" s="34"/>
      <c r="Z393" s="34"/>
      <c r="AA393" s="25"/>
      <c r="AB393" s="25"/>
      <c r="AC393" s="25"/>
      <c r="AD393" s="25"/>
      <c r="AE393" s="25"/>
      <c r="AF393" s="25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25"/>
      <c r="AU393" s="34"/>
      <c r="AV393" s="34"/>
      <c r="AW393" s="34"/>
    </row>
    <row r="394" ht="15.0" customHeight="1">
      <c r="A394" s="32" t="s">
        <v>419</v>
      </c>
      <c r="B394" s="25"/>
      <c r="C394" s="25"/>
      <c r="D394" s="25"/>
      <c r="E394" s="25"/>
      <c r="F394" s="25"/>
      <c r="G394" s="35">
        <v>0.0</v>
      </c>
      <c r="H394" s="35">
        <v>1.0</v>
      </c>
      <c r="I394" s="25"/>
      <c r="J394" s="25"/>
      <c r="K394" s="25"/>
      <c r="L394" s="35"/>
      <c r="M394" s="35"/>
      <c r="N394" s="25"/>
      <c r="O394" s="25"/>
      <c r="P394" s="25"/>
      <c r="Q394" s="35">
        <v>2.0</v>
      </c>
      <c r="R394" s="35">
        <v>2.0</v>
      </c>
      <c r="S394" s="35">
        <v>2.0</v>
      </c>
      <c r="T394" s="35">
        <v>2.0</v>
      </c>
      <c r="U394" s="34"/>
      <c r="V394" s="34"/>
      <c r="W394" s="34"/>
      <c r="X394" s="34"/>
      <c r="Y394" s="34"/>
      <c r="Z394" s="34"/>
      <c r="AA394" s="25"/>
      <c r="AB394" s="25"/>
      <c r="AC394" s="25"/>
      <c r="AD394" s="25"/>
      <c r="AE394" s="25"/>
      <c r="AF394" s="25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25"/>
      <c r="AU394" s="34"/>
      <c r="AV394" s="34"/>
      <c r="AW394" s="34"/>
    </row>
    <row r="395" ht="15.0" customHeight="1">
      <c r="A395" s="32" t="s">
        <v>420</v>
      </c>
      <c r="B395" s="25"/>
      <c r="C395" s="25"/>
      <c r="D395" s="25"/>
      <c r="E395" s="25"/>
      <c r="F395" s="25"/>
      <c r="G395" s="35">
        <v>0.0</v>
      </c>
      <c r="H395" s="35">
        <v>1.0</v>
      </c>
      <c r="I395" s="25"/>
      <c r="J395" s="25"/>
      <c r="K395" s="25"/>
      <c r="L395" s="35"/>
      <c r="M395" s="35"/>
      <c r="N395" s="25"/>
      <c r="O395" s="25"/>
      <c r="P395" s="25"/>
      <c r="Q395" s="35">
        <v>2.0</v>
      </c>
      <c r="R395" s="35">
        <v>2.0</v>
      </c>
      <c r="S395" s="35">
        <v>2.0</v>
      </c>
      <c r="T395" s="35">
        <v>2.0</v>
      </c>
      <c r="U395" s="34"/>
      <c r="V395" s="34"/>
      <c r="W395" s="34"/>
      <c r="X395" s="34"/>
      <c r="Y395" s="34"/>
      <c r="Z395" s="34"/>
      <c r="AA395" s="25"/>
      <c r="AB395" s="25"/>
      <c r="AC395" s="25"/>
      <c r="AD395" s="25"/>
      <c r="AE395" s="25"/>
      <c r="AF395" s="25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25"/>
      <c r="AU395" s="34"/>
      <c r="AV395" s="34"/>
      <c r="AW395" s="34"/>
    </row>
    <row r="396" ht="15.0" customHeight="1">
      <c r="A396" s="32" t="s">
        <v>421</v>
      </c>
      <c r="B396" s="25"/>
      <c r="C396" s="25"/>
      <c r="D396" s="25"/>
      <c r="E396" s="25"/>
      <c r="F396" s="25"/>
      <c r="G396" s="35">
        <v>0.0</v>
      </c>
      <c r="H396" s="35">
        <v>1.0</v>
      </c>
      <c r="I396" s="25"/>
      <c r="J396" s="25"/>
      <c r="K396" s="25"/>
      <c r="L396" s="35"/>
      <c r="M396" s="35"/>
      <c r="N396" s="25"/>
      <c r="O396" s="25"/>
      <c r="P396" s="25"/>
      <c r="Q396" s="35">
        <v>2.0</v>
      </c>
      <c r="R396" s="35">
        <v>2.0</v>
      </c>
      <c r="S396" s="35">
        <v>2.0</v>
      </c>
      <c r="T396" s="35">
        <v>2.0</v>
      </c>
      <c r="U396" s="34"/>
      <c r="V396" s="34"/>
      <c r="W396" s="34"/>
      <c r="X396" s="34"/>
      <c r="Y396" s="34"/>
      <c r="Z396" s="34"/>
      <c r="AA396" s="25"/>
      <c r="AB396" s="25"/>
      <c r="AC396" s="25"/>
      <c r="AD396" s="25"/>
      <c r="AE396" s="25"/>
      <c r="AF396" s="25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25"/>
      <c r="AU396" s="34"/>
      <c r="AV396" s="34"/>
      <c r="AW396" s="34"/>
    </row>
    <row r="397" ht="15.0" customHeight="1">
      <c r="A397" s="32" t="s">
        <v>422</v>
      </c>
      <c r="B397" s="25"/>
      <c r="C397" s="25"/>
      <c r="D397" s="25"/>
      <c r="E397" s="25"/>
      <c r="F397" s="25"/>
      <c r="G397" s="35">
        <v>0.0</v>
      </c>
      <c r="H397" s="35">
        <v>1.0</v>
      </c>
      <c r="I397" s="25"/>
      <c r="J397" s="25"/>
      <c r="K397" s="25"/>
      <c r="L397" s="35"/>
      <c r="M397" s="35"/>
      <c r="N397" s="25"/>
      <c r="O397" s="25"/>
      <c r="P397" s="25"/>
      <c r="Q397" s="35">
        <v>2.0</v>
      </c>
      <c r="R397" s="35">
        <v>2.0</v>
      </c>
      <c r="S397" s="35">
        <v>2.0</v>
      </c>
      <c r="T397" s="35">
        <v>2.0</v>
      </c>
      <c r="U397" s="34"/>
      <c r="V397" s="34"/>
      <c r="W397" s="34"/>
      <c r="X397" s="34"/>
      <c r="Y397" s="34"/>
      <c r="Z397" s="34"/>
      <c r="AA397" s="25"/>
      <c r="AB397" s="25"/>
      <c r="AC397" s="25"/>
      <c r="AD397" s="25"/>
      <c r="AE397" s="25"/>
      <c r="AF397" s="25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25"/>
      <c r="AU397" s="34"/>
      <c r="AV397" s="34"/>
      <c r="AW397" s="34"/>
    </row>
    <row r="398" ht="15.0" customHeight="1">
      <c r="A398" s="32" t="s">
        <v>423</v>
      </c>
      <c r="B398" s="25"/>
      <c r="C398" s="25"/>
      <c r="D398" s="25"/>
      <c r="E398" s="25"/>
      <c r="F398" s="25"/>
      <c r="G398" s="35">
        <v>0.0</v>
      </c>
      <c r="H398" s="35">
        <v>1.0</v>
      </c>
      <c r="I398" s="25"/>
      <c r="J398" s="25"/>
      <c r="K398" s="25"/>
      <c r="L398" s="35"/>
      <c r="M398" s="35"/>
      <c r="N398" s="25"/>
      <c r="O398" s="25"/>
      <c r="P398" s="25"/>
      <c r="Q398" s="35">
        <v>2.0</v>
      </c>
      <c r="R398" s="35">
        <v>2.0</v>
      </c>
      <c r="S398" s="35">
        <v>2.0</v>
      </c>
      <c r="T398" s="35">
        <v>2.0</v>
      </c>
      <c r="U398" s="34"/>
      <c r="V398" s="34"/>
      <c r="W398" s="34"/>
      <c r="X398" s="34"/>
      <c r="Y398" s="34"/>
      <c r="Z398" s="34"/>
      <c r="AA398" s="25"/>
      <c r="AB398" s="25"/>
      <c r="AC398" s="25"/>
      <c r="AD398" s="25"/>
      <c r="AE398" s="25"/>
      <c r="AF398" s="25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25"/>
      <c r="AU398" s="34"/>
      <c r="AV398" s="34"/>
      <c r="AW398" s="34"/>
    </row>
    <row r="399" ht="15.0" customHeight="1">
      <c r="A399" s="32" t="s">
        <v>424</v>
      </c>
      <c r="B399" s="25"/>
      <c r="C399" s="25"/>
      <c r="D399" s="25"/>
      <c r="E399" s="25"/>
      <c r="F399" s="25"/>
      <c r="G399" s="35">
        <v>0.0</v>
      </c>
      <c r="H399" s="35">
        <v>1.0</v>
      </c>
      <c r="I399" s="25"/>
      <c r="J399" s="25"/>
      <c r="K399" s="25"/>
      <c r="L399" s="35"/>
      <c r="M399" s="35"/>
      <c r="N399" s="25"/>
      <c r="O399" s="25"/>
      <c r="P399" s="25"/>
      <c r="Q399" s="35">
        <v>2.0</v>
      </c>
      <c r="R399" s="35">
        <v>2.0</v>
      </c>
      <c r="S399" s="35">
        <v>2.0</v>
      </c>
      <c r="T399" s="35">
        <v>2.0</v>
      </c>
      <c r="U399" s="34"/>
      <c r="V399" s="34"/>
      <c r="W399" s="34"/>
      <c r="X399" s="34"/>
      <c r="Y399" s="34"/>
      <c r="Z399" s="34"/>
      <c r="AA399" s="25"/>
      <c r="AB399" s="25"/>
      <c r="AC399" s="25"/>
      <c r="AD399" s="25"/>
      <c r="AE399" s="25"/>
      <c r="AF399" s="25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25"/>
      <c r="AU399" s="34"/>
      <c r="AV399" s="34"/>
      <c r="AW399" s="34"/>
    </row>
    <row r="400" ht="15.0" customHeight="1">
      <c r="A400" s="32" t="s">
        <v>425</v>
      </c>
      <c r="B400" s="25"/>
      <c r="C400" s="25"/>
      <c r="D400" s="25"/>
      <c r="E400" s="25"/>
      <c r="F400" s="25"/>
      <c r="G400" s="35">
        <v>0.0</v>
      </c>
      <c r="H400" s="35">
        <v>1.0</v>
      </c>
      <c r="I400" s="25"/>
      <c r="J400" s="25"/>
      <c r="K400" s="25"/>
      <c r="L400" s="35"/>
      <c r="M400" s="35"/>
      <c r="N400" s="25"/>
      <c r="O400" s="25"/>
      <c r="P400" s="25"/>
      <c r="Q400" s="35">
        <v>2.0</v>
      </c>
      <c r="R400" s="35">
        <v>2.0</v>
      </c>
      <c r="S400" s="35">
        <v>2.0</v>
      </c>
      <c r="T400" s="35">
        <v>2.0</v>
      </c>
      <c r="U400" s="34"/>
      <c r="V400" s="34"/>
      <c r="W400" s="34"/>
      <c r="X400" s="34"/>
      <c r="Y400" s="34"/>
      <c r="Z400" s="34"/>
      <c r="AA400" s="25"/>
      <c r="AB400" s="25"/>
      <c r="AC400" s="25"/>
      <c r="AD400" s="25"/>
      <c r="AE400" s="25"/>
      <c r="AF400" s="25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25"/>
      <c r="AU400" s="34"/>
      <c r="AV400" s="34"/>
      <c r="AW400" s="34"/>
    </row>
    <row r="401" ht="15.0" customHeight="1">
      <c r="A401" s="32" t="s">
        <v>426</v>
      </c>
      <c r="B401" s="25"/>
      <c r="C401" s="25"/>
      <c r="D401" s="25"/>
      <c r="E401" s="25"/>
      <c r="F401" s="25"/>
      <c r="G401" s="35">
        <v>0.0</v>
      </c>
      <c r="H401" s="35">
        <v>1.0</v>
      </c>
      <c r="I401" s="25"/>
      <c r="J401" s="25"/>
      <c r="K401" s="25"/>
      <c r="L401" s="35"/>
      <c r="M401" s="35"/>
      <c r="N401" s="25"/>
      <c r="O401" s="25"/>
      <c r="P401" s="25"/>
      <c r="Q401" s="35">
        <v>2.0</v>
      </c>
      <c r="R401" s="35">
        <v>2.0</v>
      </c>
      <c r="S401" s="35">
        <v>2.0</v>
      </c>
      <c r="T401" s="35">
        <v>2.0</v>
      </c>
      <c r="U401" s="34"/>
      <c r="V401" s="34"/>
      <c r="W401" s="34"/>
      <c r="X401" s="34"/>
      <c r="Y401" s="34"/>
      <c r="Z401" s="34"/>
      <c r="AA401" s="25"/>
      <c r="AB401" s="25"/>
      <c r="AC401" s="25"/>
      <c r="AD401" s="25"/>
      <c r="AE401" s="25"/>
      <c r="AF401" s="25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25"/>
      <c r="AU401" s="34"/>
      <c r="AV401" s="34"/>
      <c r="AW401" s="34"/>
    </row>
    <row r="402" ht="15.0" customHeight="1">
      <c r="A402" s="32" t="s">
        <v>427</v>
      </c>
      <c r="B402" s="25"/>
      <c r="C402" s="25"/>
      <c r="D402" s="25"/>
      <c r="E402" s="25"/>
      <c r="F402" s="25"/>
      <c r="G402" s="35">
        <v>0.0</v>
      </c>
      <c r="H402" s="35">
        <v>1.0</v>
      </c>
      <c r="I402" s="25"/>
      <c r="J402" s="25"/>
      <c r="K402" s="25"/>
      <c r="L402" s="35"/>
      <c r="M402" s="35"/>
      <c r="N402" s="25"/>
      <c r="O402" s="25"/>
      <c r="P402" s="25"/>
      <c r="Q402" s="35">
        <v>2.0</v>
      </c>
      <c r="R402" s="35">
        <v>2.0</v>
      </c>
      <c r="S402" s="35">
        <v>2.0</v>
      </c>
      <c r="T402" s="35">
        <v>2.0</v>
      </c>
      <c r="U402" s="34"/>
      <c r="V402" s="34"/>
      <c r="W402" s="34"/>
      <c r="X402" s="34"/>
      <c r="Y402" s="34"/>
      <c r="Z402" s="34"/>
      <c r="AA402" s="25"/>
      <c r="AB402" s="25"/>
      <c r="AC402" s="25"/>
      <c r="AD402" s="25"/>
      <c r="AE402" s="25"/>
      <c r="AF402" s="25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25"/>
      <c r="AU402" s="34"/>
      <c r="AV402" s="34"/>
      <c r="AW402" s="34"/>
    </row>
    <row r="403" ht="15.0" customHeight="1">
      <c r="A403" s="32" t="s">
        <v>428</v>
      </c>
      <c r="B403" s="25"/>
      <c r="C403" s="25"/>
      <c r="D403" s="25"/>
      <c r="E403" s="25"/>
      <c r="F403" s="25"/>
      <c r="G403" s="35">
        <v>0.0</v>
      </c>
      <c r="H403" s="35">
        <v>1.0</v>
      </c>
      <c r="I403" s="25"/>
      <c r="J403" s="25"/>
      <c r="K403" s="25"/>
      <c r="L403" s="35"/>
      <c r="M403" s="35"/>
      <c r="N403" s="25"/>
      <c r="O403" s="25"/>
      <c r="P403" s="25"/>
      <c r="Q403" s="35">
        <v>2.0</v>
      </c>
      <c r="R403" s="35">
        <v>2.0</v>
      </c>
      <c r="S403" s="35">
        <v>2.0</v>
      </c>
      <c r="T403" s="35">
        <v>2.0</v>
      </c>
      <c r="U403" s="34"/>
      <c r="V403" s="34"/>
      <c r="W403" s="34"/>
      <c r="X403" s="34"/>
      <c r="Y403" s="34"/>
      <c r="Z403" s="34"/>
      <c r="AA403" s="25"/>
      <c r="AB403" s="25"/>
      <c r="AC403" s="25"/>
      <c r="AD403" s="25"/>
      <c r="AE403" s="25"/>
      <c r="AF403" s="25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25"/>
      <c r="AU403" s="34"/>
      <c r="AV403" s="34"/>
      <c r="AW403" s="34"/>
    </row>
    <row r="404" ht="15.0" customHeight="1">
      <c r="A404" s="32" t="s">
        <v>429</v>
      </c>
      <c r="B404" s="25"/>
      <c r="C404" s="25"/>
      <c r="D404" s="25"/>
      <c r="E404" s="25"/>
      <c r="F404" s="25"/>
      <c r="G404" s="35">
        <v>0.0</v>
      </c>
      <c r="H404" s="35">
        <v>1.0</v>
      </c>
      <c r="I404" s="25"/>
      <c r="J404" s="25"/>
      <c r="K404" s="25"/>
      <c r="L404" s="35"/>
      <c r="M404" s="35"/>
      <c r="N404" s="25"/>
      <c r="O404" s="25"/>
      <c r="P404" s="25"/>
      <c r="Q404" s="35">
        <v>2.0</v>
      </c>
      <c r="R404" s="35">
        <v>2.0</v>
      </c>
      <c r="S404" s="35">
        <v>2.0</v>
      </c>
      <c r="T404" s="35">
        <v>2.0</v>
      </c>
      <c r="U404" s="34"/>
      <c r="V404" s="34"/>
      <c r="W404" s="34"/>
      <c r="X404" s="34"/>
      <c r="Y404" s="34"/>
      <c r="Z404" s="34"/>
      <c r="AA404" s="25"/>
      <c r="AB404" s="25"/>
      <c r="AC404" s="25"/>
      <c r="AD404" s="25"/>
      <c r="AE404" s="25"/>
      <c r="AF404" s="25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25"/>
      <c r="AU404" s="34"/>
      <c r="AV404" s="34"/>
      <c r="AW404" s="34"/>
    </row>
    <row r="405" ht="15.0" customHeight="1">
      <c r="A405" s="32" t="s">
        <v>430</v>
      </c>
      <c r="B405" s="25"/>
      <c r="C405" s="25"/>
      <c r="D405" s="25"/>
      <c r="E405" s="25"/>
      <c r="F405" s="25"/>
      <c r="G405" s="35">
        <v>0.0</v>
      </c>
      <c r="H405" s="35">
        <v>1.0</v>
      </c>
      <c r="I405" s="25"/>
      <c r="J405" s="25"/>
      <c r="K405" s="25"/>
      <c r="L405" s="35"/>
      <c r="M405" s="35"/>
      <c r="N405" s="25"/>
      <c r="O405" s="25"/>
      <c r="P405" s="25"/>
      <c r="Q405" s="35">
        <v>2.0</v>
      </c>
      <c r="R405" s="35">
        <v>2.0</v>
      </c>
      <c r="S405" s="35">
        <v>2.0</v>
      </c>
      <c r="T405" s="35">
        <v>2.0</v>
      </c>
      <c r="U405" s="34"/>
      <c r="V405" s="34"/>
      <c r="W405" s="34"/>
      <c r="X405" s="34"/>
      <c r="Y405" s="34"/>
      <c r="Z405" s="34"/>
      <c r="AA405" s="25"/>
      <c r="AB405" s="25"/>
      <c r="AC405" s="25"/>
      <c r="AD405" s="25"/>
      <c r="AE405" s="25"/>
      <c r="AF405" s="25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25"/>
      <c r="AU405" s="34"/>
      <c r="AV405" s="34"/>
      <c r="AW405" s="34"/>
    </row>
    <row r="406" ht="15.0" customHeight="1">
      <c r="A406" s="32" t="s">
        <v>431</v>
      </c>
      <c r="B406" s="25"/>
      <c r="C406" s="25"/>
      <c r="D406" s="25"/>
      <c r="E406" s="25"/>
      <c r="F406" s="25"/>
      <c r="G406" s="35">
        <v>0.0</v>
      </c>
      <c r="H406" s="35">
        <v>1.0</v>
      </c>
      <c r="I406" s="25"/>
      <c r="J406" s="25"/>
      <c r="K406" s="25"/>
      <c r="L406" s="35"/>
      <c r="M406" s="35"/>
      <c r="N406" s="25"/>
      <c r="O406" s="25"/>
      <c r="P406" s="25"/>
      <c r="Q406" s="35">
        <v>2.0</v>
      </c>
      <c r="R406" s="35">
        <v>2.0</v>
      </c>
      <c r="S406" s="35">
        <v>2.0</v>
      </c>
      <c r="T406" s="35">
        <v>2.0</v>
      </c>
      <c r="U406" s="34"/>
      <c r="V406" s="34"/>
      <c r="W406" s="34"/>
      <c r="X406" s="34"/>
      <c r="Y406" s="34"/>
      <c r="Z406" s="34"/>
      <c r="AA406" s="25"/>
      <c r="AB406" s="25"/>
      <c r="AC406" s="25"/>
      <c r="AD406" s="25"/>
      <c r="AE406" s="25"/>
      <c r="AF406" s="25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25"/>
      <c r="AU406" s="34"/>
      <c r="AV406" s="34"/>
      <c r="AW406" s="34"/>
    </row>
    <row r="407" ht="15.0" customHeight="1">
      <c r="A407" s="32" t="s">
        <v>432</v>
      </c>
      <c r="B407" s="25"/>
      <c r="C407" s="25"/>
      <c r="D407" s="25"/>
      <c r="E407" s="25"/>
      <c r="F407" s="25"/>
      <c r="G407" s="35">
        <v>0.0</v>
      </c>
      <c r="H407" s="35">
        <v>1.0</v>
      </c>
      <c r="I407" s="25"/>
      <c r="J407" s="25"/>
      <c r="K407" s="25"/>
      <c r="L407" s="35"/>
      <c r="M407" s="35"/>
      <c r="N407" s="25"/>
      <c r="O407" s="25"/>
      <c r="P407" s="25"/>
      <c r="Q407" s="35">
        <v>2.0</v>
      </c>
      <c r="R407" s="35">
        <v>2.0</v>
      </c>
      <c r="S407" s="35">
        <v>2.0</v>
      </c>
      <c r="T407" s="35">
        <v>2.0</v>
      </c>
      <c r="U407" s="34"/>
      <c r="V407" s="34"/>
      <c r="W407" s="34"/>
      <c r="X407" s="34"/>
      <c r="Y407" s="34"/>
      <c r="Z407" s="34"/>
      <c r="AA407" s="25"/>
      <c r="AB407" s="25"/>
      <c r="AC407" s="25"/>
      <c r="AD407" s="25"/>
      <c r="AE407" s="25"/>
      <c r="AF407" s="25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25"/>
      <c r="AU407" s="34"/>
      <c r="AV407" s="34"/>
      <c r="AW407" s="34"/>
    </row>
    <row r="408" ht="15.0" customHeight="1">
      <c r="A408" s="32" t="s">
        <v>433</v>
      </c>
      <c r="B408" s="25"/>
      <c r="C408" s="25"/>
      <c r="D408" s="25"/>
      <c r="E408" s="25"/>
      <c r="F408" s="25"/>
      <c r="G408" s="35">
        <v>0.0</v>
      </c>
      <c r="H408" s="35">
        <v>1.0</v>
      </c>
      <c r="I408" s="25"/>
      <c r="J408" s="25"/>
      <c r="K408" s="25"/>
      <c r="L408" s="35"/>
      <c r="M408" s="35"/>
      <c r="N408" s="25"/>
      <c r="O408" s="25"/>
      <c r="P408" s="25"/>
      <c r="Q408" s="35">
        <v>2.0</v>
      </c>
      <c r="R408" s="35">
        <v>2.0</v>
      </c>
      <c r="S408" s="35">
        <v>2.0</v>
      </c>
      <c r="T408" s="35">
        <v>2.0</v>
      </c>
      <c r="U408" s="34"/>
      <c r="V408" s="34"/>
      <c r="W408" s="34"/>
      <c r="X408" s="34"/>
      <c r="Y408" s="34"/>
      <c r="Z408" s="34"/>
      <c r="AA408" s="25"/>
      <c r="AB408" s="25"/>
      <c r="AC408" s="25"/>
      <c r="AD408" s="25"/>
      <c r="AE408" s="25"/>
      <c r="AF408" s="25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25"/>
      <c r="AU408" s="34"/>
      <c r="AV408" s="34"/>
      <c r="AW408" s="34"/>
    </row>
    <row r="409" ht="15.0" customHeight="1">
      <c r="A409" s="32" t="s">
        <v>434</v>
      </c>
      <c r="B409" s="25"/>
      <c r="C409" s="25"/>
      <c r="D409" s="25"/>
      <c r="E409" s="25"/>
      <c r="F409" s="25"/>
      <c r="G409" s="35">
        <v>0.0</v>
      </c>
      <c r="H409" s="35">
        <v>1.0</v>
      </c>
      <c r="I409" s="25"/>
      <c r="J409" s="25"/>
      <c r="K409" s="25"/>
      <c r="L409" s="35"/>
      <c r="M409" s="35"/>
      <c r="N409" s="25"/>
      <c r="O409" s="25"/>
      <c r="P409" s="25"/>
      <c r="Q409" s="35">
        <v>2.0</v>
      </c>
      <c r="R409" s="35">
        <v>2.0</v>
      </c>
      <c r="S409" s="35">
        <v>2.0</v>
      </c>
      <c r="T409" s="35">
        <v>2.0</v>
      </c>
      <c r="U409" s="34"/>
      <c r="V409" s="34"/>
      <c r="W409" s="34"/>
      <c r="X409" s="34"/>
      <c r="Y409" s="34"/>
      <c r="Z409" s="34"/>
      <c r="AA409" s="25"/>
      <c r="AB409" s="25"/>
      <c r="AC409" s="25"/>
      <c r="AD409" s="25"/>
      <c r="AE409" s="25"/>
      <c r="AF409" s="25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25"/>
      <c r="AU409" s="34"/>
      <c r="AV409" s="34"/>
      <c r="AW409" s="34"/>
    </row>
    <row r="410" ht="15.0" customHeight="1">
      <c r="A410" s="32" t="s">
        <v>435</v>
      </c>
      <c r="B410" s="25"/>
      <c r="C410" s="25"/>
      <c r="D410" s="25"/>
      <c r="E410" s="25"/>
      <c r="F410" s="25"/>
      <c r="G410" s="35">
        <v>0.0</v>
      </c>
      <c r="H410" s="35">
        <v>1.0</v>
      </c>
      <c r="I410" s="25"/>
      <c r="J410" s="25"/>
      <c r="K410" s="25"/>
      <c r="L410" s="35"/>
      <c r="M410" s="35"/>
      <c r="N410" s="25"/>
      <c r="O410" s="25"/>
      <c r="P410" s="25"/>
      <c r="Q410" s="35">
        <v>2.0</v>
      </c>
      <c r="R410" s="35">
        <v>2.0</v>
      </c>
      <c r="S410" s="35">
        <v>2.0</v>
      </c>
      <c r="T410" s="35">
        <v>2.0</v>
      </c>
      <c r="U410" s="34"/>
      <c r="V410" s="34"/>
      <c r="W410" s="34"/>
      <c r="X410" s="34"/>
      <c r="Y410" s="34"/>
      <c r="Z410" s="34"/>
      <c r="AA410" s="25"/>
      <c r="AB410" s="25"/>
      <c r="AC410" s="25"/>
      <c r="AD410" s="25"/>
      <c r="AE410" s="25"/>
      <c r="AF410" s="25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25"/>
      <c r="AU410" s="34"/>
      <c r="AV410" s="34"/>
      <c r="AW410" s="34"/>
    </row>
    <row r="411" ht="15.0" customHeight="1">
      <c r="A411" s="32" t="s">
        <v>436</v>
      </c>
      <c r="B411" s="25"/>
      <c r="C411" s="25"/>
      <c r="D411" s="25"/>
      <c r="E411" s="25"/>
      <c r="F411" s="25"/>
      <c r="G411" s="35">
        <v>0.0</v>
      </c>
      <c r="H411" s="35">
        <v>1.0</v>
      </c>
      <c r="I411" s="25"/>
      <c r="J411" s="25"/>
      <c r="K411" s="25"/>
      <c r="L411" s="35"/>
      <c r="M411" s="35"/>
      <c r="N411" s="25"/>
      <c r="O411" s="25"/>
      <c r="P411" s="25"/>
      <c r="Q411" s="35">
        <v>2.0</v>
      </c>
      <c r="R411" s="35">
        <v>2.0</v>
      </c>
      <c r="S411" s="35">
        <v>2.0</v>
      </c>
      <c r="T411" s="35">
        <v>2.0</v>
      </c>
      <c r="U411" s="34"/>
      <c r="V411" s="34"/>
      <c r="W411" s="34"/>
      <c r="X411" s="34"/>
      <c r="Y411" s="34"/>
      <c r="Z411" s="34"/>
      <c r="AA411" s="25"/>
      <c r="AB411" s="25"/>
      <c r="AC411" s="25"/>
      <c r="AD411" s="25"/>
      <c r="AE411" s="25"/>
      <c r="AF411" s="25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25"/>
      <c r="AU411" s="34"/>
      <c r="AV411" s="34"/>
      <c r="AW411" s="34"/>
    </row>
    <row r="412" ht="15.0" customHeight="1">
      <c r="A412" s="32" t="s">
        <v>437</v>
      </c>
      <c r="B412" s="25"/>
      <c r="C412" s="25"/>
      <c r="D412" s="25"/>
      <c r="E412" s="25"/>
      <c r="F412" s="25"/>
      <c r="G412" s="35">
        <v>0.0</v>
      </c>
      <c r="H412" s="35">
        <v>1.0</v>
      </c>
      <c r="I412" s="25"/>
      <c r="J412" s="25"/>
      <c r="K412" s="25"/>
      <c r="L412" s="35"/>
      <c r="M412" s="35"/>
      <c r="N412" s="25"/>
      <c r="O412" s="25"/>
      <c r="P412" s="25"/>
      <c r="Q412" s="35">
        <v>2.0</v>
      </c>
      <c r="R412" s="35">
        <v>2.0</v>
      </c>
      <c r="S412" s="35">
        <v>2.0</v>
      </c>
      <c r="T412" s="35">
        <v>2.0</v>
      </c>
      <c r="U412" s="34"/>
      <c r="V412" s="34"/>
      <c r="W412" s="34"/>
      <c r="X412" s="34"/>
      <c r="Y412" s="34"/>
      <c r="Z412" s="34"/>
      <c r="AA412" s="25"/>
      <c r="AB412" s="25"/>
      <c r="AC412" s="25"/>
      <c r="AD412" s="25"/>
      <c r="AE412" s="25"/>
      <c r="AF412" s="25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25"/>
      <c r="AU412" s="34"/>
      <c r="AV412" s="34"/>
      <c r="AW412" s="34"/>
    </row>
    <row r="413" ht="15.0" customHeight="1">
      <c r="A413" s="32" t="s">
        <v>438</v>
      </c>
      <c r="B413" s="25"/>
      <c r="C413" s="25"/>
      <c r="D413" s="25"/>
      <c r="E413" s="25"/>
      <c r="F413" s="25"/>
      <c r="G413" s="35">
        <v>0.0</v>
      </c>
      <c r="H413" s="35">
        <v>1.0</v>
      </c>
      <c r="I413" s="25"/>
      <c r="J413" s="25"/>
      <c r="K413" s="25"/>
      <c r="L413" s="35"/>
      <c r="M413" s="35"/>
      <c r="N413" s="25"/>
      <c r="O413" s="25"/>
      <c r="P413" s="25"/>
      <c r="Q413" s="35">
        <v>2.0</v>
      </c>
      <c r="R413" s="35">
        <v>2.0</v>
      </c>
      <c r="S413" s="35">
        <v>2.0</v>
      </c>
      <c r="T413" s="35">
        <v>2.0</v>
      </c>
      <c r="U413" s="34"/>
      <c r="V413" s="34"/>
      <c r="W413" s="34"/>
      <c r="X413" s="34"/>
      <c r="Y413" s="34"/>
      <c r="Z413" s="34"/>
      <c r="AA413" s="25"/>
      <c r="AB413" s="25"/>
      <c r="AC413" s="25"/>
      <c r="AD413" s="25"/>
      <c r="AE413" s="25"/>
      <c r="AF413" s="25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25"/>
      <c r="AU413" s="34"/>
      <c r="AV413" s="34"/>
      <c r="AW413" s="34"/>
    </row>
    <row r="414" ht="15.0" customHeight="1">
      <c r="A414" s="32" t="s">
        <v>439</v>
      </c>
      <c r="B414" s="25"/>
      <c r="C414" s="25"/>
      <c r="D414" s="25"/>
      <c r="E414" s="25"/>
      <c r="F414" s="25"/>
      <c r="G414" s="35">
        <v>0.0</v>
      </c>
      <c r="H414" s="35">
        <v>1.0</v>
      </c>
      <c r="I414" s="25"/>
      <c r="J414" s="25"/>
      <c r="K414" s="25"/>
      <c r="L414" s="35"/>
      <c r="M414" s="35"/>
      <c r="N414" s="25"/>
      <c r="O414" s="25"/>
      <c r="P414" s="25"/>
      <c r="Q414" s="35">
        <v>2.0</v>
      </c>
      <c r="R414" s="35">
        <v>2.0</v>
      </c>
      <c r="S414" s="35">
        <v>2.0</v>
      </c>
      <c r="T414" s="35">
        <v>2.0</v>
      </c>
      <c r="U414" s="34"/>
      <c r="V414" s="34"/>
      <c r="W414" s="34"/>
      <c r="X414" s="34"/>
      <c r="Y414" s="34"/>
      <c r="Z414" s="34"/>
      <c r="AA414" s="25"/>
      <c r="AB414" s="25"/>
      <c r="AC414" s="25"/>
      <c r="AD414" s="25"/>
      <c r="AE414" s="25"/>
      <c r="AF414" s="25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25"/>
      <c r="AU414" s="34"/>
      <c r="AV414" s="34"/>
      <c r="AW414" s="34"/>
    </row>
    <row r="415" ht="15.0" customHeight="1">
      <c r="A415" s="32" t="s">
        <v>440</v>
      </c>
      <c r="B415" s="25"/>
      <c r="C415" s="25"/>
      <c r="D415" s="25"/>
      <c r="E415" s="25"/>
      <c r="F415" s="25"/>
      <c r="G415" s="35">
        <v>0.0</v>
      </c>
      <c r="H415" s="35">
        <v>1.0</v>
      </c>
      <c r="I415" s="25"/>
      <c r="J415" s="25"/>
      <c r="K415" s="25"/>
      <c r="L415" s="35"/>
      <c r="M415" s="35"/>
      <c r="N415" s="25"/>
      <c r="O415" s="25"/>
      <c r="P415" s="25"/>
      <c r="Q415" s="35">
        <v>2.0</v>
      </c>
      <c r="R415" s="35">
        <v>2.0</v>
      </c>
      <c r="S415" s="35">
        <v>2.0</v>
      </c>
      <c r="T415" s="35">
        <v>2.0</v>
      </c>
      <c r="U415" s="34"/>
      <c r="V415" s="34"/>
      <c r="W415" s="34"/>
      <c r="X415" s="34"/>
      <c r="Y415" s="34"/>
      <c r="Z415" s="34"/>
      <c r="AA415" s="25"/>
      <c r="AB415" s="25"/>
      <c r="AC415" s="25"/>
      <c r="AD415" s="25"/>
      <c r="AE415" s="25"/>
      <c r="AF415" s="25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25"/>
      <c r="AU415" s="34"/>
      <c r="AV415" s="34"/>
      <c r="AW415" s="34"/>
    </row>
    <row r="416" ht="15.0" customHeight="1">
      <c r="A416" s="32" t="s">
        <v>441</v>
      </c>
      <c r="B416" s="25"/>
      <c r="C416" s="25"/>
      <c r="D416" s="25"/>
      <c r="E416" s="25"/>
      <c r="F416" s="25"/>
      <c r="G416" s="35">
        <v>0.0</v>
      </c>
      <c r="H416" s="35">
        <v>1.0</v>
      </c>
      <c r="I416" s="25"/>
      <c r="J416" s="25"/>
      <c r="K416" s="25"/>
      <c r="L416" s="35"/>
      <c r="M416" s="35"/>
      <c r="N416" s="25"/>
      <c r="O416" s="25"/>
      <c r="P416" s="25"/>
      <c r="Q416" s="35">
        <v>2.0</v>
      </c>
      <c r="R416" s="35">
        <v>2.0</v>
      </c>
      <c r="S416" s="35">
        <v>2.0</v>
      </c>
      <c r="T416" s="35">
        <v>2.0</v>
      </c>
      <c r="U416" s="34"/>
      <c r="V416" s="34"/>
      <c r="W416" s="34"/>
      <c r="X416" s="34"/>
      <c r="Y416" s="34"/>
      <c r="Z416" s="34"/>
      <c r="AA416" s="25"/>
      <c r="AB416" s="25"/>
      <c r="AC416" s="25"/>
      <c r="AD416" s="25"/>
      <c r="AE416" s="25"/>
      <c r="AF416" s="25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25"/>
      <c r="AU416" s="34"/>
      <c r="AV416" s="34"/>
      <c r="AW416" s="34"/>
    </row>
    <row r="417" ht="15.0" customHeight="1">
      <c r="A417" s="32" t="s">
        <v>442</v>
      </c>
      <c r="B417" s="25"/>
      <c r="C417" s="25"/>
      <c r="D417" s="25"/>
      <c r="E417" s="25"/>
      <c r="F417" s="25"/>
      <c r="G417" s="35">
        <v>0.0</v>
      </c>
      <c r="H417" s="35">
        <v>1.0</v>
      </c>
      <c r="I417" s="25"/>
      <c r="J417" s="25"/>
      <c r="K417" s="25"/>
      <c r="L417" s="35"/>
      <c r="M417" s="35"/>
      <c r="N417" s="25"/>
      <c r="O417" s="25"/>
      <c r="P417" s="25"/>
      <c r="Q417" s="35">
        <v>2.0</v>
      </c>
      <c r="R417" s="35">
        <v>2.0</v>
      </c>
      <c r="S417" s="35">
        <v>2.0</v>
      </c>
      <c r="T417" s="35">
        <v>2.0</v>
      </c>
      <c r="U417" s="34"/>
      <c r="V417" s="34"/>
      <c r="W417" s="34"/>
      <c r="X417" s="34"/>
      <c r="Y417" s="34"/>
      <c r="Z417" s="34"/>
      <c r="AA417" s="25"/>
      <c r="AB417" s="25"/>
      <c r="AC417" s="25"/>
      <c r="AD417" s="25"/>
      <c r="AE417" s="25"/>
      <c r="AF417" s="25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25"/>
      <c r="AU417" s="34"/>
      <c r="AV417" s="34"/>
      <c r="AW417" s="34"/>
    </row>
    <row r="418" ht="15.0" customHeight="1">
      <c r="A418" s="32" t="s">
        <v>443</v>
      </c>
      <c r="B418" s="25"/>
      <c r="C418" s="25"/>
      <c r="D418" s="25"/>
      <c r="E418" s="25"/>
      <c r="F418" s="25"/>
      <c r="G418" s="35">
        <v>0.0</v>
      </c>
      <c r="H418" s="35">
        <v>1.0</v>
      </c>
      <c r="I418" s="25"/>
      <c r="J418" s="25"/>
      <c r="K418" s="25"/>
      <c r="L418" s="35"/>
      <c r="M418" s="35"/>
      <c r="N418" s="25"/>
      <c r="O418" s="25"/>
      <c r="P418" s="25"/>
      <c r="Q418" s="35">
        <v>2.0</v>
      </c>
      <c r="R418" s="35">
        <v>2.0</v>
      </c>
      <c r="S418" s="35">
        <v>2.0</v>
      </c>
      <c r="T418" s="35">
        <v>2.0</v>
      </c>
      <c r="U418" s="34"/>
      <c r="V418" s="34"/>
      <c r="W418" s="34"/>
      <c r="X418" s="34"/>
      <c r="Y418" s="34"/>
      <c r="Z418" s="34"/>
      <c r="AA418" s="25"/>
      <c r="AB418" s="25"/>
      <c r="AC418" s="25"/>
      <c r="AD418" s="25"/>
      <c r="AE418" s="25"/>
      <c r="AF418" s="25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25"/>
      <c r="AU418" s="34"/>
      <c r="AV418" s="34"/>
      <c r="AW418" s="34"/>
    </row>
    <row r="419" ht="15.0" customHeight="1">
      <c r="A419" s="32" t="s">
        <v>444</v>
      </c>
      <c r="B419" s="25"/>
      <c r="C419" s="25"/>
      <c r="D419" s="25"/>
      <c r="E419" s="25"/>
      <c r="F419" s="25"/>
      <c r="G419" s="35">
        <v>0.0</v>
      </c>
      <c r="H419" s="35">
        <v>1.0</v>
      </c>
      <c r="I419" s="25"/>
      <c r="J419" s="25"/>
      <c r="K419" s="25"/>
      <c r="L419" s="35"/>
      <c r="M419" s="35"/>
      <c r="N419" s="25"/>
      <c r="O419" s="25"/>
      <c r="P419" s="25"/>
      <c r="Q419" s="35">
        <v>2.0</v>
      </c>
      <c r="R419" s="35">
        <v>2.0</v>
      </c>
      <c r="S419" s="35">
        <v>2.0</v>
      </c>
      <c r="T419" s="35">
        <v>2.0</v>
      </c>
      <c r="U419" s="34"/>
      <c r="V419" s="34"/>
      <c r="W419" s="34"/>
      <c r="X419" s="34"/>
      <c r="Y419" s="34"/>
      <c r="Z419" s="34"/>
      <c r="AA419" s="25"/>
      <c r="AB419" s="25"/>
      <c r="AC419" s="25"/>
      <c r="AD419" s="25"/>
      <c r="AE419" s="25"/>
      <c r="AF419" s="25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25"/>
      <c r="AU419" s="34"/>
      <c r="AV419" s="34"/>
      <c r="AW419" s="34"/>
    </row>
    <row r="420" ht="15.0" customHeight="1">
      <c r="A420" s="32" t="s">
        <v>445</v>
      </c>
      <c r="B420" s="25"/>
      <c r="C420" s="25"/>
      <c r="D420" s="25"/>
      <c r="E420" s="25"/>
      <c r="F420" s="25"/>
      <c r="G420" s="35">
        <v>0.0</v>
      </c>
      <c r="H420" s="35">
        <v>1.0</v>
      </c>
      <c r="I420" s="25"/>
      <c r="J420" s="25"/>
      <c r="K420" s="25"/>
      <c r="L420" s="35"/>
      <c r="M420" s="35"/>
      <c r="N420" s="25"/>
      <c r="O420" s="25"/>
      <c r="P420" s="25"/>
      <c r="Q420" s="35">
        <v>2.0</v>
      </c>
      <c r="R420" s="35">
        <v>2.0</v>
      </c>
      <c r="S420" s="35">
        <v>2.0</v>
      </c>
      <c r="T420" s="35">
        <v>2.0</v>
      </c>
      <c r="U420" s="34"/>
      <c r="V420" s="34"/>
      <c r="W420" s="34"/>
      <c r="X420" s="34"/>
      <c r="Y420" s="34"/>
      <c r="Z420" s="34"/>
      <c r="AA420" s="25"/>
      <c r="AB420" s="25"/>
      <c r="AC420" s="25"/>
      <c r="AD420" s="25"/>
      <c r="AE420" s="25"/>
      <c r="AF420" s="25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25"/>
      <c r="AU420" s="34"/>
      <c r="AV420" s="34"/>
      <c r="AW420" s="34"/>
    </row>
    <row r="421" ht="15.0" customHeight="1">
      <c r="A421" s="32" t="s">
        <v>446</v>
      </c>
      <c r="B421" s="25"/>
      <c r="C421" s="25"/>
      <c r="D421" s="25"/>
      <c r="E421" s="25"/>
      <c r="F421" s="25"/>
      <c r="G421" s="35">
        <v>0.0</v>
      </c>
      <c r="H421" s="35">
        <v>1.0</v>
      </c>
      <c r="I421" s="25"/>
      <c r="J421" s="25"/>
      <c r="K421" s="25"/>
      <c r="L421" s="35"/>
      <c r="M421" s="35"/>
      <c r="N421" s="25"/>
      <c r="O421" s="25"/>
      <c r="P421" s="25"/>
      <c r="Q421" s="35">
        <v>2.0</v>
      </c>
      <c r="R421" s="35">
        <v>2.0</v>
      </c>
      <c r="S421" s="35">
        <v>2.0</v>
      </c>
      <c r="T421" s="35">
        <v>2.0</v>
      </c>
      <c r="U421" s="34"/>
      <c r="V421" s="34"/>
      <c r="W421" s="34"/>
      <c r="X421" s="34"/>
      <c r="Y421" s="34"/>
      <c r="Z421" s="34"/>
      <c r="AA421" s="25"/>
      <c r="AB421" s="25"/>
      <c r="AC421" s="25"/>
      <c r="AD421" s="25"/>
      <c r="AE421" s="25"/>
      <c r="AF421" s="25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25"/>
      <c r="AU421" s="34"/>
      <c r="AV421" s="34"/>
      <c r="AW421" s="34"/>
    </row>
    <row r="422" ht="15.0" customHeight="1">
      <c r="A422" s="32" t="s">
        <v>447</v>
      </c>
      <c r="B422" s="25"/>
      <c r="C422" s="25"/>
      <c r="D422" s="25"/>
      <c r="E422" s="25"/>
      <c r="F422" s="25"/>
      <c r="G422" s="35">
        <v>0.0</v>
      </c>
      <c r="H422" s="35">
        <v>1.0</v>
      </c>
      <c r="I422" s="25"/>
      <c r="J422" s="25"/>
      <c r="K422" s="25"/>
      <c r="L422" s="35"/>
      <c r="M422" s="35"/>
      <c r="N422" s="25"/>
      <c r="O422" s="25"/>
      <c r="P422" s="25"/>
      <c r="Q422" s="35">
        <v>2.0</v>
      </c>
      <c r="R422" s="35">
        <v>2.0</v>
      </c>
      <c r="S422" s="35">
        <v>2.0</v>
      </c>
      <c r="T422" s="35">
        <v>2.0</v>
      </c>
      <c r="U422" s="34"/>
      <c r="V422" s="34"/>
      <c r="W422" s="34"/>
      <c r="X422" s="34"/>
      <c r="Y422" s="34"/>
      <c r="Z422" s="34"/>
      <c r="AA422" s="25"/>
      <c r="AB422" s="25"/>
      <c r="AC422" s="25"/>
      <c r="AD422" s="25"/>
      <c r="AE422" s="25"/>
      <c r="AF422" s="25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25"/>
      <c r="AU422" s="34"/>
      <c r="AV422" s="34"/>
      <c r="AW422" s="34"/>
    </row>
    <row r="423" ht="15.0" customHeight="1">
      <c r="A423" s="32" t="s">
        <v>448</v>
      </c>
      <c r="B423" s="25"/>
      <c r="C423" s="25"/>
      <c r="D423" s="25"/>
      <c r="E423" s="25"/>
      <c r="F423" s="25"/>
      <c r="G423" s="35">
        <v>0.0</v>
      </c>
      <c r="H423" s="35">
        <v>1.0</v>
      </c>
      <c r="I423" s="25"/>
      <c r="J423" s="25"/>
      <c r="K423" s="25"/>
      <c r="L423" s="35"/>
      <c r="M423" s="35"/>
      <c r="N423" s="25"/>
      <c r="O423" s="25"/>
      <c r="P423" s="25"/>
      <c r="Q423" s="35">
        <v>2.0</v>
      </c>
      <c r="R423" s="35">
        <v>2.0</v>
      </c>
      <c r="S423" s="35">
        <v>2.0</v>
      </c>
      <c r="T423" s="35">
        <v>2.0</v>
      </c>
      <c r="U423" s="34"/>
      <c r="V423" s="34"/>
      <c r="W423" s="34"/>
      <c r="X423" s="34"/>
      <c r="Y423" s="34"/>
      <c r="Z423" s="34"/>
      <c r="AA423" s="25"/>
      <c r="AB423" s="25"/>
      <c r="AC423" s="25"/>
      <c r="AD423" s="25"/>
      <c r="AE423" s="25"/>
      <c r="AF423" s="25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25"/>
      <c r="AU423" s="34"/>
      <c r="AV423" s="34"/>
      <c r="AW423" s="34"/>
    </row>
    <row r="424" ht="15.0" customHeight="1">
      <c r="A424" s="32" t="s">
        <v>449</v>
      </c>
      <c r="B424" s="25"/>
      <c r="C424" s="25"/>
      <c r="D424" s="25"/>
      <c r="E424" s="25"/>
      <c r="F424" s="25"/>
      <c r="G424" s="35">
        <v>0.0</v>
      </c>
      <c r="H424" s="35">
        <v>1.0</v>
      </c>
      <c r="I424" s="25"/>
      <c r="J424" s="25"/>
      <c r="K424" s="25"/>
      <c r="L424" s="35"/>
      <c r="M424" s="35"/>
      <c r="N424" s="25"/>
      <c r="O424" s="25"/>
      <c r="P424" s="25"/>
      <c r="Q424" s="35">
        <v>2.0</v>
      </c>
      <c r="R424" s="35">
        <v>2.0</v>
      </c>
      <c r="S424" s="35">
        <v>2.0</v>
      </c>
      <c r="T424" s="35">
        <v>2.0</v>
      </c>
      <c r="U424" s="34"/>
      <c r="V424" s="34"/>
      <c r="W424" s="34"/>
      <c r="X424" s="34"/>
      <c r="Y424" s="34"/>
      <c r="Z424" s="34"/>
      <c r="AA424" s="25"/>
      <c r="AB424" s="25"/>
      <c r="AC424" s="25"/>
      <c r="AD424" s="25"/>
      <c r="AE424" s="25"/>
      <c r="AF424" s="25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25"/>
      <c r="AU424" s="34"/>
      <c r="AV424" s="34"/>
      <c r="AW424" s="34"/>
    </row>
    <row r="425" ht="15.0" customHeight="1">
      <c r="A425" s="32" t="s">
        <v>450</v>
      </c>
      <c r="B425" s="25"/>
      <c r="C425" s="25"/>
      <c r="D425" s="25"/>
      <c r="E425" s="25"/>
      <c r="F425" s="25"/>
      <c r="G425" s="35">
        <v>0.0</v>
      </c>
      <c r="H425" s="35">
        <v>1.0</v>
      </c>
      <c r="I425" s="25"/>
      <c r="J425" s="25"/>
      <c r="K425" s="25"/>
      <c r="L425" s="35"/>
      <c r="M425" s="35"/>
      <c r="N425" s="25"/>
      <c r="O425" s="25"/>
      <c r="P425" s="25"/>
      <c r="Q425" s="35">
        <v>2.0</v>
      </c>
      <c r="R425" s="35">
        <v>2.0</v>
      </c>
      <c r="S425" s="35">
        <v>2.0</v>
      </c>
      <c r="T425" s="35">
        <v>2.0</v>
      </c>
      <c r="U425" s="34"/>
      <c r="V425" s="34"/>
      <c r="W425" s="34"/>
      <c r="X425" s="34"/>
      <c r="Y425" s="34"/>
      <c r="Z425" s="34"/>
      <c r="AA425" s="25"/>
      <c r="AB425" s="25"/>
      <c r="AC425" s="25"/>
      <c r="AD425" s="25"/>
      <c r="AE425" s="25"/>
      <c r="AF425" s="25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25"/>
      <c r="AU425" s="34"/>
      <c r="AV425" s="34"/>
      <c r="AW425" s="34"/>
    </row>
    <row r="426" ht="15.0" customHeight="1">
      <c r="A426" s="32" t="s">
        <v>451</v>
      </c>
      <c r="B426" s="25"/>
      <c r="C426" s="25"/>
      <c r="D426" s="25"/>
      <c r="E426" s="25"/>
      <c r="F426" s="25"/>
      <c r="G426" s="35">
        <v>0.0</v>
      </c>
      <c r="H426" s="35">
        <v>1.0</v>
      </c>
      <c r="I426" s="25"/>
      <c r="J426" s="25"/>
      <c r="K426" s="25"/>
      <c r="L426" s="35"/>
      <c r="M426" s="35"/>
      <c r="N426" s="25"/>
      <c r="O426" s="25"/>
      <c r="P426" s="25"/>
      <c r="Q426" s="35">
        <v>2.0</v>
      </c>
      <c r="R426" s="35">
        <v>2.0</v>
      </c>
      <c r="S426" s="35">
        <v>2.0</v>
      </c>
      <c r="T426" s="35">
        <v>2.0</v>
      </c>
      <c r="U426" s="34"/>
      <c r="V426" s="34"/>
      <c r="W426" s="34"/>
      <c r="X426" s="34"/>
      <c r="Y426" s="34"/>
      <c r="Z426" s="34"/>
      <c r="AA426" s="25"/>
      <c r="AB426" s="25"/>
      <c r="AC426" s="25"/>
      <c r="AD426" s="25"/>
      <c r="AE426" s="25"/>
      <c r="AF426" s="25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25"/>
      <c r="AU426" s="34"/>
      <c r="AV426" s="34"/>
      <c r="AW426" s="34"/>
    </row>
    <row r="427" ht="15.0" customHeight="1">
      <c r="A427" s="32" t="s">
        <v>452</v>
      </c>
      <c r="B427" s="25"/>
      <c r="C427" s="25"/>
      <c r="D427" s="25"/>
      <c r="E427" s="25"/>
      <c r="F427" s="25"/>
      <c r="G427" s="35">
        <v>0.0</v>
      </c>
      <c r="H427" s="35">
        <v>1.0</v>
      </c>
      <c r="I427" s="25"/>
      <c r="J427" s="25"/>
      <c r="K427" s="25"/>
      <c r="L427" s="35"/>
      <c r="M427" s="35"/>
      <c r="N427" s="25"/>
      <c r="O427" s="25"/>
      <c r="P427" s="25"/>
      <c r="Q427" s="35">
        <v>2.0</v>
      </c>
      <c r="R427" s="35">
        <v>2.0</v>
      </c>
      <c r="S427" s="35">
        <v>2.0</v>
      </c>
      <c r="T427" s="35">
        <v>2.0</v>
      </c>
      <c r="U427" s="34"/>
      <c r="V427" s="34"/>
      <c r="W427" s="34"/>
      <c r="X427" s="34"/>
      <c r="Y427" s="34"/>
      <c r="Z427" s="34"/>
      <c r="AA427" s="25"/>
      <c r="AB427" s="25"/>
      <c r="AC427" s="25"/>
      <c r="AD427" s="25"/>
      <c r="AE427" s="25"/>
      <c r="AF427" s="25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25"/>
      <c r="AU427" s="34"/>
      <c r="AV427" s="34"/>
      <c r="AW427" s="34"/>
    </row>
    <row r="428" ht="15.0" customHeight="1">
      <c r="A428" s="32" t="s">
        <v>453</v>
      </c>
      <c r="B428" s="25"/>
      <c r="C428" s="25"/>
      <c r="D428" s="25"/>
      <c r="E428" s="25"/>
      <c r="F428" s="25"/>
      <c r="G428" s="35">
        <v>0.0</v>
      </c>
      <c r="H428" s="35">
        <v>1.0</v>
      </c>
      <c r="I428" s="25"/>
      <c r="J428" s="25"/>
      <c r="K428" s="25"/>
      <c r="L428" s="35"/>
      <c r="M428" s="35"/>
      <c r="N428" s="25"/>
      <c r="O428" s="25"/>
      <c r="P428" s="25"/>
      <c r="Q428" s="35">
        <v>2.0</v>
      </c>
      <c r="R428" s="35">
        <v>2.0</v>
      </c>
      <c r="S428" s="35">
        <v>2.0</v>
      </c>
      <c r="T428" s="35">
        <v>2.0</v>
      </c>
      <c r="U428" s="34"/>
      <c r="V428" s="34"/>
      <c r="W428" s="34"/>
      <c r="X428" s="34"/>
      <c r="Y428" s="34"/>
      <c r="Z428" s="34"/>
      <c r="AA428" s="25"/>
      <c r="AB428" s="25"/>
      <c r="AC428" s="25"/>
      <c r="AD428" s="25"/>
      <c r="AE428" s="25"/>
      <c r="AF428" s="25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25"/>
      <c r="AU428" s="34"/>
      <c r="AV428" s="34"/>
      <c r="AW428" s="34"/>
    </row>
    <row r="429" ht="15.0" customHeight="1">
      <c r="A429" s="32" t="s">
        <v>454</v>
      </c>
      <c r="B429" s="25"/>
      <c r="C429" s="25"/>
      <c r="D429" s="25"/>
      <c r="E429" s="25"/>
      <c r="F429" s="25"/>
      <c r="G429" s="35">
        <v>0.0</v>
      </c>
      <c r="H429" s="35">
        <v>1.0</v>
      </c>
      <c r="I429" s="25"/>
      <c r="J429" s="25"/>
      <c r="K429" s="25"/>
      <c r="L429" s="35"/>
      <c r="M429" s="35"/>
      <c r="N429" s="25"/>
      <c r="O429" s="25"/>
      <c r="P429" s="25"/>
      <c r="Q429" s="35">
        <v>2.0</v>
      </c>
      <c r="R429" s="35">
        <v>2.0</v>
      </c>
      <c r="S429" s="35">
        <v>2.0</v>
      </c>
      <c r="T429" s="35">
        <v>2.0</v>
      </c>
      <c r="U429" s="34"/>
      <c r="V429" s="34"/>
      <c r="W429" s="34"/>
      <c r="X429" s="34"/>
      <c r="Y429" s="34"/>
      <c r="Z429" s="34"/>
      <c r="AA429" s="25"/>
      <c r="AB429" s="25"/>
      <c r="AC429" s="25"/>
      <c r="AD429" s="25"/>
      <c r="AE429" s="25"/>
      <c r="AF429" s="25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25"/>
      <c r="AU429" s="34"/>
      <c r="AV429" s="34"/>
      <c r="AW429" s="34"/>
    </row>
    <row r="430" ht="15.0" customHeight="1">
      <c r="A430" s="32" t="s">
        <v>455</v>
      </c>
      <c r="B430" s="25"/>
      <c r="C430" s="25"/>
      <c r="D430" s="25"/>
      <c r="E430" s="25"/>
      <c r="F430" s="25"/>
      <c r="G430" s="35">
        <v>0.0</v>
      </c>
      <c r="H430" s="35">
        <v>1.0</v>
      </c>
      <c r="I430" s="25"/>
      <c r="J430" s="25"/>
      <c r="K430" s="25"/>
      <c r="L430" s="35"/>
      <c r="M430" s="35"/>
      <c r="N430" s="25"/>
      <c r="O430" s="25"/>
      <c r="P430" s="25"/>
      <c r="Q430" s="35">
        <v>2.0</v>
      </c>
      <c r="R430" s="35">
        <v>2.0</v>
      </c>
      <c r="S430" s="35">
        <v>2.0</v>
      </c>
      <c r="T430" s="35">
        <v>2.0</v>
      </c>
      <c r="U430" s="34"/>
      <c r="V430" s="34"/>
      <c r="W430" s="34"/>
      <c r="X430" s="34"/>
      <c r="Y430" s="34"/>
      <c r="Z430" s="34"/>
      <c r="AA430" s="25"/>
      <c r="AB430" s="25"/>
      <c r="AC430" s="25"/>
      <c r="AD430" s="25"/>
      <c r="AE430" s="25"/>
      <c r="AF430" s="25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25"/>
      <c r="AU430" s="34"/>
      <c r="AV430" s="34"/>
      <c r="AW430" s="34"/>
    </row>
    <row r="431" ht="15.0" customHeight="1">
      <c r="A431" s="32" t="s">
        <v>456</v>
      </c>
      <c r="B431" s="25"/>
      <c r="C431" s="25"/>
      <c r="D431" s="25"/>
      <c r="E431" s="25"/>
      <c r="F431" s="25"/>
      <c r="G431" s="35">
        <v>0.0</v>
      </c>
      <c r="H431" s="35">
        <v>1.0</v>
      </c>
      <c r="I431" s="25"/>
      <c r="J431" s="25"/>
      <c r="K431" s="25"/>
      <c r="L431" s="35"/>
      <c r="M431" s="35"/>
      <c r="N431" s="25"/>
      <c r="O431" s="25"/>
      <c r="P431" s="25"/>
      <c r="Q431" s="35">
        <v>2.0</v>
      </c>
      <c r="R431" s="35">
        <v>2.0</v>
      </c>
      <c r="S431" s="35">
        <v>2.0</v>
      </c>
      <c r="T431" s="35">
        <v>2.0</v>
      </c>
      <c r="U431" s="34"/>
      <c r="V431" s="34"/>
      <c r="W431" s="34"/>
      <c r="X431" s="34"/>
      <c r="Y431" s="34"/>
      <c r="Z431" s="34"/>
      <c r="AA431" s="25"/>
      <c r="AB431" s="25"/>
      <c r="AC431" s="25"/>
      <c r="AD431" s="25"/>
      <c r="AE431" s="25"/>
      <c r="AF431" s="25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25"/>
      <c r="AU431" s="34"/>
      <c r="AV431" s="34"/>
      <c r="AW431" s="34"/>
    </row>
    <row r="432" ht="15.0" customHeight="1">
      <c r="A432" s="32" t="s">
        <v>457</v>
      </c>
      <c r="B432" s="25"/>
      <c r="C432" s="25"/>
      <c r="D432" s="25"/>
      <c r="E432" s="25"/>
      <c r="F432" s="25"/>
      <c r="G432" s="35">
        <v>0.0</v>
      </c>
      <c r="H432" s="35">
        <v>1.0</v>
      </c>
      <c r="I432" s="25"/>
      <c r="J432" s="25"/>
      <c r="K432" s="25"/>
      <c r="L432" s="35"/>
      <c r="M432" s="35"/>
      <c r="N432" s="25"/>
      <c r="O432" s="25"/>
      <c r="P432" s="25"/>
      <c r="Q432" s="35">
        <v>2.0</v>
      </c>
      <c r="R432" s="35">
        <v>2.0</v>
      </c>
      <c r="S432" s="35">
        <v>2.0</v>
      </c>
      <c r="T432" s="35">
        <v>2.0</v>
      </c>
      <c r="U432" s="34"/>
      <c r="V432" s="34"/>
      <c r="W432" s="34"/>
      <c r="X432" s="34"/>
      <c r="Y432" s="34"/>
      <c r="Z432" s="34"/>
      <c r="AA432" s="25"/>
      <c r="AB432" s="25"/>
      <c r="AC432" s="25"/>
      <c r="AD432" s="25"/>
      <c r="AE432" s="25"/>
      <c r="AF432" s="25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25"/>
      <c r="AU432" s="34"/>
      <c r="AV432" s="34"/>
      <c r="AW432" s="34"/>
    </row>
    <row r="433" ht="15.0" customHeight="1">
      <c r="A433" s="32" t="s">
        <v>458</v>
      </c>
      <c r="B433" s="25"/>
      <c r="C433" s="25"/>
      <c r="D433" s="25"/>
      <c r="E433" s="25"/>
      <c r="F433" s="25"/>
      <c r="G433" s="35">
        <v>0.0</v>
      </c>
      <c r="H433" s="35">
        <v>1.0</v>
      </c>
      <c r="I433" s="25"/>
      <c r="J433" s="25"/>
      <c r="K433" s="25"/>
      <c r="L433" s="35"/>
      <c r="M433" s="35"/>
      <c r="N433" s="25"/>
      <c r="O433" s="25"/>
      <c r="P433" s="25"/>
      <c r="Q433" s="35">
        <v>2.0</v>
      </c>
      <c r="R433" s="35">
        <v>2.0</v>
      </c>
      <c r="S433" s="35">
        <v>2.0</v>
      </c>
      <c r="T433" s="35">
        <v>2.0</v>
      </c>
      <c r="U433" s="34"/>
      <c r="V433" s="34"/>
      <c r="W433" s="34"/>
      <c r="X433" s="34"/>
      <c r="Y433" s="34"/>
      <c r="Z433" s="34"/>
      <c r="AA433" s="25"/>
      <c r="AB433" s="25"/>
      <c r="AC433" s="25"/>
      <c r="AD433" s="25"/>
      <c r="AE433" s="25"/>
      <c r="AF433" s="25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25"/>
      <c r="AU433" s="34"/>
      <c r="AV433" s="34"/>
      <c r="AW433" s="34"/>
    </row>
    <row r="434" ht="15.0" customHeight="1">
      <c r="A434" s="32" t="s">
        <v>459</v>
      </c>
      <c r="B434" s="25"/>
      <c r="C434" s="25"/>
      <c r="D434" s="25"/>
      <c r="E434" s="25"/>
      <c r="F434" s="25"/>
      <c r="G434" s="35">
        <v>0.0</v>
      </c>
      <c r="H434" s="35">
        <v>1.0</v>
      </c>
      <c r="I434" s="25"/>
      <c r="J434" s="25"/>
      <c r="K434" s="25"/>
      <c r="L434" s="35"/>
      <c r="M434" s="35"/>
      <c r="N434" s="25"/>
      <c r="O434" s="25"/>
      <c r="P434" s="25"/>
      <c r="Q434" s="35">
        <v>2.0</v>
      </c>
      <c r="R434" s="35">
        <v>2.0</v>
      </c>
      <c r="S434" s="35">
        <v>2.0</v>
      </c>
      <c r="T434" s="35">
        <v>2.0</v>
      </c>
      <c r="U434" s="34"/>
      <c r="V434" s="34"/>
      <c r="W434" s="34"/>
      <c r="X434" s="34"/>
      <c r="Y434" s="34"/>
      <c r="Z434" s="34"/>
      <c r="AA434" s="25"/>
      <c r="AB434" s="25"/>
      <c r="AC434" s="25"/>
      <c r="AD434" s="25"/>
      <c r="AE434" s="25"/>
      <c r="AF434" s="25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25"/>
      <c r="AU434" s="34"/>
      <c r="AV434" s="34"/>
      <c r="AW434" s="34"/>
    </row>
    <row r="435" ht="15.0" customHeight="1">
      <c r="A435" s="32" t="s">
        <v>460</v>
      </c>
      <c r="B435" s="25"/>
      <c r="C435" s="25"/>
      <c r="D435" s="25"/>
      <c r="E435" s="25"/>
      <c r="F435" s="25"/>
      <c r="G435" s="35">
        <v>0.0</v>
      </c>
      <c r="H435" s="35">
        <v>1.0</v>
      </c>
      <c r="I435" s="25"/>
      <c r="J435" s="25"/>
      <c r="K435" s="25"/>
      <c r="L435" s="35"/>
      <c r="M435" s="35"/>
      <c r="N435" s="25"/>
      <c r="O435" s="25"/>
      <c r="P435" s="25"/>
      <c r="Q435" s="35">
        <v>2.0</v>
      </c>
      <c r="R435" s="35">
        <v>2.0</v>
      </c>
      <c r="S435" s="35">
        <v>2.0</v>
      </c>
      <c r="T435" s="35">
        <v>2.0</v>
      </c>
      <c r="U435" s="34"/>
      <c r="V435" s="34"/>
      <c r="W435" s="34"/>
      <c r="X435" s="34"/>
      <c r="Y435" s="34"/>
      <c r="Z435" s="34"/>
      <c r="AA435" s="25"/>
      <c r="AB435" s="25"/>
      <c r="AC435" s="25"/>
      <c r="AD435" s="25"/>
      <c r="AE435" s="25"/>
      <c r="AF435" s="25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25"/>
      <c r="AU435" s="34"/>
      <c r="AV435" s="34"/>
      <c r="AW435" s="34"/>
    </row>
    <row r="436" ht="15.0" customHeight="1">
      <c r="A436" s="32" t="s">
        <v>461</v>
      </c>
      <c r="B436" s="25"/>
      <c r="C436" s="25"/>
      <c r="D436" s="25"/>
      <c r="E436" s="25"/>
      <c r="F436" s="25"/>
      <c r="G436" s="35">
        <v>0.0</v>
      </c>
      <c r="H436" s="35">
        <v>1.0</v>
      </c>
      <c r="I436" s="25"/>
      <c r="J436" s="25"/>
      <c r="K436" s="25"/>
      <c r="L436" s="35"/>
      <c r="M436" s="35"/>
      <c r="N436" s="25"/>
      <c r="O436" s="25"/>
      <c r="P436" s="25"/>
      <c r="Q436" s="35">
        <v>2.0</v>
      </c>
      <c r="R436" s="35">
        <v>2.0</v>
      </c>
      <c r="S436" s="35">
        <v>2.0</v>
      </c>
      <c r="T436" s="35">
        <v>2.0</v>
      </c>
      <c r="U436" s="34"/>
      <c r="V436" s="34"/>
      <c r="W436" s="34"/>
      <c r="X436" s="34"/>
      <c r="Y436" s="34"/>
      <c r="Z436" s="34"/>
      <c r="AA436" s="25"/>
      <c r="AB436" s="25"/>
      <c r="AC436" s="25"/>
      <c r="AD436" s="25"/>
      <c r="AE436" s="25"/>
      <c r="AF436" s="25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25"/>
      <c r="AU436" s="34"/>
      <c r="AV436" s="34"/>
      <c r="AW436" s="34"/>
    </row>
    <row r="437" ht="15.0" customHeight="1">
      <c r="A437" s="32" t="s">
        <v>462</v>
      </c>
      <c r="B437" s="25"/>
      <c r="C437" s="25"/>
      <c r="D437" s="25"/>
      <c r="E437" s="25"/>
      <c r="F437" s="25"/>
      <c r="G437" s="35">
        <v>0.0</v>
      </c>
      <c r="H437" s="35">
        <v>1.0</v>
      </c>
      <c r="I437" s="25"/>
      <c r="J437" s="25"/>
      <c r="K437" s="25"/>
      <c r="L437" s="35"/>
      <c r="M437" s="35"/>
      <c r="N437" s="25"/>
      <c r="O437" s="25"/>
      <c r="P437" s="25"/>
      <c r="Q437" s="35">
        <v>2.0</v>
      </c>
      <c r="R437" s="35">
        <v>2.0</v>
      </c>
      <c r="S437" s="35">
        <v>2.0</v>
      </c>
      <c r="T437" s="35">
        <v>2.0</v>
      </c>
      <c r="U437" s="34"/>
      <c r="V437" s="34"/>
      <c r="W437" s="34"/>
      <c r="X437" s="34"/>
      <c r="Y437" s="34"/>
      <c r="Z437" s="34"/>
      <c r="AA437" s="25"/>
      <c r="AB437" s="25"/>
      <c r="AC437" s="25"/>
      <c r="AD437" s="25"/>
      <c r="AE437" s="25"/>
      <c r="AF437" s="25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25"/>
      <c r="AU437" s="34"/>
      <c r="AV437" s="34"/>
      <c r="AW437" s="34"/>
    </row>
    <row r="438" ht="15.0" customHeight="1">
      <c r="A438" s="32" t="s">
        <v>463</v>
      </c>
      <c r="B438" s="25"/>
      <c r="C438" s="25"/>
      <c r="D438" s="25"/>
      <c r="E438" s="25"/>
      <c r="F438" s="25"/>
      <c r="G438" s="35">
        <v>0.0</v>
      </c>
      <c r="H438" s="35">
        <v>1.0</v>
      </c>
      <c r="I438" s="25"/>
      <c r="J438" s="25"/>
      <c r="K438" s="25"/>
      <c r="L438" s="35"/>
      <c r="M438" s="35"/>
      <c r="N438" s="25"/>
      <c r="O438" s="25"/>
      <c r="P438" s="25"/>
      <c r="Q438" s="35">
        <v>2.0</v>
      </c>
      <c r="R438" s="35">
        <v>2.0</v>
      </c>
      <c r="S438" s="35">
        <v>2.0</v>
      </c>
      <c r="T438" s="35">
        <v>2.0</v>
      </c>
      <c r="U438" s="34"/>
      <c r="V438" s="34"/>
      <c r="W438" s="34"/>
      <c r="X438" s="34"/>
      <c r="Y438" s="34"/>
      <c r="Z438" s="34"/>
      <c r="AA438" s="25"/>
      <c r="AB438" s="25"/>
      <c r="AC438" s="25"/>
      <c r="AD438" s="25"/>
      <c r="AE438" s="25"/>
      <c r="AF438" s="25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25"/>
      <c r="AU438" s="34"/>
      <c r="AV438" s="34"/>
      <c r="AW438" s="34"/>
    </row>
    <row r="439" ht="15.0" customHeight="1">
      <c r="A439" s="32" t="s">
        <v>464</v>
      </c>
      <c r="B439" s="25"/>
      <c r="C439" s="25"/>
      <c r="D439" s="25"/>
      <c r="E439" s="25"/>
      <c r="F439" s="25"/>
      <c r="G439" s="35">
        <v>0.0</v>
      </c>
      <c r="H439" s="35">
        <v>1.0</v>
      </c>
      <c r="I439" s="25"/>
      <c r="J439" s="25"/>
      <c r="K439" s="25"/>
      <c r="L439" s="35"/>
      <c r="M439" s="35"/>
      <c r="N439" s="25"/>
      <c r="O439" s="25"/>
      <c r="P439" s="25"/>
      <c r="Q439" s="35">
        <v>2.0</v>
      </c>
      <c r="R439" s="35">
        <v>2.0</v>
      </c>
      <c r="S439" s="35">
        <v>2.0</v>
      </c>
      <c r="T439" s="35">
        <v>2.0</v>
      </c>
      <c r="U439" s="34"/>
      <c r="V439" s="34"/>
      <c r="W439" s="34"/>
      <c r="X439" s="34"/>
      <c r="Y439" s="34"/>
      <c r="Z439" s="34"/>
      <c r="AA439" s="25"/>
      <c r="AB439" s="25"/>
      <c r="AC439" s="25"/>
      <c r="AD439" s="25"/>
      <c r="AE439" s="25"/>
      <c r="AF439" s="25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25"/>
      <c r="AU439" s="34"/>
      <c r="AV439" s="34"/>
      <c r="AW439" s="34"/>
    </row>
    <row r="440" ht="15.0" customHeight="1">
      <c r="A440" s="32" t="s">
        <v>465</v>
      </c>
      <c r="B440" s="25"/>
      <c r="C440" s="25"/>
      <c r="D440" s="25"/>
      <c r="E440" s="25"/>
      <c r="F440" s="25"/>
      <c r="G440" s="35">
        <v>0.0</v>
      </c>
      <c r="H440" s="35">
        <v>1.0</v>
      </c>
      <c r="I440" s="25"/>
      <c r="J440" s="25"/>
      <c r="K440" s="25"/>
      <c r="L440" s="35"/>
      <c r="M440" s="35"/>
      <c r="N440" s="25"/>
      <c r="O440" s="25"/>
      <c r="P440" s="25"/>
      <c r="Q440" s="35">
        <v>2.0</v>
      </c>
      <c r="R440" s="35">
        <v>2.0</v>
      </c>
      <c r="S440" s="35">
        <v>2.0</v>
      </c>
      <c r="T440" s="35">
        <v>2.0</v>
      </c>
      <c r="U440" s="34"/>
      <c r="V440" s="34"/>
      <c r="W440" s="34"/>
      <c r="X440" s="34"/>
      <c r="Y440" s="34"/>
      <c r="Z440" s="34"/>
      <c r="AA440" s="25"/>
      <c r="AB440" s="25"/>
      <c r="AC440" s="25"/>
      <c r="AD440" s="25"/>
      <c r="AE440" s="25"/>
      <c r="AF440" s="25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25"/>
      <c r="AU440" s="34"/>
      <c r="AV440" s="34"/>
      <c r="AW440" s="34"/>
    </row>
    <row r="441" ht="15.0" customHeight="1">
      <c r="A441" s="32" t="s">
        <v>466</v>
      </c>
      <c r="B441" s="25"/>
      <c r="C441" s="25"/>
      <c r="D441" s="25"/>
      <c r="E441" s="25"/>
      <c r="F441" s="25"/>
      <c r="G441" s="35">
        <v>0.0</v>
      </c>
      <c r="H441" s="35">
        <v>1.0</v>
      </c>
      <c r="I441" s="25"/>
      <c r="J441" s="25"/>
      <c r="K441" s="25"/>
      <c r="L441" s="35"/>
      <c r="M441" s="35"/>
      <c r="N441" s="25"/>
      <c r="O441" s="25"/>
      <c r="P441" s="25"/>
      <c r="Q441" s="35">
        <v>2.0</v>
      </c>
      <c r="R441" s="35">
        <v>2.0</v>
      </c>
      <c r="S441" s="35">
        <v>2.0</v>
      </c>
      <c r="T441" s="35">
        <v>2.0</v>
      </c>
      <c r="U441" s="34"/>
      <c r="V441" s="34"/>
      <c r="W441" s="34"/>
      <c r="X441" s="34"/>
      <c r="Y441" s="34"/>
      <c r="Z441" s="34"/>
      <c r="AA441" s="25"/>
      <c r="AB441" s="25"/>
      <c r="AC441" s="25"/>
      <c r="AD441" s="25"/>
      <c r="AE441" s="25"/>
      <c r="AF441" s="25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25"/>
      <c r="AU441" s="34"/>
      <c r="AV441" s="34"/>
      <c r="AW441" s="34"/>
    </row>
    <row r="442" ht="15.0" customHeight="1">
      <c r="A442" s="32" t="s">
        <v>467</v>
      </c>
      <c r="B442" s="25"/>
      <c r="C442" s="25"/>
      <c r="D442" s="25"/>
      <c r="E442" s="25"/>
      <c r="F442" s="25"/>
      <c r="G442" s="35">
        <v>0.0</v>
      </c>
      <c r="H442" s="35">
        <v>1.0</v>
      </c>
      <c r="I442" s="25"/>
      <c r="J442" s="25"/>
      <c r="K442" s="25"/>
      <c r="L442" s="35"/>
      <c r="M442" s="35"/>
      <c r="N442" s="25"/>
      <c r="O442" s="25"/>
      <c r="P442" s="25"/>
      <c r="Q442" s="35">
        <v>2.0</v>
      </c>
      <c r="R442" s="35">
        <v>2.0</v>
      </c>
      <c r="S442" s="35">
        <v>2.0</v>
      </c>
      <c r="T442" s="35">
        <v>2.0</v>
      </c>
      <c r="U442" s="34"/>
      <c r="V442" s="34"/>
      <c r="W442" s="34"/>
      <c r="X442" s="34"/>
      <c r="Y442" s="34"/>
      <c r="Z442" s="34"/>
      <c r="AA442" s="25"/>
      <c r="AB442" s="25"/>
      <c r="AC442" s="25"/>
      <c r="AD442" s="25"/>
      <c r="AE442" s="25"/>
      <c r="AF442" s="25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25"/>
      <c r="AU442" s="34"/>
      <c r="AV442" s="34"/>
      <c r="AW442" s="34"/>
    </row>
    <row r="443" ht="15.0" customHeight="1">
      <c r="A443" s="32" t="s">
        <v>468</v>
      </c>
      <c r="B443" s="25"/>
      <c r="C443" s="25"/>
      <c r="D443" s="25"/>
      <c r="E443" s="25"/>
      <c r="F443" s="25"/>
      <c r="G443" s="35">
        <v>0.0</v>
      </c>
      <c r="H443" s="35">
        <v>1.0</v>
      </c>
      <c r="I443" s="25"/>
      <c r="J443" s="25"/>
      <c r="K443" s="25"/>
      <c r="L443" s="35"/>
      <c r="M443" s="35"/>
      <c r="N443" s="25"/>
      <c r="O443" s="25"/>
      <c r="P443" s="25"/>
      <c r="Q443" s="35">
        <v>2.0</v>
      </c>
      <c r="R443" s="35">
        <v>2.0</v>
      </c>
      <c r="S443" s="35">
        <v>2.0</v>
      </c>
      <c r="T443" s="35">
        <v>2.0</v>
      </c>
      <c r="U443" s="34"/>
      <c r="V443" s="34"/>
      <c r="W443" s="34"/>
      <c r="X443" s="34"/>
      <c r="Y443" s="34"/>
      <c r="Z443" s="34"/>
      <c r="AA443" s="25"/>
      <c r="AB443" s="25"/>
      <c r="AC443" s="25"/>
      <c r="AD443" s="25"/>
      <c r="AE443" s="25"/>
      <c r="AF443" s="25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25"/>
      <c r="AU443" s="34"/>
      <c r="AV443" s="34"/>
      <c r="AW443" s="34"/>
    </row>
    <row r="444" ht="15.0" customHeight="1">
      <c r="A444" s="32" t="s">
        <v>469</v>
      </c>
      <c r="B444" s="25"/>
      <c r="C444" s="25"/>
      <c r="D444" s="25"/>
      <c r="E444" s="25"/>
      <c r="F444" s="25"/>
      <c r="G444" s="35">
        <v>0.0</v>
      </c>
      <c r="H444" s="35">
        <v>1.0</v>
      </c>
      <c r="I444" s="25"/>
      <c r="J444" s="25"/>
      <c r="K444" s="25"/>
      <c r="L444" s="35"/>
      <c r="M444" s="35"/>
      <c r="N444" s="25"/>
      <c r="O444" s="25"/>
      <c r="P444" s="25"/>
      <c r="Q444" s="35">
        <v>2.0</v>
      </c>
      <c r="R444" s="35">
        <v>2.0</v>
      </c>
      <c r="S444" s="35">
        <v>2.0</v>
      </c>
      <c r="T444" s="35">
        <v>2.0</v>
      </c>
      <c r="U444" s="34"/>
      <c r="V444" s="34"/>
      <c r="W444" s="34"/>
      <c r="X444" s="34"/>
      <c r="Y444" s="34"/>
      <c r="Z444" s="34"/>
      <c r="AA444" s="25"/>
      <c r="AB444" s="25"/>
      <c r="AC444" s="25"/>
      <c r="AD444" s="25"/>
      <c r="AE444" s="25"/>
      <c r="AF444" s="25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25"/>
      <c r="AU444" s="34"/>
      <c r="AV444" s="34"/>
      <c r="AW444" s="34"/>
    </row>
    <row r="445" ht="15.0" customHeight="1">
      <c r="A445" s="32" t="s">
        <v>470</v>
      </c>
      <c r="B445" s="25"/>
      <c r="C445" s="25"/>
      <c r="D445" s="25"/>
      <c r="E445" s="25"/>
      <c r="F445" s="25"/>
      <c r="G445" s="35">
        <v>0.0</v>
      </c>
      <c r="H445" s="35">
        <v>1.0</v>
      </c>
      <c r="I445" s="25"/>
      <c r="J445" s="25"/>
      <c r="K445" s="25"/>
      <c r="L445" s="35"/>
      <c r="M445" s="35"/>
      <c r="N445" s="25"/>
      <c r="O445" s="25"/>
      <c r="P445" s="25"/>
      <c r="Q445" s="35">
        <v>2.0</v>
      </c>
      <c r="R445" s="35">
        <v>2.0</v>
      </c>
      <c r="S445" s="35">
        <v>2.0</v>
      </c>
      <c r="T445" s="35">
        <v>2.0</v>
      </c>
      <c r="U445" s="34"/>
      <c r="V445" s="34"/>
      <c r="W445" s="34"/>
      <c r="X445" s="34"/>
      <c r="Y445" s="34"/>
      <c r="Z445" s="34"/>
      <c r="AA445" s="25"/>
      <c r="AB445" s="25"/>
      <c r="AC445" s="25"/>
      <c r="AD445" s="25"/>
      <c r="AE445" s="25"/>
      <c r="AF445" s="25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25"/>
      <c r="AU445" s="34"/>
      <c r="AV445" s="34"/>
      <c r="AW445" s="34"/>
    </row>
    <row r="446" ht="15.0" customHeight="1">
      <c r="A446" s="32" t="s">
        <v>471</v>
      </c>
      <c r="B446" s="25"/>
      <c r="C446" s="25"/>
      <c r="D446" s="25"/>
      <c r="E446" s="25"/>
      <c r="F446" s="25"/>
      <c r="G446" s="35">
        <v>0.0</v>
      </c>
      <c r="H446" s="35">
        <v>1.0</v>
      </c>
      <c r="I446" s="25"/>
      <c r="J446" s="25"/>
      <c r="K446" s="25"/>
      <c r="L446" s="35"/>
      <c r="M446" s="35"/>
      <c r="N446" s="25"/>
      <c r="O446" s="25"/>
      <c r="P446" s="25"/>
      <c r="Q446" s="35">
        <v>2.0</v>
      </c>
      <c r="R446" s="35">
        <v>2.0</v>
      </c>
      <c r="S446" s="35">
        <v>2.0</v>
      </c>
      <c r="T446" s="35">
        <v>2.0</v>
      </c>
      <c r="U446" s="34"/>
      <c r="V446" s="34"/>
      <c r="W446" s="34"/>
      <c r="X446" s="34"/>
      <c r="Y446" s="34"/>
      <c r="Z446" s="34"/>
      <c r="AA446" s="25"/>
      <c r="AB446" s="25"/>
      <c r="AC446" s="25"/>
      <c r="AD446" s="25"/>
      <c r="AE446" s="25"/>
      <c r="AF446" s="25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25"/>
      <c r="AU446" s="34"/>
      <c r="AV446" s="34"/>
      <c r="AW446" s="34"/>
    </row>
    <row r="447" ht="15.0" customHeight="1">
      <c r="A447" s="32" t="s">
        <v>472</v>
      </c>
      <c r="B447" s="25"/>
      <c r="C447" s="25"/>
      <c r="D447" s="25"/>
      <c r="E447" s="25"/>
      <c r="F447" s="25"/>
      <c r="G447" s="35">
        <v>0.0</v>
      </c>
      <c r="H447" s="35">
        <v>1.0</v>
      </c>
      <c r="I447" s="25"/>
      <c r="J447" s="25"/>
      <c r="K447" s="25"/>
      <c r="L447" s="35"/>
      <c r="M447" s="35"/>
      <c r="N447" s="25"/>
      <c r="O447" s="25"/>
      <c r="P447" s="25"/>
      <c r="Q447" s="35">
        <v>2.0</v>
      </c>
      <c r="R447" s="35">
        <v>2.0</v>
      </c>
      <c r="S447" s="35">
        <v>2.0</v>
      </c>
      <c r="T447" s="35">
        <v>2.0</v>
      </c>
      <c r="U447" s="34"/>
      <c r="V447" s="34"/>
      <c r="W447" s="34"/>
      <c r="X447" s="34"/>
      <c r="Y447" s="34"/>
      <c r="Z447" s="34"/>
      <c r="AA447" s="25"/>
      <c r="AB447" s="25"/>
      <c r="AC447" s="25"/>
      <c r="AD447" s="25"/>
      <c r="AE447" s="25"/>
      <c r="AF447" s="25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25"/>
      <c r="AU447" s="34"/>
      <c r="AV447" s="34"/>
      <c r="AW447" s="34"/>
    </row>
    <row r="448" ht="15.0" customHeight="1">
      <c r="A448" s="32" t="s">
        <v>473</v>
      </c>
      <c r="B448" s="25"/>
      <c r="C448" s="25"/>
      <c r="D448" s="25"/>
      <c r="E448" s="25"/>
      <c r="F448" s="25"/>
      <c r="G448" s="35">
        <v>0.0</v>
      </c>
      <c r="H448" s="35">
        <v>1.0</v>
      </c>
      <c r="I448" s="25"/>
      <c r="J448" s="25"/>
      <c r="K448" s="25"/>
      <c r="L448" s="35"/>
      <c r="M448" s="35"/>
      <c r="N448" s="25"/>
      <c r="O448" s="25"/>
      <c r="P448" s="25"/>
      <c r="Q448" s="35">
        <v>2.0</v>
      </c>
      <c r="R448" s="35">
        <v>2.0</v>
      </c>
      <c r="S448" s="35">
        <v>2.0</v>
      </c>
      <c r="T448" s="35">
        <v>2.0</v>
      </c>
      <c r="U448" s="34"/>
      <c r="V448" s="34"/>
      <c r="W448" s="34"/>
      <c r="X448" s="34"/>
      <c r="Y448" s="34"/>
      <c r="Z448" s="34"/>
      <c r="AA448" s="25"/>
      <c r="AB448" s="25"/>
      <c r="AC448" s="25"/>
      <c r="AD448" s="25"/>
      <c r="AE448" s="25"/>
      <c r="AF448" s="25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25"/>
      <c r="AU448" s="34"/>
      <c r="AV448" s="34"/>
      <c r="AW448" s="34"/>
    </row>
    <row r="449" ht="15.0" customHeight="1">
      <c r="A449" s="32" t="s">
        <v>474</v>
      </c>
      <c r="B449" s="25"/>
      <c r="C449" s="25"/>
      <c r="D449" s="25"/>
      <c r="E449" s="25"/>
      <c r="F449" s="25"/>
      <c r="G449" s="35">
        <v>0.0</v>
      </c>
      <c r="H449" s="35">
        <v>1.0</v>
      </c>
      <c r="I449" s="25"/>
      <c r="J449" s="25"/>
      <c r="K449" s="25"/>
      <c r="L449" s="35"/>
      <c r="M449" s="35"/>
      <c r="N449" s="25"/>
      <c r="O449" s="25"/>
      <c r="P449" s="25"/>
      <c r="Q449" s="35">
        <v>2.0</v>
      </c>
      <c r="R449" s="35">
        <v>2.0</v>
      </c>
      <c r="S449" s="35">
        <v>2.0</v>
      </c>
      <c r="T449" s="35">
        <v>2.0</v>
      </c>
      <c r="U449" s="34"/>
      <c r="V449" s="34"/>
      <c r="W449" s="34"/>
      <c r="X449" s="34"/>
      <c r="Y449" s="34"/>
      <c r="Z449" s="34"/>
      <c r="AA449" s="25"/>
      <c r="AB449" s="25"/>
      <c r="AC449" s="25"/>
      <c r="AD449" s="25"/>
      <c r="AE449" s="25"/>
      <c r="AF449" s="25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25"/>
      <c r="AU449" s="34"/>
      <c r="AV449" s="34"/>
      <c r="AW449" s="34"/>
    </row>
    <row r="450" ht="15.0" customHeight="1">
      <c r="A450" s="32" t="s">
        <v>475</v>
      </c>
      <c r="B450" s="25"/>
      <c r="C450" s="25"/>
      <c r="D450" s="25"/>
      <c r="E450" s="25"/>
      <c r="F450" s="25"/>
      <c r="G450" s="35">
        <v>0.0</v>
      </c>
      <c r="H450" s="35">
        <v>1.0</v>
      </c>
      <c r="I450" s="25"/>
      <c r="J450" s="25"/>
      <c r="K450" s="25"/>
      <c r="L450" s="35"/>
      <c r="M450" s="35"/>
      <c r="N450" s="25"/>
      <c r="O450" s="25"/>
      <c r="P450" s="25"/>
      <c r="Q450" s="35">
        <v>2.0</v>
      </c>
      <c r="R450" s="35">
        <v>2.0</v>
      </c>
      <c r="S450" s="35">
        <v>2.0</v>
      </c>
      <c r="T450" s="35">
        <v>2.0</v>
      </c>
      <c r="U450" s="34"/>
      <c r="V450" s="34"/>
      <c r="W450" s="34"/>
      <c r="X450" s="34"/>
      <c r="Y450" s="34"/>
      <c r="Z450" s="34"/>
      <c r="AA450" s="25"/>
      <c r="AB450" s="25"/>
      <c r="AC450" s="25"/>
      <c r="AD450" s="25"/>
      <c r="AE450" s="25"/>
      <c r="AF450" s="25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25"/>
      <c r="AU450" s="34"/>
      <c r="AV450" s="34"/>
      <c r="AW450" s="34"/>
    </row>
    <row r="451" ht="15.0" customHeight="1">
      <c r="A451" s="32" t="s">
        <v>476</v>
      </c>
      <c r="B451" s="25"/>
      <c r="C451" s="25"/>
      <c r="D451" s="25"/>
      <c r="E451" s="25"/>
      <c r="F451" s="25"/>
      <c r="G451" s="35">
        <v>0.0</v>
      </c>
      <c r="H451" s="35">
        <v>1.0</v>
      </c>
      <c r="I451" s="25"/>
      <c r="J451" s="25"/>
      <c r="K451" s="25"/>
      <c r="L451" s="35"/>
      <c r="M451" s="35"/>
      <c r="N451" s="25"/>
      <c r="O451" s="25"/>
      <c r="P451" s="25"/>
      <c r="Q451" s="35">
        <v>2.0</v>
      </c>
      <c r="R451" s="35">
        <v>2.0</v>
      </c>
      <c r="S451" s="35">
        <v>2.0</v>
      </c>
      <c r="T451" s="35">
        <v>2.0</v>
      </c>
      <c r="U451" s="34"/>
      <c r="V451" s="34"/>
      <c r="W451" s="34"/>
      <c r="X451" s="34"/>
      <c r="Y451" s="34"/>
      <c r="Z451" s="34"/>
      <c r="AA451" s="25"/>
      <c r="AB451" s="25"/>
      <c r="AC451" s="25"/>
      <c r="AD451" s="25"/>
      <c r="AE451" s="25"/>
      <c r="AF451" s="25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25"/>
      <c r="AU451" s="34"/>
      <c r="AV451" s="34"/>
      <c r="AW451" s="34"/>
    </row>
    <row r="452" ht="15.0" customHeight="1">
      <c r="A452" s="32" t="s">
        <v>477</v>
      </c>
      <c r="B452" s="25"/>
      <c r="C452" s="25"/>
      <c r="D452" s="25"/>
      <c r="E452" s="25"/>
      <c r="F452" s="25"/>
      <c r="G452" s="35">
        <v>0.0</v>
      </c>
      <c r="H452" s="35">
        <v>1.0</v>
      </c>
      <c r="I452" s="25"/>
      <c r="J452" s="25"/>
      <c r="K452" s="25"/>
      <c r="L452" s="35"/>
      <c r="M452" s="35"/>
      <c r="N452" s="25"/>
      <c r="O452" s="25"/>
      <c r="P452" s="25"/>
      <c r="Q452" s="35">
        <v>2.0</v>
      </c>
      <c r="R452" s="35">
        <v>2.0</v>
      </c>
      <c r="S452" s="35">
        <v>2.0</v>
      </c>
      <c r="T452" s="35">
        <v>2.0</v>
      </c>
      <c r="U452" s="34"/>
      <c r="V452" s="34"/>
      <c r="W452" s="34"/>
      <c r="X452" s="34"/>
      <c r="Y452" s="34"/>
      <c r="Z452" s="34"/>
      <c r="AA452" s="25"/>
      <c r="AB452" s="25"/>
      <c r="AC452" s="25"/>
      <c r="AD452" s="25"/>
      <c r="AE452" s="25"/>
      <c r="AF452" s="25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25"/>
      <c r="AU452" s="34"/>
      <c r="AV452" s="34"/>
      <c r="AW452" s="34"/>
    </row>
    <row r="453" ht="15.0" customHeight="1">
      <c r="A453" s="32" t="s">
        <v>478</v>
      </c>
      <c r="B453" s="25"/>
      <c r="C453" s="25"/>
      <c r="D453" s="25"/>
      <c r="E453" s="25"/>
      <c r="F453" s="25"/>
      <c r="G453" s="35">
        <v>0.0</v>
      </c>
      <c r="H453" s="35">
        <v>1.0</v>
      </c>
      <c r="I453" s="25"/>
      <c r="J453" s="25"/>
      <c r="K453" s="25"/>
      <c r="L453" s="35"/>
      <c r="M453" s="35"/>
      <c r="N453" s="25"/>
      <c r="O453" s="25"/>
      <c r="P453" s="25"/>
      <c r="Q453" s="35">
        <v>2.0</v>
      </c>
      <c r="R453" s="35">
        <v>2.0</v>
      </c>
      <c r="S453" s="35">
        <v>2.0</v>
      </c>
      <c r="T453" s="35">
        <v>2.0</v>
      </c>
      <c r="U453" s="34"/>
      <c r="V453" s="34"/>
      <c r="W453" s="34"/>
      <c r="X453" s="34"/>
      <c r="Y453" s="34"/>
      <c r="Z453" s="34"/>
      <c r="AA453" s="25"/>
      <c r="AB453" s="25"/>
      <c r="AC453" s="25"/>
      <c r="AD453" s="25"/>
      <c r="AE453" s="25"/>
      <c r="AF453" s="25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25"/>
      <c r="AU453" s="34"/>
      <c r="AV453" s="34"/>
      <c r="AW453" s="34"/>
    </row>
    <row r="454" ht="15.0" customHeight="1">
      <c r="A454" s="32" t="s">
        <v>479</v>
      </c>
      <c r="B454" s="25"/>
      <c r="C454" s="25"/>
      <c r="D454" s="25"/>
      <c r="E454" s="25"/>
      <c r="F454" s="25"/>
      <c r="G454" s="35">
        <v>0.0</v>
      </c>
      <c r="H454" s="35">
        <v>1.0</v>
      </c>
      <c r="I454" s="25"/>
      <c r="J454" s="25"/>
      <c r="K454" s="25"/>
      <c r="L454" s="35"/>
      <c r="M454" s="35"/>
      <c r="N454" s="25"/>
      <c r="O454" s="25"/>
      <c r="P454" s="25"/>
      <c r="Q454" s="35">
        <v>2.0</v>
      </c>
      <c r="R454" s="35">
        <v>2.0</v>
      </c>
      <c r="S454" s="35">
        <v>2.0</v>
      </c>
      <c r="T454" s="35">
        <v>2.0</v>
      </c>
      <c r="U454" s="34"/>
      <c r="V454" s="34"/>
      <c r="W454" s="34"/>
      <c r="X454" s="34"/>
      <c r="Y454" s="34"/>
      <c r="Z454" s="34"/>
      <c r="AA454" s="25"/>
      <c r="AB454" s="25"/>
      <c r="AC454" s="25"/>
      <c r="AD454" s="25"/>
      <c r="AE454" s="25"/>
      <c r="AF454" s="25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25"/>
      <c r="AU454" s="34"/>
      <c r="AV454" s="34"/>
      <c r="AW454" s="34"/>
    </row>
    <row r="455" ht="15.0" customHeight="1">
      <c r="A455" s="32" t="s">
        <v>480</v>
      </c>
      <c r="B455" s="25"/>
      <c r="C455" s="25"/>
      <c r="D455" s="25"/>
      <c r="E455" s="25"/>
      <c r="F455" s="25"/>
      <c r="G455" s="35">
        <v>0.0</v>
      </c>
      <c r="H455" s="35">
        <v>1.0</v>
      </c>
      <c r="I455" s="25"/>
      <c r="J455" s="25"/>
      <c r="K455" s="25"/>
      <c r="L455" s="35"/>
      <c r="M455" s="35"/>
      <c r="N455" s="25"/>
      <c r="O455" s="25"/>
      <c r="P455" s="25"/>
      <c r="Q455" s="35">
        <v>2.0</v>
      </c>
      <c r="R455" s="35">
        <v>2.0</v>
      </c>
      <c r="S455" s="35">
        <v>2.0</v>
      </c>
      <c r="T455" s="35">
        <v>2.0</v>
      </c>
      <c r="U455" s="34"/>
      <c r="V455" s="34"/>
      <c r="W455" s="34"/>
      <c r="X455" s="34"/>
      <c r="Y455" s="34"/>
      <c r="Z455" s="34"/>
      <c r="AA455" s="25"/>
      <c r="AB455" s="25"/>
      <c r="AC455" s="25"/>
      <c r="AD455" s="25"/>
      <c r="AE455" s="25"/>
      <c r="AF455" s="25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25"/>
      <c r="AU455" s="34"/>
      <c r="AV455" s="34"/>
      <c r="AW455" s="34"/>
    </row>
    <row r="456" ht="15.0" customHeight="1">
      <c r="A456" s="32" t="s">
        <v>481</v>
      </c>
      <c r="B456" s="25"/>
      <c r="C456" s="25"/>
      <c r="D456" s="25"/>
      <c r="E456" s="25"/>
      <c r="F456" s="25"/>
      <c r="G456" s="35">
        <v>0.0</v>
      </c>
      <c r="H456" s="35">
        <v>1.0</v>
      </c>
      <c r="I456" s="25"/>
      <c r="J456" s="25"/>
      <c r="K456" s="25"/>
      <c r="L456" s="35"/>
      <c r="M456" s="35"/>
      <c r="N456" s="25"/>
      <c r="O456" s="25"/>
      <c r="P456" s="25"/>
      <c r="Q456" s="35">
        <v>2.0</v>
      </c>
      <c r="R456" s="35">
        <v>2.0</v>
      </c>
      <c r="S456" s="35">
        <v>2.0</v>
      </c>
      <c r="T456" s="35">
        <v>2.0</v>
      </c>
      <c r="U456" s="34"/>
      <c r="V456" s="34"/>
      <c r="W456" s="34"/>
      <c r="X456" s="34"/>
      <c r="Y456" s="34"/>
      <c r="Z456" s="34"/>
      <c r="AA456" s="25"/>
      <c r="AB456" s="25"/>
      <c r="AC456" s="25"/>
      <c r="AD456" s="25"/>
      <c r="AE456" s="25"/>
      <c r="AF456" s="25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25"/>
      <c r="AU456" s="34"/>
      <c r="AV456" s="34"/>
      <c r="AW456" s="34"/>
    </row>
    <row r="457" ht="15.0" customHeight="1">
      <c r="A457" s="32" t="s">
        <v>482</v>
      </c>
      <c r="B457" s="25"/>
      <c r="C457" s="25"/>
      <c r="D457" s="25"/>
      <c r="E457" s="25"/>
      <c r="F457" s="25"/>
      <c r="G457" s="35">
        <v>0.0</v>
      </c>
      <c r="H457" s="35">
        <v>1.0</v>
      </c>
      <c r="I457" s="25"/>
      <c r="J457" s="25"/>
      <c r="K457" s="25"/>
      <c r="L457" s="35"/>
      <c r="M457" s="35"/>
      <c r="N457" s="25"/>
      <c r="O457" s="25"/>
      <c r="P457" s="25"/>
      <c r="Q457" s="35">
        <v>2.0</v>
      </c>
      <c r="R457" s="35">
        <v>2.0</v>
      </c>
      <c r="S457" s="35">
        <v>2.0</v>
      </c>
      <c r="T457" s="35">
        <v>2.0</v>
      </c>
      <c r="U457" s="34"/>
      <c r="V457" s="34"/>
      <c r="W457" s="34"/>
      <c r="X457" s="34"/>
      <c r="Y457" s="34"/>
      <c r="Z457" s="34"/>
      <c r="AA457" s="25"/>
      <c r="AB457" s="25"/>
      <c r="AC457" s="25"/>
      <c r="AD457" s="25"/>
      <c r="AE457" s="25"/>
      <c r="AF457" s="25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25"/>
      <c r="AU457" s="34"/>
      <c r="AV457" s="34"/>
      <c r="AW457" s="34"/>
    </row>
    <row r="458" ht="15.0" customHeight="1">
      <c r="A458" s="32" t="s">
        <v>483</v>
      </c>
      <c r="B458" s="25"/>
      <c r="C458" s="25"/>
      <c r="D458" s="25"/>
      <c r="E458" s="25"/>
      <c r="F458" s="25"/>
      <c r="G458" s="35">
        <v>0.0</v>
      </c>
      <c r="H458" s="35">
        <v>1.0</v>
      </c>
      <c r="I458" s="25"/>
      <c r="J458" s="25"/>
      <c r="K458" s="25"/>
      <c r="L458" s="35"/>
      <c r="M458" s="35"/>
      <c r="N458" s="25"/>
      <c r="O458" s="25"/>
      <c r="P458" s="25"/>
      <c r="Q458" s="35">
        <v>2.0</v>
      </c>
      <c r="R458" s="35">
        <v>2.0</v>
      </c>
      <c r="S458" s="35">
        <v>2.0</v>
      </c>
      <c r="T458" s="35">
        <v>2.0</v>
      </c>
      <c r="U458" s="34"/>
      <c r="V458" s="34"/>
      <c r="W458" s="34"/>
      <c r="X458" s="34"/>
      <c r="Y458" s="34"/>
      <c r="Z458" s="34"/>
      <c r="AA458" s="25"/>
      <c r="AB458" s="25"/>
      <c r="AC458" s="25"/>
      <c r="AD458" s="25"/>
      <c r="AE458" s="25"/>
      <c r="AF458" s="25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25"/>
      <c r="AU458" s="34"/>
      <c r="AV458" s="34"/>
      <c r="AW458" s="34"/>
    </row>
    <row r="459" ht="15.0" customHeight="1">
      <c r="A459" s="32" t="s">
        <v>484</v>
      </c>
      <c r="B459" s="25"/>
      <c r="C459" s="25"/>
      <c r="D459" s="25"/>
      <c r="E459" s="25"/>
      <c r="F459" s="25"/>
      <c r="G459" s="35">
        <v>0.0</v>
      </c>
      <c r="H459" s="35">
        <v>1.0</v>
      </c>
      <c r="I459" s="25"/>
      <c r="J459" s="25"/>
      <c r="K459" s="25"/>
      <c r="L459" s="35"/>
      <c r="M459" s="35"/>
      <c r="N459" s="25"/>
      <c r="O459" s="25"/>
      <c r="P459" s="25"/>
      <c r="Q459" s="35">
        <v>2.0</v>
      </c>
      <c r="R459" s="35">
        <v>2.0</v>
      </c>
      <c r="S459" s="35">
        <v>2.0</v>
      </c>
      <c r="T459" s="35">
        <v>2.0</v>
      </c>
      <c r="U459" s="34"/>
      <c r="V459" s="34"/>
      <c r="W459" s="34"/>
      <c r="X459" s="34"/>
      <c r="Y459" s="34"/>
      <c r="Z459" s="34"/>
      <c r="AA459" s="25"/>
      <c r="AB459" s="25"/>
      <c r="AC459" s="25"/>
      <c r="AD459" s="25"/>
      <c r="AE459" s="25"/>
      <c r="AF459" s="25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25"/>
      <c r="AU459" s="34"/>
      <c r="AV459" s="34"/>
      <c r="AW459" s="34"/>
    </row>
    <row r="460" ht="15.0" customHeight="1">
      <c r="A460" s="32" t="s">
        <v>485</v>
      </c>
      <c r="B460" s="25"/>
      <c r="C460" s="25"/>
      <c r="D460" s="25"/>
      <c r="E460" s="25"/>
      <c r="F460" s="25"/>
      <c r="G460" s="35">
        <v>0.0</v>
      </c>
      <c r="H460" s="35">
        <v>1.0</v>
      </c>
      <c r="I460" s="25"/>
      <c r="J460" s="25"/>
      <c r="K460" s="25"/>
      <c r="L460" s="35"/>
      <c r="M460" s="35"/>
      <c r="N460" s="25"/>
      <c r="O460" s="25"/>
      <c r="P460" s="25"/>
      <c r="Q460" s="35">
        <v>2.0</v>
      </c>
      <c r="R460" s="35">
        <v>2.0</v>
      </c>
      <c r="S460" s="35">
        <v>2.0</v>
      </c>
      <c r="T460" s="35">
        <v>2.0</v>
      </c>
      <c r="U460" s="34"/>
      <c r="V460" s="34"/>
      <c r="W460" s="34"/>
      <c r="X460" s="34"/>
      <c r="Y460" s="34"/>
      <c r="Z460" s="34"/>
      <c r="AA460" s="25"/>
      <c r="AB460" s="25"/>
      <c r="AC460" s="25"/>
      <c r="AD460" s="25"/>
      <c r="AE460" s="25"/>
      <c r="AF460" s="25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25"/>
      <c r="AU460" s="34"/>
      <c r="AV460" s="34"/>
      <c r="AW460" s="34"/>
    </row>
    <row r="461" ht="15.0" customHeight="1">
      <c r="A461" s="32" t="s">
        <v>486</v>
      </c>
      <c r="B461" s="25"/>
      <c r="C461" s="25"/>
      <c r="D461" s="25"/>
      <c r="E461" s="25"/>
      <c r="F461" s="25"/>
      <c r="G461" s="35">
        <v>0.0</v>
      </c>
      <c r="H461" s="35">
        <v>1.0</v>
      </c>
      <c r="I461" s="25"/>
      <c r="J461" s="25"/>
      <c r="K461" s="25"/>
      <c r="L461" s="35"/>
      <c r="M461" s="35"/>
      <c r="N461" s="25"/>
      <c r="O461" s="25"/>
      <c r="P461" s="25"/>
      <c r="Q461" s="35">
        <v>2.0</v>
      </c>
      <c r="R461" s="35">
        <v>2.0</v>
      </c>
      <c r="S461" s="35">
        <v>2.0</v>
      </c>
      <c r="T461" s="35">
        <v>2.0</v>
      </c>
      <c r="U461" s="34"/>
      <c r="V461" s="34"/>
      <c r="W461" s="34"/>
      <c r="X461" s="34"/>
      <c r="Y461" s="34"/>
      <c r="Z461" s="34"/>
      <c r="AA461" s="25"/>
      <c r="AB461" s="25"/>
      <c r="AC461" s="25"/>
      <c r="AD461" s="25"/>
      <c r="AE461" s="25"/>
      <c r="AF461" s="25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25"/>
      <c r="AU461" s="34"/>
      <c r="AV461" s="34"/>
      <c r="AW461" s="34"/>
    </row>
    <row r="462" ht="15.0" customHeight="1">
      <c r="A462" s="32" t="s">
        <v>487</v>
      </c>
      <c r="B462" s="25"/>
      <c r="C462" s="25"/>
      <c r="D462" s="25"/>
      <c r="E462" s="25"/>
      <c r="F462" s="25"/>
      <c r="G462" s="35">
        <v>0.0</v>
      </c>
      <c r="H462" s="35">
        <v>1.0</v>
      </c>
      <c r="I462" s="25"/>
      <c r="J462" s="25"/>
      <c r="K462" s="25"/>
      <c r="L462" s="35"/>
      <c r="M462" s="35"/>
      <c r="N462" s="25"/>
      <c r="O462" s="25"/>
      <c r="P462" s="25"/>
      <c r="Q462" s="35">
        <v>2.0</v>
      </c>
      <c r="R462" s="35">
        <v>2.0</v>
      </c>
      <c r="S462" s="35">
        <v>2.0</v>
      </c>
      <c r="T462" s="35">
        <v>2.0</v>
      </c>
      <c r="U462" s="34"/>
      <c r="V462" s="34"/>
      <c r="W462" s="34"/>
      <c r="X462" s="34"/>
      <c r="Y462" s="34"/>
      <c r="Z462" s="34"/>
      <c r="AA462" s="25"/>
      <c r="AB462" s="25"/>
      <c r="AC462" s="25"/>
      <c r="AD462" s="25"/>
      <c r="AE462" s="25"/>
      <c r="AF462" s="25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25"/>
      <c r="AU462" s="34"/>
      <c r="AV462" s="34"/>
      <c r="AW462" s="34"/>
    </row>
    <row r="463" ht="15.0" customHeight="1">
      <c r="A463" s="32" t="s">
        <v>488</v>
      </c>
      <c r="B463" s="25"/>
      <c r="C463" s="25"/>
      <c r="D463" s="25"/>
      <c r="E463" s="25"/>
      <c r="F463" s="25"/>
      <c r="G463" s="35">
        <v>0.0</v>
      </c>
      <c r="H463" s="35">
        <v>1.0</v>
      </c>
      <c r="I463" s="25"/>
      <c r="J463" s="25"/>
      <c r="K463" s="25"/>
      <c r="L463" s="35"/>
      <c r="M463" s="35"/>
      <c r="N463" s="25"/>
      <c r="O463" s="25"/>
      <c r="P463" s="25"/>
      <c r="Q463" s="35">
        <v>2.0</v>
      </c>
      <c r="R463" s="35">
        <v>2.0</v>
      </c>
      <c r="S463" s="35">
        <v>2.0</v>
      </c>
      <c r="T463" s="35">
        <v>2.0</v>
      </c>
      <c r="U463" s="34"/>
      <c r="V463" s="34"/>
      <c r="W463" s="34"/>
      <c r="X463" s="34"/>
      <c r="Y463" s="34"/>
      <c r="Z463" s="34"/>
      <c r="AA463" s="25"/>
      <c r="AB463" s="25"/>
      <c r="AC463" s="25"/>
      <c r="AD463" s="25"/>
      <c r="AE463" s="25"/>
      <c r="AF463" s="25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25"/>
      <c r="AU463" s="34"/>
      <c r="AV463" s="34"/>
      <c r="AW463" s="34"/>
    </row>
    <row r="464" ht="15.0" customHeight="1">
      <c r="A464" s="32" t="s">
        <v>489</v>
      </c>
      <c r="B464" s="25"/>
      <c r="C464" s="25"/>
      <c r="D464" s="25"/>
      <c r="E464" s="25"/>
      <c r="F464" s="25"/>
      <c r="G464" s="35">
        <v>0.0</v>
      </c>
      <c r="H464" s="35">
        <v>1.0</v>
      </c>
      <c r="I464" s="25"/>
      <c r="J464" s="25"/>
      <c r="K464" s="25"/>
      <c r="L464" s="35"/>
      <c r="M464" s="35"/>
      <c r="N464" s="25"/>
      <c r="O464" s="25"/>
      <c r="P464" s="25"/>
      <c r="Q464" s="35">
        <v>2.0</v>
      </c>
      <c r="R464" s="35">
        <v>2.0</v>
      </c>
      <c r="S464" s="35">
        <v>2.0</v>
      </c>
      <c r="T464" s="35">
        <v>2.0</v>
      </c>
      <c r="U464" s="34"/>
      <c r="V464" s="34"/>
      <c r="W464" s="34"/>
      <c r="X464" s="34"/>
      <c r="Y464" s="34"/>
      <c r="Z464" s="34"/>
      <c r="AA464" s="25"/>
      <c r="AB464" s="25"/>
      <c r="AC464" s="25"/>
      <c r="AD464" s="25"/>
      <c r="AE464" s="25"/>
      <c r="AF464" s="25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25"/>
      <c r="AU464" s="34"/>
      <c r="AV464" s="34"/>
      <c r="AW464" s="34"/>
    </row>
    <row r="465" ht="15.0" customHeight="1">
      <c r="A465" s="32" t="s">
        <v>490</v>
      </c>
      <c r="B465" s="25"/>
      <c r="C465" s="25"/>
      <c r="D465" s="25"/>
      <c r="E465" s="25"/>
      <c r="F465" s="25"/>
      <c r="G465" s="35">
        <v>0.0</v>
      </c>
      <c r="H465" s="35">
        <v>1.0</v>
      </c>
      <c r="I465" s="25"/>
      <c r="J465" s="25"/>
      <c r="K465" s="25"/>
      <c r="L465" s="35"/>
      <c r="M465" s="35"/>
      <c r="N465" s="25"/>
      <c r="O465" s="25"/>
      <c r="P465" s="25"/>
      <c r="Q465" s="35">
        <v>2.0</v>
      </c>
      <c r="R465" s="35">
        <v>2.0</v>
      </c>
      <c r="S465" s="35">
        <v>2.0</v>
      </c>
      <c r="T465" s="35">
        <v>2.0</v>
      </c>
      <c r="U465" s="34"/>
      <c r="V465" s="34"/>
      <c r="W465" s="34"/>
      <c r="X465" s="34"/>
      <c r="Y465" s="34"/>
      <c r="Z465" s="34"/>
      <c r="AA465" s="25"/>
      <c r="AB465" s="25"/>
      <c r="AC465" s="25"/>
      <c r="AD465" s="25"/>
      <c r="AE465" s="25"/>
      <c r="AF465" s="25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25"/>
      <c r="AU465" s="34"/>
      <c r="AV465" s="34"/>
      <c r="AW465" s="34"/>
    </row>
    <row r="466" ht="15.0" customHeight="1">
      <c r="A466" s="32" t="s">
        <v>491</v>
      </c>
      <c r="B466" s="25"/>
      <c r="C466" s="25"/>
      <c r="D466" s="25"/>
      <c r="E466" s="25"/>
      <c r="F466" s="25"/>
      <c r="G466" s="35">
        <v>0.0</v>
      </c>
      <c r="H466" s="35">
        <v>1.0</v>
      </c>
      <c r="I466" s="25"/>
      <c r="J466" s="25"/>
      <c r="K466" s="25"/>
      <c r="L466" s="35"/>
      <c r="M466" s="35"/>
      <c r="N466" s="25"/>
      <c r="O466" s="25"/>
      <c r="P466" s="25"/>
      <c r="Q466" s="35">
        <v>2.0</v>
      </c>
      <c r="R466" s="35">
        <v>2.0</v>
      </c>
      <c r="S466" s="35">
        <v>2.0</v>
      </c>
      <c r="T466" s="35">
        <v>2.0</v>
      </c>
      <c r="U466" s="34"/>
      <c r="V466" s="34"/>
      <c r="W466" s="34"/>
      <c r="X466" s="34"/>
      <c r="Y466" s="34"/>
      <c r="Z466" s="34"/>
      <c r="AA466" s="25"/>
      <c r="AB466" s="25"/>
      <c r="AC466" s="25"/>
      <c r="AD466" s="25"/>
      <c r="AE466" s="25"/>
      <c r="AF466" s="25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25"/>
      <c r="AU466" s="34"/>
      <c r="AV466" s="34"/>
      <c r="AW466" s="34"/>
    </row>
    <row r="467" ht="15.0" customHeight="1">
      <c r="A467" s="32" t="s">
        <v>492</v>
      </c>
      <c r="B467" s="25"/>
      <c r="C467" s="25"/>
      <c r="D467" s="25"/>
      <c r="E467" s="25"/>
      <c r="F467" s="25"/>
      <c r="G467" s="35">
        <v>0.0</v>
      </c>
      <c r="H467" s="35">
        <v>1.0</v>
      </c>
      <c r="I467" s="25"/>
      <c r="J467" s="25"/>
      <c r="K467" s="25"/>
      <c r="L467" s="35"/>
      <c r="M467" s="35"/>
      <c r="N467" s="25"/>
      <c r="O467" s="25"/>
      <c r="P467" s="25"/>
      <c r="Q467" s="35">
        <v>2.0</v>
      </c>
      <c r="R467" s="35">
        <v>2.0</v>
      </c>
      <c r="S467" s="35">
        <v>2.0</v>
      </c>
      <c r="T467" s="35">
        <v>2.0</v>
      </c>
      <c r="U467" s="34"/>
      <c r="V467" s="34"/>
      <c r="W467" s="34"/>
      <c r="X467" s="34"/>
      <c r="Y467" s="34"/>
      <c r="Z467" s="34"/>
      <c r="AA467" s="25"/>
      <c r="AB467" s="25"/>
      <c r="AC467" s="25"/>
      <c r="AD467" s="25"/>
      <c r="AE467" s="25"/>
      <c r="AF467" s="25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25"/>
      <c r="AU467" s="34"/>
      <c r="AV467" s="34"/>
      <c r="AW467" s="34"/>
    </row>
    <row r="468" ht="15.0" customHeight="1">
      <c r="A468" s="32" t="s">
        <v>493</v>
      </c>
      <c r="B468" s="25"/>
      <c r="C468" s="25"/>
      <c r="D468" s="25"/>
      <c r="E468" s="25"/>
      <c r="F468" s="25"/>
      <c r="G468" s="35">
        <v>0.0</v>
      </c>
      <c r="H468" s="35">
        <v>1.0</v>
      </c>
      <c r="I468" s="25"/>
      <c r="J468" s="25"/>
      <c r="K468" s="25"/>
      <c r="L468" s="35"/>
      <c r="M468" s="35"/>
      <c r="N468" s="25"/>
      <c r="O468" s="25"/>
      <c r="P468" s="25"/>
      <c r="Q468" s="35">
        <v>2.0</v>
      </c>
      <c r="R468" s="35">
        <v>2.0</v>
      </c>
      <c r="S468" s="35">
        <v>2.0</v>
      </c>
      <c r="T468" s="35">
        <v>2.0</v>
      </c>
      <c r="U468" s="34"/>
      <c r="V468" s="34"/>
      <c r="W468" s="34"/>
      <c r="X468" s="34"/>
      <c r="Y468" s="34"/>
      <c r="Z468" s="34"/>
      <c r="AA468" s="25"/>
      <c r="AB468" s="25"/>
      <c r="AC468" s="25"/>
      <c r="AD468" s="25"/>
      <c r="AE468" s="25"/>
      <c r="AF468" s="25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25"/>
      <c r="AU468" s="34"/>
      <c r="AV468" s="34"/>
      <c r="AW468" s="34"/>
    </row>
    <row r="469" ht="15.0" customHeight="1">
      <c r="A469" s="32" t="s">
        <v>494</v>
      </c>
      <c r="B469" s="25"/>
      <c r="C469" s="25"/>
      <c r="D469" s="25"/>
      <c r="E469" s="25"/>
      <c r="F469" s="25"/>
      <c r="G469" s="35">
        <v>0.0</v>
      </c>
      <c r="H469" s="35">
        <v>1.0</v>
      </c>
      <c r="I469" s="25"/>
      <c r="J469" s="25"/>
      <c r="K469" s="25"/>
      <c r="L469" s="35"/>
      <c r="M469" s="35"/>
      <c r="N469" s="25"/>
      <c r="O469" s="25"/>
      <c r="P469" s="25"/>
      <c r="Q469" s="35">
        <v>2.0</v>
      </c>
      <c r="R469" s="35">
        <v>2.0</v>
      </c>
      <c r="S469" s="35">
        <v>2.0</v>
      </c>
      <c r="T469" s="35">
        <v>2.0</v>
      </c>
      <c r="U469" s="34"/>
      <c r="V469" s="34"/>
      <c r="W469" s="34"/>
      <c r="X469" s="34"/>
      <c r="Y469" s="34"/>
      <c r="Z469" s="34"/>
      <c r="AA469" s="25"/>
      <c r="AB469" s="25"/>
      <c r="AC469" s="25"/>
      <c r="AD469" s="25"/>
      <c r="AE469" s="25"/>
      <c r="AF469" s="25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25"/>
      <c r="AU469" s="34"/>
      <c r="AV469" s="34"/>
      <c r="AW469" s="34"/>
    </row>
    <row r="470" ht="15.0" customHeight="1">
      <c r="A470" s="32" t="s">
        <v>495</v>
      </c>
      <c r="B470" s="25"/>
      <c r="C470" s="25"/>
      <c r="D470" s="25"/>
      <c r="E470" s="25"/>
      <c r="F470" s="25"/>
      <c r="G470" s="35">
        <v>0.0</v>
      </c>
      <c r="H470" s="35">
        <v>1.0</v>
      </c>
      <c r="I470" s="25"/>
      <c r="J470" s="25"/>
      <c r="K470" s="25"/>
      <c r="L470" s="35"/>
      <c r="M470" s="35"/>
      <c r="N470" s="25"/>
      <c r="O470" s="25"/>
      <c r="P470" s="25"/>
      <c r="Q470" s="35">
        <v>2.0</v>
      </c>
      <c r="R470" s="35">
        <v>2.0</v>
      </c>
      <c r="S470" s="35">
        <v>2.0</v>
      </c>
      <c r="T470" s="35">
        <v>2.0</v>
      </c>
      <c r="U470" s="34"/>
      <c r="V470" s="34"/>
      <c r="W470" s="34"/>
      <c r="X470" s="34"/>
      <c r="Y470" s="34"/>
      <c r="Z470" s="34"/>
      <c r="AA470" s="25"/>
      <c r="AB470" s="25"/>
      <c r="AC470" s="25"/>
      <c r="AD470" s="25"/>
      <c r="AE470" s="25"/>
      <c r="AF470" s="25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25"/>
      <c r="AU470" s="34"/>
      <c r="AV470" s="34"/>
      <c r="AW470" s="34"/>
    </row>
    <row r="471" ht="15.0" customHeight="1">
      <c r="A471" s="32" t="s">
        <v>496</v>
      </c>
      <c r="B471" s="25"/>
      <c r="C471" s="25"/>
      <c r="D471" s="25"/>
      <c r="E471" s="25"/>
      <c r="F471" s="25"/>
      <c r="G471" s="35">
        <v>0.0</v>
      </c>
      <c r="H471" s="35">
        <v>1.0</v>
      </c>
      <c r="I471" s="25"/>
      <c r="J471" s="25"/>
      <c r="K471" s="25"/>
      <c r="L471" s="35"/>
      <c r="M471" s="35"/>
      <c r="N471" s="25"/>
      <c r="O471" s="25"/>
      <c r="P471" s="25"/>
      <c r="Q471" s="35">
        <v>2.0</v>
      </c>
      <c r="R471" s="35">
        <v>2.0</v>
      </c>
      <c r="S471" s="35">
        <v>2.0</v>
      </c>
      <c r="T471" s="35">
        <v>2.0</v>
      </c>
      <c r="U471" s="34"/>
      <c r="V471" s="34"/>
      <c r="W471" s="34"/>
      <c r="X471" s="34"/>
      <c r="Y471" s="34"/>
      <c r="Z471" s="34"/>
      <c r="AA471" s="25"/>
      <c r="AB471" s="25"/>
      <c r="AC471" s="25"/>
      <c r="AD471" s="25"/>
      <c r="AE471" s="25"/>
      <c r="AF471" s="25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25"/>
      <c r="AU471" s="34"/>
      <c r="AV471" s="34"/>
      <c r="AW471" s="34"/>
    </row>
    <row r="472" ht="15.0" customHeight="1">
      <c r="A472" s="32" t="s">
        <v>497</v>
      </c>
      <c r="B472" s="25"/>
      <c r="C472" s="25"/>
      <c r="D472" s="25"/>
      <c r="E472" s="25"/>
      <c r="F472" s="25"/>
      <c r="G472" s="35">
        <v>0.0</v>
      </c>
      <c r="H472" s="35">
        <v>1.0</v>
      </c>
      <c r="I472" s="25"/>
      <c r="J472" s="25"/>
      <c r="K472" s="25"/>
      <c r="L472" s="35"/>
      <c r="M472" s="35"/>
      <c r="N472" s="25"/>
      <c r="O472" s="25"/>
      <c r="P472" s="25"/>
      <c r="Q472" s="35">
        <v>2.0</v>
      </c>
      <c r="R472" s="35">
        <v>2.0</v>
      </c>
      <c r="S472" s="35">
        <v>2.0</v>
      </c>
      <c r="T472" s="35">
        <v>2.0</v>
      </c>
      <c r="U472" s="34"/>
      <c r="V472" s="34"/>
      <c r="W472" s="34"/>
      <c r="X472" s="34"/>
      <c r="Y472" s="34"/>
      <c r="Z472" s="34"/>
      <c r="AA472" s="25"/>
      <c r="AB472" s="25"/>
      <c r="AC472" s="25"/>
      <c r="AD472" s="25"/>
      <c r="AE472" s="25"/>
      <c r="AF472" s="25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25"/>
      <c r="AU472" s="34"/>
      <c r="AV472" s="34"/>
      <c r="AW472" s="34"/>
    </row>
    <row r="473" ht="15.0" customHeight="1">
      <c r="A473" s="32" t="s">
        <v>498</v>
      </c>
      <c r="B473" s="25"/>
      <c r="C473" s="25"/>
      <c r="D473" s="25"/>
      <c r="E473" s="25"/>
      <c r="F473" s="25"/>
      <c r="G473" s="35">
        <v>0.0</v>
      </c>
      <c r="H473" s="35">
        <v>1.0</v>
      </c>
      <c r="I473" s="25"/>
      <c r="J473" s="25"/>
      <c r="K473" s="25"/>
      <c r="L473" s="35"/>
      <c r="M473" s="35"/>
      <c r="N473" s="25"/>
      <c r="O473" s="25"/>
      <c r="P473" s="25"/>
      <c r="Q473" s="35">
        <v>2.0</v>
      </c>
      <c r="R473" s="35">
        <v>2.0</v>
      </c>
      <c r="S473" s="35">
        <v>2.0</v>
      </c>
      <c r="T473" s="35">
        <v>2.0</v>
      </c>
      <c r="U473" s="34"/>
      <c r="V473" s="34"/>
      <c r="W473" s="34"/>
      <c r="X473" s="34"/>
      <c r="Y473" s="34"/>
      <c r="Z473" s="34"/>
      <c r="AA473" s="25"/>
      <c r="AB473" s="25"/>
      <c r="AC473" s="25"/>
      <c r="AD473" s="25"/>
      <c r="AE473" s="25"/>
      <c r="AF473" s="25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25"/>
      <c r="AU473" s="34"/>
      <c r="AV473" s="34"/>
      <c r="AW473" s="34"/>
    </row>
    <row r="474" ht="15.0" customHeight="1">
      <c r="A474" s="32" t="s">
        <v>499</v>
      </c>
      <c r="B474" s="25"/>
      <c r="C474" s="25"/>
      <c r="D474" s="25"/>
      <c r="E474" s="25"/>
      <c r="F474" s="25"/>
      <c r="G474" s="35">
        <v>0.0</v>
      </c>
      <c r="H474" s="35">
        <v>1.0</v>
      </c>
      <c r="I474" s="25"/>
      <c r="J474" s="25"/>
      <c r="K474" s="25"/>
      <c r="L474" s="35"/>
      <c r="M474" s="35"/>
      <c r="N474" s="25"/>
      <c r="O474" s="25"/>
      <c r="P474" s="25"/>
      <c r="Q474" s="35">
        <v>2.0</v>
      </c>
      <c r="R474" s="35">
        <v>2.0</v>
      </c>
      <c r="S474" s="35">
        <v>2.0</v>
      </c>
      <c r="T474" s="35">
        <v>2.0</v>
      </c>
      <c r="U474" s="34"/>
      <c r="V474" s="34"/>
      <c r="W474" s="34"/>
      <c r="X474" s="34"/>
      <c r="Y474" s="34"/>
      <c r="Z474" s="34"/>
      <c r="AA474" s="25"/>
      <c r="AB474" s="25"/>
      <c r="AC474" s="25"/>
      <c r="AD474" s="25"/>
      <c r="AE474" s="25"/>
      <c r="AF474" s="25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25"/>
      <c r="AU474" s="34"/>
      <c r="AV474" s="34"/>
      <c r="AW474" s="34"/>
    </row>
    <row r="475" ht="15.0" customHeight="1">
      <c r="A475" s="32" t="s">
        <v>500</v>
      </c>
      <c r="B475" s="25"/>
      <c r="C475" s="25"/>
      <c r="D475" s="25"/>
      <c r="E475" s="25"/>
      <c r="F475" s="25"/>
      <c r="G475" s="35">
        <v>0.0</v>
      </c>
      <c r="H475" s="35">
        <v>1.0</v>
      </c>
      <c r="I475" s="25"/>
      <c r="J475" s="25"/>
      <c r="K475" s="25"/>
      <c r="L475" s="35"/>
      <c r="M475" s="35"/>
      <c r="N475" s="25"/>
      <c r="O475" s="25"/>
      <c r="P475" s="25"/>
      <c r="Q475" s="35">
        <v>2.0</v>
      </c>
      <c r="R475" s="35">
        <v>2.0</v>
      </c>
      <c r="S475" s="35">
        <v>2.0</v>
      </c>
      <c r="T475" s="35">
        <v>2.0</v>
      </c>
      <c r="U475" s="34"/>
      <c r="V475" s="34"/>
      <c r="W475" s="34"/>
      <c r="X475" s="34"/>
      <c r="Y475" s="34"/>
      <c r="Z475" s="34"/>
      <c r="AA475" s="25"/>
      <c r="AB475" s="25"/>
      <c r="AC475" s="25"/>
      <c r="AD475" s="25"/>
      <c r="AE475" s="25"/>
      <c r="AF475" s="25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25"/>
      <c r="AU475" s="34"/>
      <c r="AV475" s="34"/>
      <c r="AW475" s="34"/>
    </row>
    <row r="476" ht="15.0" customHeight="1">
      <c r="A476" s="32" t="s">
        <v>501</v>
      </c>
      <c r="B476" s="25"/>
      <c r="C476" s="25"/>
      <c r="D476" s="25"/>
      <c r="E476" s="25"/>
      <c r="F476" s="25"/>
      <c r="G476" s="35">
        <v>0.0</v>
      </c>
      <c r="H476" s="35">
        <v>1.0</v>
      </c>
      <c r="I476" s="25"/>
      <c r="J476" s="25"/>
      <c r="K476" s="25"/>
      <c r="L476" s="35"/>
      <c r="M476" s="35"/>
      <c r="N476" s="25"/>
      <c r="O476" s="25"/>
      <c r="P476" s="25"/>
      <c r="Q476" s="35">
        <v>2.0</v>
      </c>
      <c r="R476" s="35">
        <v>2.0</v>
      </c>
      <c r="S476" s="35">
        <v>2.0</v>
      </c>
      <c r="T476" s="35">
        <v>2.0</v>
      </c>
      <c r="U476" s="34"/>
      <c r="V476" s="34"/>
      <c r="W476" s="34"/>
      <c r="X476" s="34"/>
      <c r="Y476" s="34"/>
      <c r="Z476" s="34"/>
      <c r="AA476" s="25"/>
      <c r="AB476" s="25"/>
      <c r="AC476" s="25"/>
      <c r="AD476" s="25"/>
      <c r="AE476" s="25"/>
      <c r="AF476" s="25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25"/>
      <c r="AU476" s="34"/>
      <c r="AV476" s="34"/>
      <c r="AW476" s="34"/>
    </row>
    <row r="477" ht="15.0" customHeight="1">
      <c r="A477" s="32" t="s">
        <v>502</v>
      </c>
      <c r="B477" s="25"/>
      <c r="C477" s="25"/>
      <c r="D477" s="25"/>
      <c r="E477" s="25"/>
      <c r="F477" s="25"/>
      <c r="G477" s="35">
        <v>0.0</v>
      </c>
      <c r="H477" s="35">
        <v>1.0</v>
      </c>
      <c r="I477" s="25"/>
      <c r="J477" s="25"/>
      <c r="K477" s="25"/>
      <c r="L477" s="35"/>
      <c r="M477" s="35"/>
      <c r="N477" s="25"/>
      <c r="O477" s="25"/>
      <c r="P477" s="25"/>
      <c r="Q477" s="35">
        <v>2.0</v>
      </c>
      <c r="R477" s="35">
        <v>2.0</v>
      </c>
      <c r="S477" s="35">
        <v>2.0</v>
      </c>
      <c r="T477" s="35">
        <v>2.0</v>
      </c>
      <c r="U477" s="34"/>
      <c r="V477" s="34"/>
      <c r="W477" s="34"/>
      <c r="X477" s="34"/>
      <c r="Y477" s="34"/>
      <c r="Z477" s="34"/>
      <c r="AA477" s="25"/>
      <c r="AB477" s="25"/>
      <c r="AC477" s="25"/>
      <c r="AD477" s="25"/>
      <c r="AE477" s="25"/>
      <c r="AF477" s="25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25"/>
      <c r="AU477" s="34"/>
      <c r="AV477" s="34"/>
      <c r="AW477" s="34"/>
    </row>
    <row r="478" ht="15.0" customHeight="1">
      <c r="A478" s="32" t="s">
        <v>503</v>
      </c>
      <c r="B478" s="25"/>
      <c r="C478" s="25"/>
      <c r="D478" s="25"/>
      <c r="E478" s="25"/>
      <c r="F478" s="25"/>
      <c r="G478" s="35">
        <v>0.0</v>
      </c>
      <c r="H478" s="35">
        <v>1.0</v>
      </c>
      <c r="I478" s="25"/>
      <c r="J478" s="25"/>
      <c r="K478" s="25"/>
      <c r="L478" s="35"/>
      <c r="M478" s="35"/>
      <c r="N478" s="25"/>
      <c r="O478" s="25"/>
      <c r="P478" s="25"/>
      <c r="Q478" s="35">
        <v>2.0</v>
      </c>
      <c r="R478" s="35">
        <v>2.0</v>
      </c>
      <c r="S478" s="35">
        <v>2.0</v>
      </c>
      <c r="T478" s="35">
        <v>2.0</v>
      </c>
      <c r="U478" s="34"/>
      <c r="V478" s="34"/>
      <c r="W478" s="34"/>
      <c r="X478" s="34"/>
      <c r="Y478" s="34"/>
      <c r="Z478" s="34"/>
      <c r="AA478" s="25"/>
      <c r="AB478" s="25"/>
      <c r="AC478" s="25"/>
      <c r="AD478" s="25"/>
      <c r="AE478" s="25"/>
      <c r="AF478" s="25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25"/>
      <c r="AU478" s="34"/>
      <c r="AV478" s="34"/>
      <c r="AW478" s="34"/>
    </row>
    <row r="479" ht="15.0" customHeight="1">
      <c r="A479" s="32" t="s">
        <v>504</v>
      </c>
      <c r="B479" s="25"/>
      <c r="C479" s="25"/>
      <c r="D479" s="25"/>
      <c r="E479" s="25"/>
      <c r="F479" s="25"/>
      <c r="G479" s="35">
        <v>0.0</v>
      </c>
      <c r="H479" s="35">
        <v>1.0</v>
      </c>
      <c r="I479" s="25"/>
      <c r="J479" s="25"/>
      <c r="K479" s="25"/>
      <c r="L479" s="35"/>
      <c r="M479" s="35"/>
      <c r="N479" s="25"/>
      <c r="O479" s="25"/>
      <c r="P479" s="25"/>
      <c r="Q479" s="35">
        <v>2.0</v>
      </c>
      <c r="R479" s="35">
        <v>2.0</v>
      </c>
      <c r="S479" s="35">
        <v>2.0</v>
      </c>
      <c r="T479" s="35">
        <v>2.0</v>
      </c>
      <c r="U479" s="34"/>
      <c r="V479" s="34"/>
      <c r="W479" s="34"/>
      <c r="X479" s="34"/>
      <c r="Y479" s="34"/>
      <c r="Z479" s="34"/>
      <c r="AA479" s="25"/>
      <c r="AB479" s="25"/>
      <c r="AC479" s="25"/>
      <c r="AD479" s="25"/>
      <c r="AE479" s="25"/>
      <c r="AF479" s="25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25"/>
      <c r="AU479" s="34"/>
      <c r="AV479" s="34"/>
      <c r="AW479" s="34"/>
    </row>
    <row r="480" ht="15.0" customHeight="1">
      <c r="A480" s="32" t="s">
        <v>505</v>
      </c>
      <c r="B480" s="25"/>
      <c r="C480" s="25"/>
      <c r="D480" s="25"/>
      <c r="E480" s="25"/>
      <c r="F480" s="25"/>
      <c r="G480" s="35">
        <v>0.0</v>
      </c>
      <c r="H480" s="35">
        <v>1.0</v>
      </c>
      <c r="I480" s="25"/>
      <c r="J480" s="25"/>
      <c r="K480" s="25"/>
      <c r="L480" s="35"/>
      <c r="M480" s="35"/>
      <c r="N480" s="25"/>
      <c r="O480" s="25"/>
      <c r="P480" s="25"/>
      <c r="Q480" s="35">
        <v>2.0</v>
      </c>
      <c r="R480" s="35">
        <v>2.0</v>
      </c>
      <c r="S480" s="35">
        <v>2.0</v>
      </c>
      <c r="T480" s="35">
        <v>2.0</v>
      </c>
      <c r="U480" s="34"/>
      <c r="V480" s="34"/>
      <c r="W480" s="34"/>
      <c r="X480" s="34"/>
      <c r="Y480" s="34"/>
      <c r="Z480" s="34"/>
      <c r="AA480" s="25"/>
      <c r="AB480" s="25"/>
      <c r="AC480" s="25"/>
      <c r="AD480" s="25"/>
      <c r="AE480" s="25"/>
      <c r="AF480" s="25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25"/>
      <c r="AU480" s="34"/>
      <c r="AV480" s="34"/>
      <c r="AW480" s="34"/>
    </row>
    <row r="481" ht="15.0" customHeight="1">
      <c r="A481" s="32" t="s">
        <v>506</v>
      </c>
      <c r="B481" s="25"/>
      <c r="C481" s="25"/>
      <c r="D481" s="25"/>
      <c r="E481" s="25"/>
      <c r="F481" s="25"/>
      <c r="G481" s="35">
        <v>0.0</v>
      </c>
      <c r="H481" s="35">
        <v>1.0</v>
      </c>
      <c r="I481" s="25"/>
      <c r="J481" s="25"/>
      <c r="K481" s="25"/>
      <c r="L481" s="35"/>
      <c r="M481" s="35"/>
      <c r="N481" s="25"/>
      <c r="O481" s="25"/>
      <c r="P481" s="25"/>
      <c r="Q481" s="35">
        <v>2.0</v>
      </c>
      <c r="R481" s="35">
        <v>2.0</v>
      </c>
      <c r="S481" s="35">
        <v>2.0</v>
      </c>
      <c r="T481" s="35">
        <v>2.0</v>
      </c>
      <c r="U481" s="34"/>
      <c r="V481" s="34"/>
      <c r="W481" s="34"/>
      <c r="X481" s="34"/>
      <c r="Y481" s="34"/>
      <c r="Z481" s="34"/>
      <c r="AA481" s="25"/>
      <c r="AB481" s="25"/>
      <c r="AC481" s="25"/>
      <c r="AD481" s="25"/>
      <c r="AE481" s="25"/>
      <c r="AF481" s="25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25"/>
      <c r="AU481" s="34"/>
      <c r="AV481" s="34"/>
      <c r="AW481" s="34"/>
    </row>
    <row r="482" ht="15.0" customHeight="1">
      <c r="A482" s="32" t="s">
        <v>507</v>
      </c>
      <c r="B482" s="25"/>
      <c r="C482" s="25"/>
      <c r="D482" s="25"/>
      <c r="E482" s="25"/>
      <c r="F482" s="25"/>
      <c r="G482" s="35">
        <v>0.0</v>
      </c>
      <c r="H482" s="35">
        <v>1.0</v>
      </c>
      <c r="I482" s="25"/>
      <c r="J482" s="25"/>
      <c r="K482" s="25"/>
      <c r="L482" s="35"/>
      <c r="M482" s="35"/>
      <c r="N482" s="25"/>
      <c r="O482" s="25"/>
      <c r="P482" s="25"/>
      <c r="Q482" s="35">
        <v>2.0</v>
      </c>
      <c r="R482" s="35">
        <v>2.0</v>
      </c>
      <c r="S482" s="35">
        <v>2.0</v>
      </c>
      <c r="T482" s="35">
        <v>2.0</v>
      </c>
      <c r="U482" s="34"/>
      <c r="V482" s="34"/>
      <c r="W482" s="34"/>
      <c r="X482" s="34"/>
      <c r="Y482" s="34"/>
      <c r="Z482" s="34"/>
      <c r="AA482" s="25"/>
      <c r="AB482" s="25"/>
      <c r="AC482" s="25"/>
      <c r="AD482" s="25"/>
      <c r="AE482" s="25"/>
      <c r="AF482" s="25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25"/>
      <c r="AU482" s="34"/>
      <c r="AV482" s="34"/>
      <c r="AW482" s="34"/>
    </row>
    <row r="483" ht="15.0" customHeight="1">
      <c r="A483" s="32" t="s">
        <v>508</v>
      </c>
      <c r="B483" s="25"/>
      <c r="C483" s="25"/>
      <c r="D483" s="25"/>
      <c r="E483" s="25"/>
      <c r="F483" s="25"/>
      <c r="G483" s="35">
        <v>0.0</v>
      </c>
      <c r="H483" s="35">
        <v>1.0</v>
      </c>
      <c r="I483" s="25"/>
      <c r="J483" s="25"/>
      <c r="K483" s="25"/>
      <c r="L483" s="35"/>
      <c r="M483" s="35"/>
      <c r="N483" s="25"/>
      <c r="O483" s="25"/>
      <c r="P483" s="25"/>
      <c r="Q483" s="35">
        <v>2.0</v>
      </c>
      <c r="R483" s="35">
        <v>2.0</v>
      </c>
      <c r="S483" s="35">
        <v>2.0</v>
      </c>
      <c r="T483" s="35">
        <v>2.0</v>
      </c>
      <c r="U483" s="34"/>
      <c r="V483" s="34"/>
      <c r="W483" s="34"/>
      <c r="X483" s="34"/>
      <c r="Y483" s="34"/>
      <c r="Z483" s="34"/>
      <c r="AA483" s="25"/>
      <c r="AB483" s="25"/>
      <c r="AC483" s="25"/>
      <c r="AD483" s="25"/>
      <c r="AE483" s="25"/>
      <c r="AF483" s="25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25"/>
      <c r="AU483" s="34"/>
      <c r="AV483" s="34"/>
      <c r="AW483" s="34"/>
    </row>
    <row r="484" ht="15.0" customHeight="1">
      <c r="A484" s="32" t="s">
        <v>509</v>
      </c>
      <c r="B484" s="25"/>
      <c r="C484" s="25"/>
      <c r="D484" s="25"/>
      <c r="E484" s="25"/>
      <c r="F484" s="25"/>
      <c r="G484" s="35">
        <v>0.0</v>
      </c>
      <c r="H484" s="35">
        <v>1.0</v>
      </c>
      <c r="I484" s="25"/>
      <c r="J484" s="25"/>
      <c r="K484" s="25"/>
      <c r="L484" s="35"/>
      <c r="M484" s="35"/>
      <c r="N484" s="25"/>
      <c r="O484" s="25"/>
      <c r="P484" s="25"/>
      <c r="Q484" s="35">
        <v>2.0</v>
      </c>
      <c r="R484" s="35">
        <v>2.0</v>
      </c>
      <c r="S484" s="35">
        <v>2.0</v>
      </c>
      <c r="T484" s="35">
        <v>2.0</v>
      </c>
      <c r="U484" s="34"/>
      <c r="V484" s="34"/>
      <c r="W484" s="34"/>
      <c r="X484" s="34"/>
      <c r="Y484" s="34"/>
      <c r="Z484" s="34"/>
      <c r="AA484" s="25"/>
      <c r="AB484" s="25"/>
      <c r="AC484" s="25"/>
      <c r="AD484" s="25"/>
      <c r="AE484" s="25"/>
      <c r="AF484" s="25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25"/>
      <c r="AU484" s="34"/>
      <c r="AV484" s="34"/>
      <c r="AW484" s="34"/>
    </row>
    <row r="485" ht="15.0" customHeight="1">
      <c r="A485" s="32" t="s">
        <v>510</v>
      </c>
      <c r="B485" s="25"/>
      <c r="C485" s="25"/>
      <c r="D485" s="25"/>
      <c r="E485" s="25"/>
      <c r="F485" s="25"/>
      <c r="G485" s="35">
        <v>0.0</v>
      </c>
      <c r="H485" s="35">
        <v>1.0</v>
      </c>
      <c r="I485" s="25"/>
      <c r="J485" s="25"/>
      <c r="K485" s="25"/>
      <c r="L485" s="35"/>
      <c r="M485" s="35"/>
      <c r="N485" s="25"/>
      <c r="O485" s="25"/>
      <c r="P485" s="25"/>
      <c r="Q485" s="35">
        <v>2.0</v>
      </c>
      <c r="R485" s="35">
        <v>2.0</v>
      </c>
      <c r="S485" s="35">
        <v>2.0</v>
      </c>
      <c r="T485" s="35">
        <v>2.0</v>
      </c>
      <c r="U485" s="34"/>
      <c r="V485" s="34"/>
      <c r="W485" s="34"/>
      <c r="X485" s="34"/>
      <c r="Y485" s="34"/>
      <c r="Z485" s="34"/>
      <c r="AA485" s="25"/>
      <c r="AB485" s="25"/>
      <c r="AC485" s="25"/>
      <c r="AD485" s="25"/>
      <c r="AE485" s="25"/>
      <c r="AF485" s="25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25"/>
      <c r="AU485" s="34"/>
      <c r="AV485" s="34"/>
      <c r="AW485" s="34"/>
    </row>
    <row r="486" ht="15.0" customHeight="1">
      <c r="A486" s="32" t="s">
        <v>511</v>
      </c>
      <c r="B486" s="25"/>
      <c r="C486" s="25"/>
      <c r="D486" s="25"/>
      <c r="E486" s="25"/>
      <c r="F486" s="25"/>
      <c r="G486" s="35">
        <v>0.0</v>
      </c>
      <c r="H486" s="35">
        <v>1.0</v>
      </c>
      <c r="I486" s="25"/>
      <c r="J486" s="25"/>
      <c r="K486" s="25"/>
      <c r="L486" s="35"/>
      <c r="M486" s="35"/>
      <c r="N486" s="25"/>
      <c r="O486" s="25"/>
      <c r="P486" s="25"/>
      <c r="Q486" s="35">
        <v>2.0</v>
      </c>
      <c r="R486" s="35">
        <v>2.0</v>
      </c>
      <c r="S486" s="35">
        <v>2.0</v>
      </c>
      <c r="T486" s="35">
        <v>2.0</v>
      </c>
      <c r="U486" s="34"/>
      <c r="V486" s="34"/>
      <c r="W486" s="34"/>
      <c r="X486" s="34"/>
      <c r="Y486" s="34"/>
      <c r="Z486" s="34"/>
      <c r="AA486" s="25"/>
      <c r="AB486" s="25"/>
      <c r="AC486" s="25"/>
      <c r="AD486" s="25"/>
      <c r="AE486" s="25"/>
      <c r="AF486" s="25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25"/>
      <c r="AU486" s="34"/>
      <c r="AV486" s="34"/>
      <c r="AW486" s="34"/>
    </row>
    <row r="487" ht="15.0" customHeight="1">
      <c r="A487" s="32" t="s">
        <v>512</v>
      </c>
      <c r="B487" s="25"/>
      <c r="C487" s="25"/>
      <c r="D487" s="25"/>
      <c r="E487" s="25"/>
      <c r="F487" s="25"/>
      <c r="G487" s="35">
        <v>0.0</v>
      </c>
      <c r="H487" s="35">
        <v>1.0</v>
      </c>
      <c r="I487" s="25"/>
      <c r="J487" s="25"/>
      <c r="K487" s="25"/>
      <c r="L487" s="35"/>
      <c r="M487" s="35"/>
      <c r="N487" s="25"/>
      <c r="O487" s="25"/>
      <c r="P487" s="25"/>
      <c r="Q487" s="35">
        <v>2.0</v>
      </c>
      <c r="R487" s="35">
        <v>2.0</v>
      </c>
      <c r="S487" s="35">
        <v>2.0</v>
      </c>
      <c r="T487" s="35">
        <v>2.0</v>
      </c>
      <c r="U487" s="34"/>
      <c r="V487" s="34"/>
      <c r="W487" s="34"/>
      <c r="X487" s="34"/>
      <c r="Y487" s="34"/>
      <c r="Z487" s="34"/>
      <c r="AA487" s="25"/>
      <c r="AB487" s="25"/>
      <c r="AC487" s="25"/>
      <c r="AD487" s="25"/>
      <c r="AE487" s="25"/>
      <c r="AF487" s="25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25"/>
      <c r="AU487" s="34"/>
      <c r="AV487" s="34"/>
      <c r="AW487" s="34"/>
    </row>
    <row r="488" ht="15.0" customHeight="1">
      <c r="A488" s="32" t="s">
        <v>513</v>
      </c>
      <c r="B488" s="25"/>
      <c r="C488" s="25"/>
      <c r="D488" s="25"/>
      <c r="E488" s="25"/>
      <c r="F488" s="25"/>
      <c r="G488" s="35">
        <v>0.0</v>
      </c>
      <c r="H488" s="35">
        <v>1.0</v>
      </c>
      <c r="I488" s="25"/>
      <c r="J488" s="25"/>
      <c r="K488" s="25"/>
      <c r="L488" s="35"/>
      <c r="M488" s="35"/>
      <c r="N488" s="25"/>
      <c r="O488" s="25"/>
      <c r="P488" s="25"/>
      <c r="Q488" s="35">
        <v>2.0</v>
      </c>
      <c r="R488" s="35">
        <v>2.0</v>
      </c>
      <c r="S488" s="35">
        <v>2.0</v>
      </c>
      <c r="T488" s="35">
        <v>2.0</v>
      </c>
      <c r="U488" s="34"/>
      <c r="V488" s="34"/>
      <c r="W488" s="34"/>
      <c r="X488" s="34"/>
      <c r="Y488" s="34"/>
      <c r="Z488" s="34"/>
      <c r="AA488" s="25"/>
      <c r="AB488" s="25"/>
      <c r="AC488" s="25"/>
      <c r="AD488" s="25"/>
      <c r="AE488" s="25"/>
      <c r="AF488" s="25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25"/>
      <c r="AU488" s="34"/>
      <c r="AV488" s="34"/>
      <c r="AW488" s="34"/>
    </row>
    <row r="489" ht="15.0" customHeight="1">
      <c r="A489" s="32" t="s">
        <v>514</v>
      </c>
      <c r="B489" s="25"/>
      <c r="C489" s="25"/>
      <c r="D489" s="25"/>
      <c r="E489" s="25"/>
      <c r="F489" s="25"/>
      <c r="G489" s="35">
        <v>0.0</v>
      </c>
      <c r="H489" s="35">
        <v>1.0</v>
      </c>
      <c r="I489" s="25"/>
      <c r="J489" s="25"/>
      <c r="K489" s="25"/>
      <c r="L489" s="35"/>
      <c r="M489" s="35"/>
      <c r="N489" s="25"/>
      <c r="O489" s="25"/>
      <c r="P489" s="25"/>
      <c r="Q489" s="35">
        <v>2.0</v>
      </c>
      <c r="R489" s="35">
        <v>2.0</v>
      </c>
      <c r="S489" s="35">
        <v>2.0</v>
      </c>
      <c r="T489" s="35">
        <v>2.0</v>
      </c>
      <c r="U489" s="34"/>
      <c r="V489" s="34"/>
      <c r="W489" s="34"/>
      <c r="X489" s="34"/>
      <c r="Y489" s="34"/>
      <c r="Z489" s="34"/>
      <c r="AA489" s="25"/>
      <c r="AB489" s="25"/>
      <c r="AC489" s="25"/>
      <c r="AD489" s="25"/>
      <c r="AE489" s="25"/>
      <c r="AF489" s="25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25"/>
      <c r="AU489" s="34"/>
      <c r="AV489" s="34"/>
      <c r="AW489" s="34"/>
    </row>
    <row r="490" ht="15.0" customHeight="1">
      <c r="A490" s="32" t="s">
        <v>515</v>
      </c>
      <c r="B490" s="25"/>
      <c r="C490" s="25"/>
      <c r="D490" s="25"/>
      <c r="E490" s="25"/>
      <c r="F490" s="25"/>
      <c r="G490" s="35">
        <v>0.0</v>
      </c>
      <c r="H490" s="35">
        <v>1.0</v>
      </c>
      <c r="I490" s="25"/>
      <c r="J490" s="25"/>
      <c r="K490" s="25"/>
      <c r="L490" s="35"/>
      <c r="M490" s="35"/>
      <c r="N490" s="25"/>
      <c r="O490" s="25"/>
      <c r="P490" s="25"/>
      <c r="Q490" s="35">
        <v>2.0</v>
      </c>
      <c r="R490" s="35">
        <v>2.0</v>
      </c>
      <c r="S490" s="35">
        <v>2.0</v>
      </c>
      <c r="T490" s="35">
        <v>2.0</v>
      </c>
      <c r="U490" s="34"/>
      <c r="V490" s="34"/>
      <c r="W490" s="34"/>
      <c r="X490" s="34"/>
      <c r="Y490" s="34"/>
      <c r="Z490" s="34"/>
      <c r="AA490" s="25"/>
      <c r="AB490" s="25"/>
      <c r="AC490" s="25"/>
      <c r="AD490" s="25"/>
      <c r="AE490" s="25"/>
      <c r="AF490" s="25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25"/>
      <c r="AU490" s="34"/>
      <c r="AV490" s="34"/>
      <c r="AW490" s="34"/>
    </row>
    <row r="491" ht="15.0" customHeight="1">
      <c r="A491" s="32" t="s">
        <v>516</v>
      </c>
      <c r="B491" s="25"/>
      <c r="C491" s="25"/>
      <c r="D491" s="25"/>
      <c r="E491" s="25"/>
      <c r="F491" s="25"/>
      <c r="G491" s="35">
        <v>0.0</v>
      </c>
      <c r="H491" s="35">
        <v>1.0</v>
      </c>
      <c r="I491" s="25"/>
      <c r="J491" s="25"/>
      <c r="K491" s="25"/>
      <c r="L491" s="35"/>
      <c r="M491" s="35"/>
      <c r="N491" s="25"/>
      <c r="O491" s="25"/>
      <c r="P491" s="25"/>
      <c r="Q491" s="35">
        <v>2.0</v>
      </c>
      <c r="R491" s="35">
        <v>2.0</v>
      </c>
      <c r="S491" s="35">
        <v>2.0</v>
      </c>
      <c r="T491" s="35">
        <v>2.0</v>
      </c>
      <c r="U491" s="34"/>
      <c r="V491" s="34"/>
      <c r="W491" s="34"/>
      <c r="X491" s="34"/>
      <c r="Y491" s="34"/>
      <c r="Z491" s="34"/>
      <c r="AA491" s="25"/>
      <c r="AB491" s="25"/>
      <c r="AC491" s="25"/>
      <c r="AD491" s="25"/>
      <c r="AE491" s="25"/>
      <c r="AF491" s="25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25"/>
      <c r="AU491" s="34"/>
      <c r="AV491" s="34"/>
      <c r="AW491" s="34"/>
    </row>
    <row r="492" ht="15.0" customHeight="1">
      <c r="A492" s="32" t="s">
        <v>517</v>
      </c>
      <c r="B492" s="25"/>
      <c r="C492" s="25"/>
      <c r="D492" s="25"/>
      <c r="E492" s="25"/>
      <c r="F492" s="25"/>
      <c r="G492" s="35">
        <v>0.0</v>
      </c>
      <c r="H492" s="35">
        <v>1.0</v>
      </c>
      <c r="I492" s="25"/>
      <c r="J492" s="25"/>
      <c r="K492" s="25"/>
      <c r="L492" s="35"/>
      <c r="M492" s="35"/>
      <c r="N492" s="25"/>
      <c r="O492" s="25"/>
      <c r="P492" s="25"/>
      <c r="Q492" s="35">
        <v>2.0</v>
      </c>
      <c r="R492" s="35">
        <v>2.0</v>
      </c>
      <c r="S492" s="35">
        <v>2.0</v>
      </c>
      <c r="T492" s="35">
        <v>2.0</v>
      </c>
      <c r="U492" s="34"/>
      <c r="V492" s="34"/>
      <c r="W492" s="34"/>
      <c r="X492" s="34"/>
      <c r="Y492" s="34"/>
      <c r="Z492" s="34"/>
      <c r="AA492" s="25"/>
      <c r="AB492" s="25"/>
      <c r="AC492" s="25"/>
      <c r="AD492" s="25"/>
      <c r="AE492" s="25"/>
      <c r="AF492" s="25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25"/>
      <c r="AU492" s="34"/>
      <c r="AV492" s="34"/>
      <c r="AW492" s="34"/>
    </row>
    <row r="493" ht="15.0" customHeight="1">
      <c r="A493" s="32" t="s">
        <v>518</v>
      </c>
      <c r="B493" s="25"/>
      <c r="C493" s="25"/>
      <c r="D493" s="25"/>
      <c r="E493" s="25"/>
      <c r="F493" s="25"/>
      <c r="G493" s="35">
        <v>0.0</v>
      </c>
      <c r="H493" s="35">
        <v>1.0</v>
      </c>
      <c r="I493" s="25"/>
      <c r="J493" s="25"/>
      <c r="K493" s="25"/>
      <c r="L493" s="35"/>
      <c r="M493" s="35"/>
      <c r="N493" s="25"/>
      <c r="O493" s="25"/>
      <c r="P493" s="25"/>
      <c r="Q493" s="35">
        <v>2.0</v>
      </c>
      <c r="R493" s="35">
        <v>2.0</v>
      </c>
      <c r="S493" s="35">
        <v>2.0</v>
      </c>
      <c r="T493" s="35">
        <v>2.0</v>
      </c>
      <c r="U493" s="34"/>
      <c r="V493" s="34"/>
      <c r="W493" s="34"/>
      <c r="X493" s="34"/>
      <c r="Y493" s="34"/>
      <c r="Z493" s="34"/>
      <c r="AA493" s="25"/>
      <c r="AB493" s="25"/>
      <c r="AC493" s="25"/>
      <c r="AD493" s="25"/>
      <c r="AE493" s="25"/>
      <c r="AF493" s="25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25"/>
      <c r="AU493" s="34"/>
      <c r="AV493" s="34"/>
      <c r="AW493" s="34"/>
    </row>
    <row r="494" ht="15.0" customHeight="1">
      <c r="A494" s="32" t="s">
        <v>519</v>
      </c>
      <c r="B494" s="25"/>
      <c r="C494" s="25"/>
      <c r="D494" s="25"/>
      <c r="E494" s="25"/>
      <c r="F494" s="25"/>
      <c r="G494" s="35">
        <v>0.0</v>
      </c>
      <c r="H494" s="35">
        <v>1.0</v>
      </c>
      <c r="I494" s="25"/>
      <c r="J494" s="25"/>
      <c r="K494" s="25"/>
      <c r="L494" s="35"/>
      <c r="M494" s="35"/>
      <c r="N494" s="25"/>
      <c r="O494" s="25"/>
      <c r="P494" s="25"/>
      <c r="Q494" s="35">
        <v>2.0</v>
      </c>
      <c r="R494" s="35">
        <v>2.0</v>
      </c>
      <c r="S494" s="35">
        <v>2.0</v>
      </c>
      <c r="T494" s="35">
        <v>2.0</v>
      </c>
      <c r="U494" s="34"/>
      <c r="V494" s="34"/>
      <c r="W494" s="34"/>
      <c r="X494" s="34"/>
      <c r="Y494" s="34"/>
      <c r="Z494" s="34"/>
      <c r="AA494" s="25"/>
      <c r="AB494" s="25"/>
      <c r="AC494" s="25"/>
      <c r="AD494" s="25"/>
      <c r="AE494" s="25"/>
      <c r="AF494" s="25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25"/>
      <c r="AU494" s="34"/>
      <c r="AV494" s="34"/>
      <c r="AW494" s="34"/>
    </row>
    <row r="495" ht="15.0" customHeight="1">
      <c r="A495" s="32" t="s">
        <v>520</v>
      </c>
      <c r="B495" s="25"/>
      <c r="C495" s="25"/>
      <c r="D495" s="25"/>
      <c r="E495" s="25"/>
      <c r="F495" s="25"/>
      <c r="G495" s="35">
        <v>0.0</v>
      </c>
      <c r="H495" s="35">
        <v>1.0</v>
      </c>
      <c r="I495" s="25"/>
      <c r="J495" s="25"/>
      <c r="K495" s="25"/>
      <c r="L495" s="35"/>
      <c r="M495" s="35"/>
      <c r="N495" s="25"/>
      <c r="O495" s="25"/>
      <c r="P495" s="25"/>
      <c r="Q495" s="35">
        <v>2.0</v>
      </c>
      <c r="R495" s="35">
        <v>2.0</v>
      </c>
      <c r="S495" s="35">
        <v>2.0</v>
      </c>
      <c r="T495" s="35">
        <v>2.0</v>
      </c>
      <c r="U495" s="34"/>
      <c r="V495" s="34"/>
      <c r="W495" s="34"/>
      <c r="X495" s="34"/>
      <c r="Y495" s="34"/>
      <c r="Z495" s="34"/>
      <c r="AA495" s="25"/>
      <c r="AB495" s="25"/>
      <c r="AC495" s="25"/>
      <c r="AD495" s="25"/>
      <c r="AE495" s="25"/>
      <c r="AF495" s="25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25"/>
      <c r="AU495" s="34"/>
      <c r="AV495" s="34"/>
      <c r="AW495" s="34"/>
    </row>
    <row r="496" ht="15.0" customHeight="1">
      <c r="A496" s="32" t="s">
        <v>521</v>
      </c>
      <c r="B496" s="25"/>
      <c r="C496" s="25"/>
      <c r="D496" s="25"/>
      <c r="E496" s="25"/>
      <c r="F496" s="25"/>
      <c r="G496" s="35">
        <v>0.0</v>
      </c>
      <c r="H496" s="35">
        <v>1.0</v>
      </c>
      <c r="I496" s="25"/>
      <c r="J496" s="25"/>
      <c r="K496" s="25"/>
      <c r="L496" s="35"/>
      <c r="M496" s="35"/>
      <c r="N496" s="25"/>
      <c r="O496" s="25"/>
      <c r="P496" s="25"/>
      <c r="Q496" s="35">
        <v>2.0</v>
      </c>
      <c r="R496" s="35">
        <v>2.0</v>
      </c>
      <c r="S496" s="35">
        <v>2.0</v>
      </c>
      <c r="T496" s="35">
        <v>2.0</v>
      </c>
      <c r="U496" s="34"/>
      <c r="V496" s="34"/>
      <c r="W496" s="34"/>
      <c r="X496" s="34"/>
      <c r="Y496" s="34"/>
      <c r="Z496" s="34"/>
      <c r="AA496" s="25"/>
      <c r="AB496" s="25"/>
      <c r="AC496" s="25"/>
      <c r="AD496" s="25"/>
      <c r="AE496" s="25"/>
      <c r="AF496" s="25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25"/>
      <c r="AU496" s="34"/>
      <c r="AV496" s="34"/>
      <c r="AW496" s="34"/>
    </row>
    <row r="497" ht="15.0" customHeight="1">
      <c r="A497" s="32" t="s">
        <v>522</v>
      </c>
      <c r="B497" s="25"/>
      <c r="C497" s="25"/>
      <c r="D497" s="25"/>
      <c r="E497" s="25"/>
      <c r="F497" s="25"/>
      <c r="G497" s="35">
        <v>0.0</v>
      </c>
      <c r="H497" s="35">
        <v>1.0</v>
      </c>
      <c r="I497" s="25"/>
      <c r="J497" s="25"/>
      <c r="K497" s="25"/>
      <c r="L497" s="35"/>
      <c r="M497" s="35"/>
      <c r="N497" s="25"/>
      <c r="O497" s="25"/>
      <c r="P497" s="25"/>
      <c r="Q497" s="35">
        <v>2.0</v>
      </c>
      <c r="R497" s="35">
        <v>2.0</v>
      </c>
      <c r="S497" s="35">
        <v>2.0</v>
      </c>
      <c r="T497" s="35">
        <v>2.0</v>
      </c>
      <c r="U497" s="34"/>
      <c r="V497" s="34"/>
      <c r="W497" s="34"/>
      <c r="X497" s="34"/>
      <c r="Y497" s="34"/>
      <c r="Z497" s="34"/>
      <c r="AA497" s="25"/>
      <c r="AB497" s="25"/>
      <c r="AC497" s="25"/>
      <c r="AD497" s="25"/>
      <c r="AE497" s="25"/>
      <c r="AF497" s="25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25"/>
      <c r="AU497" s="34"/>
      <c r="AV497" s="34"/>
      <c r="AW497" s="34"/>
    </row>
    <row r="498" ht="15.0" customHeight="1">
      <c r="A498" s="32" t="s">
        <v>523</v>
      </c>
      <c r="B498" s="25"/>
      <c r="C498" s="25"/>
      <c r="D498" s="25"/>
      <c r="E498" s="25"/>
      <c r="F498" s="25"/>
      <c r="G498" s="35">
        <v>0.0</v>
      </c>
      <c r="H498" s="35">
        <v>1.0</v>
      </c>
      <c r="I498" s="25"/>
      <c r="J498" s="25"/>
      <c r="K498" s="25"/>
      <c r="L498" s="35"/>
      <c r="M498" s="35"/>
      <c r="N498" s="25"/>
      <c r="O498" s="25"/>
      <c r="P498" s="25"/>
      <c r="Q498" s="35">
        <v>2.0</v>
      </c>
      <c r="R498" s="35">
        <v>2.0</v>
      </c>
      <c r="S498" s="35">
        <v>2.0</v>
      </c>
      <c r="T498" s="35">
        <v>2.0</v>
      </c>
      <c r="U498" s="34"/>
      <c r="V498" s="34"/>
      <c r="W498" s="34"/>
      <c r="X498" s="34"/>
      <c r="Y498" s="34"/>
      <c r="Z498" s="34"/>
      <c r="AA498" s="25"/>
      <c r="AB498" s="25"/>
      <c r="AC498" s="25"/>
      <c r="AD498" s="25"/>
      <c r="AE498" s="25"/>
      <c r="AF498" s="25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25"/>
      <c r="AU498" s="34"/>
      <c r="AV498" s="34"/>
      <c r="AW498" s="34"/>
    </row>
    <row r="499" ht="15.0" customHeight="1">
      <c r="A499" s="32" t="s">
        <v>524</v>
      </c>
      <c r="B499" s="25"/>
      <c r="C499" s="25"/>
      <c r="D499" s="25"/>
      <c r="E499" s="25"/>
      <c r="F499" s="25"/>
      <c r="G499" s="35">
        <v>0.0</v>
      </c>
      <c r="H499" s="35">
        <v>1.0</v>
      </c>
      <c r="I499" s="25"/>
      <c r="J499" s="25"/>
      <c r="K499" s="25"/>
      <c r="L499" s="35"/>
      <c r="M499" s="35"/>
      <c r="N499" s="25"/>
      <c r="O499" s="25"/>
      <c r="P499" s="25"/>
      <c r="Q499" s="35">
        <v>2.0</v>
      </c>
      <c r="R499" s="35">
        <v>2.0</v>
      </c>
      <c r="S499" s="35">
        <v>2.0</v>
      </c>
      <c r="T499" s="35">
        <v>2.0</v>
      </c>
      <c r="U499" s="34"/>
      <c r="V499" s="34"/>
      <c r="W499" s="34"/>
      <c r="X499" s="34"/>
      <c r="Y499" s="34"/>
      <c r="Z499" s="34"/>
      <c r="AA499" s="25"/>
      <c r="AB499" s="25"/>
      <c r="AC499" s="25"/>
      <c r="AD499" s="25"/>
      <c r="AE499" s="25"/>
      <c r="AF499" s="25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25"/>
      <c r="AU499" s="34"/>
      <c r="AV499" s="34"/>
      <c r="AW499" s="34"/>
    </row>
    <row r="500" ht="15.0" customHeight="1">
      <c r="A500" s="32" t="s">
        <v>525</v>
      </c>
      <c r="B500" s="25"/>
      <c r="C500" s="25"/>
      <c r="D500" s="25"/>
      <c r="E500" s="25"/>
      <c r="F500" s="25"/>
      <c r="G500" s="35">
        <v>0.0</v>
      </c>
      <c r="H500" s="35">
        <v>1.0</v>
      </c>
      <c r="I500" s="25"/>
      <c r="J500" s="25"/>
      <c r="K500" s="25"/>
      <c r="L500" s="35"/>
      <c r="M500" s="35"/>
      <c r="N500" s="25"/>
      <c r="O500" s="25"/>
      <c r="P500" s="25"/>
      <c r="Q500" s="35">
        <v>2.0</v>
      </c>
      <c r="R500" s="35">
        <v>2.0</v>
      </c>
      <c r="S500" s="35">
        <v>2.0</v>
      </c>
      <c r="T500" s="35">
        <v>2.0</v>
      </c>
      <c r="U500" s="34"/>
      <c r="V500" s="34"/>
      <c r="W500" s="34"/>
      <c r="X500" s="34"/>
      <c r="Y500" s="34"/>
      <c r="Z500" s="34"/>
      <c r="AA500" s="25"/>
      <c r="AB500" s="25"/>
      <c r="AC500" s="25"/>
      <c r="AD500" s="25"/>
      <c r="AE500" s="25"/>
      <c r="AF500" s="25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25"/>
      <c r="AU500" s="34"/>
      <c r="AV500" s="34"/>
      <c r="AW500" s="34"/>
    </row>
    <row r="501" ht="15.0" customHeight="1">
      <c r="A501" s="32" t="s">
        <v>526</v>
      </c>
      <c r="B501" s="25"/>
      <c r="C501" s="25"/>
      <c r="D501" s="25"/>
      <c r="E501" s="25"/>
      <c r="F501" s="25"/>
      <c r="G501" s="35">
        <v>0.0</v>
      </c>
      <c r="H501" s="35">
        <v>1.0</v>
      </c>
      <c r="I501" s="25"/>
      <c r="J501" s="25"/>
      <c r="K501" s="25"/>
      <c r="L501" s="35"/>
      <c r="M501" s="35"/>
      <c r="N501" s="25"/>
      <c r="O501" s="25"/>
      <c r="P501" s="25"/>
      <c r="Q501" s="35">
        <v>2.0</v>
      </c>
      <c r="R501" s="35">
        <v>2.0</v>
      </c>
      <c r="S501" s="35">
        <v>2.0</v>
      </c>
      <c r="T501" s="35">
        <v>2.0</v>
      </c>
      <c r="U501" s="34"/>
      <c r="V501" s="34"/>
      <c r="W501" s="34"/>
      <c r="X501" s="34"/>
      <c r="Y501" s="34"/>
      <c r="Z501" s="34"/>
      <c r="AA501" s="25"/>
      <c r="AB501" s="25"/>
      <c r="AC501" s="25"/>
      <c r="AD501" s="25"/>
      <c r="AE501" s="25"/>
      <c r="AF501" s="25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25"/>
      <c r="AU501" s="34"/>
      <c r="AV501" s="34"/>
      <c r="AW501" s="34"/>
    </row>
    <row r="502" ht="15.0" customHeight="1">
      <c r="A502" s="32" t="s">
        <v>527</v>
      </c>
      <c r="B502" s="25"/>
      <c r="C502" s="25"/>
      <c r="D502" s="25"/>
      <c r="E502" s="25"/>
      <c r="F502" s="25"/>
      <c r="G502" s="35">
        <v>0.0</v>
      </c>
      <c r="H502" s="35">
        <v>1.0</v>
      </c>
      <c r="I502" s="25"/>
      <c r="J502" s="25"/>
      <c r="K502" s="25"/>
      <c r="L502" s="35"/>
      <c r="M502" s="35"/>
      <c r="N502" s="25"/>
      <c r="O502" s="25"/>
      <c r="P502" s="25"/>
      <c r="Q502" s="35">
        <v>2.0</v>
      </c>
      <c r="R502" s="35">
        <v>2.0</v>
      </c>
      <c r="S502" s="35">
        <v>2.0</v>
      </c>
      <c r="T502" s="35">
        <v>2.0</v>
      </c>
      <c r="U502" s="34"/>
      <c r="V502" s="34"/>
      <c r="W502" s="34"/>
      <c r="X502" s="34"/>
      <c r="Y502" s="34"/>
      <c r="Z502" s="34"/>
      <c r="AA502" s="25"/>
      <c r="AB502" s="25"/>
      <c r="AC502" s="25"/>
      <c r="AD502" s="25"/>
      <c r="AE502" s="25"/>
      <c r="AF502" s="25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25"/>
      <c r="AU502" s="34"/>
      <c r="AV502" s="34"/>
      <c r="AW502" s="34"/>
    </row>
    <row r="503" ht="15.0" customHeight="1">
      <c r="A503" s="32" t="s">
        <v>528</v>
      </c>
      <c r="B503" s="25"/>
      <c r="C503" s="25"/>
      <c r="D503" s="25"/>
      <c r="E503" s="25"/>
      <c r="F503" s="25"/>
      <c r="G503" s="35">
        <v>0.0</v>
      </c>
      <c r="H503" s="35">
        <v>1.0</v>
      </c>
      <c r="I503" s="25"/>
      <c r="J503" s="25"/>
      <c r="K503" s="25"/>
      <c r="L503" s="35"/>
      <c r="M503" s="35"/>
      <c r="N503" s="25"/>
      <c r="O503" s="25"/>
      <c r="P503" s="25"/>
      <c r="Q503" s="35">
        <v>2.0</v>
      </c>
      <c r="R503" s="35">
        <v>2.0</v>
      </c>
      <c r="S503" s="35">
        <v>2.0</v>
      </c>
      <c r="T503" s="35">
        <v>2.0</v>
      </c>
      <c r="U503" s="34"/>
      <c r="V503" s="34"/>
      <c r="W503" s="34"/>
      <c r="X503" s="34"/>
      <c r="Y503" s="34"/>
      <c r="Z503" s="34"/>
      <c r="AA503" s="25"/>
      <c r="AB503" s="25"/>
      <c r="AC503" s="25"/>
      <c r="AD503" s="25"/>
      <c r="AE503" s="25"/>
      <c r="AF503" s="25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25"/>
      <c r="AU503" s="34"/>
      <c r="AV503" s="34"/>
      <c r="AW503" s="34"/>
    </row>
    <row r="504" ht="15.0" customHeight="1">
      <c r="A504" s="32" t="s">
        <v>529</v>
      </c>
      <c r="B504" s="25"/>
      <c r="C504" s="25"/>
      <c r="D504" s="25"/>
      <c r="E504" s="25"/>
      <c r="F504" s="25"/>
      <c r="G504" s="35">
        <v>0.0</v>
      </c>
      <c r="H504" s="35">
        <v>1.0</v>
      </c>
      <c r="I504" s="25"/>
      <c r="J504" s="25"/>
      <c r="K504" s="25"/>
      <c r="L504" s="35"/>
      <c r="M504" s="35"/>
      <c r="N504" s="25"/>
      <c r="O504" s="25"/>
      <c r="P504" s="25"/>
      <c r="Q504" s="35">
        <v>2.0</v>
      </c>
      <c r="R504" s="35">
        <v>2.0</v>
      </c>
      <c r="S504" s="35">
        <v>2.0</v>
      </c>
      <c r="T504" s="35">
        <v>2.0</v>
      </c>
      <c r="U504" s="34"/>
      <c r="V504" s="34"/>
      <c r="W504" s="34"/>
      <c r="X504" s="34"/>
      <c r="Y504" s="34"/>
      <c r="Z504" s="34"/>
      <c r="AA504" s="25"/>
      <c r="AB504" s="25"/>
      <c r="AC504" s="25"/>
      <c r="AD504" s="25"/>
      <c r="AE504" s="25"/>
      <c r="AF504" s="25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25"/>
      <c r="AU504" s="34"/>
      <c r="AV504" s="34"/>
      <c r="AW504" s="34"/>
    </row>
    <row r="505" ht="15.0" customHeight="1">
      <c r="A505" s="32" t="s">
        <v>530</v>
      </c>
      <c r="B505" s="25"/>
      <c r="C505" s="25"/>
      <c r="D505" s="25"/>
      <c r="E505" s="25"/>
      <c r="F505" s="25"/>
      <c r="G505" s="35">
        <v>0.0</v>
      </c>
      <c r="H505" s="35">
        <v>1.0</v>
      </c>
      <c r="I505" s="25"/>
      <c r="J505" s="25"/>
      <c r="K505" s="25"/>
      <c r="L505" s="35"/>
      <c r="M505" s="35"/>
      <c r="N505" s="25"/>
      <c r="O505" s="25"/>
      <c r="P505" s="25"/>
      <c r="Q505" s="35">
        <v>2.0</v>
      </c>
      <c r="R505" s="35">
        <v>2.0</v>
      </c>
      <c r="S505" s="35">
        <v>2.0</v>
      </c>
      <c r="T505" s="35">
        <v>2.0</v>
      </c>
      <c r="U505" s="34"/>
      <c r="V505" s="34"/>
      <c r="W505" s="34"/>
      <c r="X505" s="34"/>
      <c r="Y505" s="34"/>
      <c r="Z505" s="34"/>
      <c r="AA505" s="25"/>
      <c r="AB505" s="25"/>
      <c r="AC505" s="25"/>
      <c r="AD505" s="25"/>
      <c r="AE505" s="25"/>
      <c r="AF505" s="25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25"/>
      <c r="AU505" s="34"/>
      <c r="AV505" s="34"/>
      <c r="AW505" s="34"/>
    </row>
    <row r="506" ht="15.0" customHeight="1">
      <c r="A506" s="32" t="s">
        <v>531</v>
      </c>
      <c r="B506" s="25"/>
      <c r="C506" s="25"/>
      <c r="D506" s="25"/>
      <c r="E506" s="25"/>
      <c r="F506" s="25"/>
      <c r="G506" s="35">
        <v>0.0</v>
      </c>
      <c r="H506" s="35">
        <v>1.0</v>
      </c>
      <c r="I506" s="25"/>
      <c r="J506" s="25"/>
      <c r="K506" s="25"/>
      <c r="L506" s="35"/>
      <c r="M506" s="35"/>
      <c r="N506" s="25"/>
      <c r="O506" s="25"/>
      <c r="P506" s="25"/>
      <c r="Q506" s="35">
        <v>2.0</v>
      </c>
      <c r="R506" s="35">
        <v>2.0</v>
      </c>
      <c r="S506" s="35">
        <v>2.0</v>
      </c>
      <c r="T506" s="35">
        <v>2.0</v>
      </c>
      <c r="U506" s="34"/>
      <c r="V506" s="34"/>
      <c r="W506" s="34"/>
      <c r="X506" s="34"/>
      <c r="Y506" s="34"/>
      <c r="Z506" s="34"/>
      <c r="AA506" s="25"/>
      <c r="AB506" s="25"/>
      <c r="AC506" s="25"/>
      <c r="AD506" s="25"/>
      <c r="AE506" s="25"/>
      <c r="AF506" s="25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25"/>
      <c r="AU506" s="34"/>
      <c r="AV506" s="34"/>
      <c r="AW506" s="34"/>
    </row>
    <row r="507" ht="15.0" customHeight="1">
      <c r="A507" s="32" t="s">
        <v>532</v>
      </c>
      <c r="B507" s="25"/>
      <c r="C507" s="25"/>
      <c r="D507" s="25"/>
      <c r="E507" s="25"/>
      <c r="F507" s="25"/>
      <c r="G507" s="35">
        <v>0.0</v>
      </c>
      <c r="H507" s="35">
        <v>1.0</v>
      </c>
      <c r="I507" s="25"/>
      <c r="J507" s="25"/>
      <c r="K507" s="25"/>
      <c r="L507" s="35"/>
      <c r="M507" s="35"/>
      <c r="N507" s="25"/>
      <c r="O507" s="25"/>
      <c r="P507" s="25"/>
      <c r="Q507" s="35">
        <v>2.0</v>
      </c>
      <c r="R507" s="35">
        <v>2.0</v>
      </c>
      <c r="S507" s="35">
        <v>2.0</v>
      </c>
      <c r="T507" s="35">
        <v>2.0</v>
      </c>
      <c r="U507" s="34"/>
      <c r="V507" s="34"/>
      <c r="W507" s="34"/>
      <c r="X507" s="34"/>
      <c r="Y507" s="34"/>
      <c r="Z507" s="34"/>
      <c r="AA507" s="25"/>
      <c r="AB507" s="25"/>
      <c r="AC507" s="25"/>
      <c r="AD507" s="25"/>
      <c r="AE507" s="25"/>
      <c r="AF507" s="25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25"/>
      <c r="AU507" s="34"/>
      <c r="AV507" s="34"/>
      <c r="AW507" s="34"/>
    </row>
    <row r="508" ht="15.0" customHeight="1">
      <c r="A508" s="32" t="s">
        <v>533</v>
      </c>
      <c r="B508" s="25"/>
      <c r="C508" s="25"/>
      <c r="D508" s="25"/>
      <c r="E508" s="25"/>
      <c r="F508" s="25"/>
      <c r="G508" s="35">
        <v>0.0</v>
      </c>
      <c r="H508" s="35">
        <v>1.0</v>
      </c>
      <c r="I508" s="25"/>
      <c r="J508" s="25"/>
      <c r="K508" s="25"/>
      <c r="L508" s="35"/>
      <c r="M508" s="35"/>
      <c r="N508" s="25"/>
      <c r="O508" s="25"/>
      <c r="P508" s="25"/>
      <c r="Q508" s="35">
        <v>2.0</v>
      </c>
      <c r="R508" s="35">
        <v>2.0</v>
      </c>
      <c r="S508" s="35">
        <v>2.0</v>
      </c>
      <c r="T508" s="35">
        <v>2.0</v>
      </c>
      <c r="U508" s="34"/>
      <c r="V508" s="34"/>
      <c r="W508" s="34"/>
      <c r="X508" s="34"/>
      <c r="Y508" s="34"/>
      <c r="Z508" s="34"/>
      <c r="AA508" s="25"/>
      <c r="AB508" s="25"/>
      <c r="AC508" s="25"/>
      <c r="AD508" s="25"/>
      <c r="AE508" s="25"/>
      <c r="AF508" s="25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25"/>
      <c r="AU508" s="34"/>
      <c r="AV508" s="34"/>
      <c r="AW508" s="34"/>
    </row>
    <row r="509" ht="15.0" customHeight="1">
      <c r="A509" s="32" t="s">
        <v>534</v>
      </c>
      <c r="B509" s="25"/>
      <c r="C509" s="25"/>
      <c r="D509" s="25"/>
      <c r="E509" s="25"/>
      <c r="F509" s="25"/>
      <c r="G509" s="35">
        <v>0.0</v>
      </c>
      <c r="H509" s="35">
        <v>1.0</v>
      </c>
      <c r="I509" s="25"/>
      <c r="J509" s="25"/>
      <c r="K509" s="25"/>
      <c r="L509" s="35"/>
      <c r="M509" s="35"/>
      <c r="N509" s="25"/>
      <c r="O509" s="25"/>
      <c r="P509" s="25"/>
      <c r="Q509" s="35">
        <v>2.0</v>
      </c>
      <c r="R509" s="35">
        <v>2.0</v>
      </c>
      <c r="S509" s="35">
        <v>2.0</v>
      </c>
      <c r="T509" s="35">
        <v>2.0</v>
      </c>
      <c r="U509" s="34"/>
      <c r="V509" s="34"/>
      <c r="W509" s="34"/>
      <c r="X509" s="34"/>
      <c r="Y509" s="34"/>
      <c r="Z509" s="34"/>
      <c r="AA509" s="25"/>
      <c r="AB509" s="25"/>
      <c r="AC509" s="25"/>
      <c r="AD509" s="25"/>
      <c r="AE509" s="25"/>
      <c r="AF509" s="25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25"/>
      <c r="AU509" s="34"/>
      <c r="AV509" s="34"/>
      <c r="AW509" s="34"/>
    </row>
    <row r="510" ht="15.0" customHeight="1">
      <c r="A510" s="32" t="s">
        <v>535</v>
      </c>
      <c r="B510" s="25"/>
      <c r="C510" s="25"/>
      <c r="D510" s="25"/>
      <c r="E510" s="25"/>
      <c r="F510" s="25"/>
      <c r="G510" s="35">
        <v>0.0</v>
      </c>
      <c r="H510" s="35">
        <v>1.0</v>
      </c>
      <c r="I510" s="25"/>
      <c r="J510" s="25"/>
      <c r="K510" s="25"/>
      <c r="L510" s="35"/>
      <c r="M510" s="35"/>
      <c r="N510" s="25"/>
      <c r="O510" s="25"/>
      <c r="P510" s="25"/>
      <c r="Q510" s="35">
        <v>2.0</v>
      </c>
      <c r="R510" s="35">
        <v>2.0</v>
      </c>
      <c r="S510" s="35">
        <v>2.0</v>
      </c>
      <c r="T510" s="35">
        <v>2.0</v>
      </c>
      <c r="U510" s="34"/>
      <c r="V510" s="34"/>
      <c r="W510" s="34"/>
      <c r="X510" s="34"/>
      <c r="Y510" s="34"/>
      <c r="Z510" s="34"/>
      <c r="AA510" s="25"/>
      <c r="AB510" s="25"/>
      <c r="AC510" s="25"/>
      <c r="AD510" s="25"/>
      <c r="AE510" s="25"/>
      <c r="AF510" s="25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25"/>
      <c r="AU510" s="34"/>
      <c r="AV510" s="34"/>
      <c r="AW510" s="34"/>
    </row>
    <row r="511" ht="15.0" customHeight="1">
      <c r="A511" s="32" t="s">
        <v>536</v>
      </c>
      <c r="B511" s="25"/>
      <c r="C511" s="25"/>
      <c r="D511" s="25"/>
      <c r="E511" s="25"/>
      <c r="F511" s="25"/>
      <c r="G511" s="35">
        <v>0.0</v>
      </c>
      <c r="H511" s="35">
        <v>1.0</v>
      </c>
      <c r="I511" s="25"/>
      <c r="J511" s="25"/>
      <c r="K511" s="25"/>
      <c r="L511" s="35"/>
      <c r="M511" s="35"/>
      <c r="N511" s="25"/>
      <c r="O511" s="25"/>
      <c r="P511" s="25"/>
      <c r="Q511" s="35">
        <v>2.0</v>
      </c>
      <c r="R511" s="35">
        <v>2.0</v>
      </c>
      <c r="S511" s="35">
        <v>2.0</v>
      </c>
      <c r="T511" s="35">
        <v>2.0</v>
      </c>
      <c r="U511" s="34"/>
      <c r="V511" s="34"/>
      <c r="W511" s="34"/>
      <c r="X511" s="34"/>
      <c r="Y511" s="34"/>
      <c r="Z511" s="34"/>
      <c r="AA511" s="25"/>
      <c r="AB511" s="25"/>
      <c r="AC511" s="25"/>
      <c r="AD511" s="25"/>
      <c r="AE511" s="25"/>
      <c r="AF511" s="25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25"/>
      <c r="AU511" s="34"/>
      <c r="AV511" s="34"/>
      <c r="AW511" s="34"/>
    </row>
    <row r="512" ht="15.0" customHeight="1">
      <c r="A512" s="32" t="s">
        <v>537</v>
      </c>
      <c r="B512" s="25"/>
      <c r="C512" s="25"/>
      <c r="D512" s="25"/>
      <c r="E512" s="25"/>
      <c r="F512" s="25"/>
      <c r="G512" s="35">
        <v>0.0</v>
      </c>
      <c r="H512" s="35">
        <v>1.0</v>
      </c>
      <c r="I512" s="25"/>
      <c r="J512" s="25"/>
      <c r="K512" s="25"/>
      <c r="L512" s="35"/>
      <c r="M512" s="35"/>
      <c r="N512" s="25"/>
      <c r="O512" s="25"/>
      <c r="P512" s="25"/>
      <c r="Q512" s="35">
        <v>2.0</v>
      </c>
      <c r="R512" s="35">
        <v>2.0</v>
      </c>
      <c r="S512" s="35">
        <v>2.0</v>
      </c>
      <c r="T512" s="35">
        <v>2.0</v>
      </c>
      <c r="U512" s="34"/>
      <c r="V512" s="34"/>
      <c r="W512" s="34"/>
      <c r="X512" s="34"/>
      <c r="Y512" s="34"/>
      <c r="Z512" s="34"/>
      <c r="AA512" s="25"/>
      <c r="AB512" s="25"/>
      <c r="AC512" s="25"/>
      <c r="AD512" s="25"/>
      <c r="AE512" s="25"/>
      <c r="AF512" s="25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25"/>
      <c r="AU512" s="34"/>
      <c r="AV512" s="34"/>
      <c r="AW512" s="34"/>
    </row>
    <row r="513" ht="15.0" customHeight="1">
      <c r="A513" s="32" t="s">
        <v>538</v>
      </c>
      <c r="B513" s="25"/>
      <c r="C513" s="25"/>
      <c r="D513" s="25"/>
      <c r="E513" s="25"/>
      <c r="F513" s="25"/>
      <c r="G513" s="35">
        <v>0.0</v>
      </c>
      <c r="H513" s="35">
        <v>1.0</v>
      </c>
      <c r="I513" s="25"/>
      <c r="J513" s="25"/>
      <c r="K513" s="25"/>
      <c r="L513" s="35"/>
      <c r="M513" s="35"/>
      <c r="N513" s="25"/>
      <c r="O513" s="25"/>
      <c r="P513" s="25"/>
      <c r="Q513" s="35">
        <v>2.0</v>
      </c>
      <c r="R513" s="35">
        <v>2.0</v>
      </c>
      <c r="S513" s="35">
        <v>2.0</v>
      </c>
      <c r="T513" s="35">
        <v>2.0</v>
      </c>
      <c r="U513" s="34"/>
      <c r="V513" s="34"/>
      <c r="W513" s="34"/>
      <c r="X513" s="34"/>
      <c r="Y513" s="34"/>
      <c r="Z513" s="34"/>
      <c r="AA513" s="25"/>
      <c r="AB513" s="25"/>
      <c r="AC513" s="25"/>
      <c r="AD513" s="25"/>
      <c r="AE513" s="25"/>
      <c r="AF513" s="25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25"/>
      <c r="AU513" s="34"/>
      <c r="AV513" s="34"/>
      <c r="AW513" s="34"/>
    </row>
    <row r="514" ht="15.0" customHeight="1">
      <c r="A514" s="32" t="s">
        <v>539</v>
      </c>
      <c r="B514" s="25"/>
      <c r="C514" s="25"/>
      <c r="D514" s="25"/>
      <c r="E514" s="25"/>
      <c r="F514" s="25"/>
      <c r="G514" s="35">
        <v>0.0</v>
      </c>
      <c r="H514" s="35">
        <v>1.0</v>
      </c>
      <c r="I514" s="25"/>
      <c r="J514" s="25"/>
      <c r="K514" s="25"/>
      <c r="L514" s="35"/>
      <c r="M514" s="35"/>
      <c r="N514" s="25"/>
      <c r="O514" s="25"/>
      <c r="P514" s="25"/>
      <c r="Q514" s="35">
        <v>2.0</v>
      </c>
      <c r="R514" s="35">
        <v>2.0</v>
      </c>
      <c r="S514" s="35">
        <v>2.0</v>
      </c>
      <c r="T514" s="35">
        <v>2.0</v>
      </c>
      <c r="U514" s="34"/>
      <c r="V514" s="34"/>
      <c r="W514" s="34"/>
      <c r="X514" s="34"/>
      <c r="Y514" s="34"/>
      <c r="Z514" s="34"/>
      <c r="AA514" s="25"/>
      <c r="AB514" s="25"/>
      <c r="AC514" s="25"/>
      <c r="AD514" s="25"/>
      <c r="AE514" s="25"/>
      <c r="AF514" s="25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25"/>
      <c r="AU514" s="34"/>
      <c r="AV514" s="34"/>
      <c r="AW514" s="34"/>
    </row>
    <row r="515" ht="15.0" customHeight="1">
      <c r="A515" s="32" t="s">
        <v>540</v>
      </c>
      <c r="B515" s="25"/>
      <c r="C515" s="25"/>
      <c r="D515" s="25"/>
      <c r="E515" s="25"/>
      <c r="F515" s="25"/>
      <c r="G515" s="35">
        <v>0.0</v>
      </c>
      <c r="H515" s="35">
        <v>1.0</v>
      </c>
      <c r="I515" s="25"/>
      <c r="J515" s="25"/>
      <c r="K515" s="25"/>
      <c r="L515" s="35"/>
      <c r="M515" s="35"/>
      <c r="N515" s="25"/>
      <c r="O515" s="25"/>
      <c r="P515" s="25"/>
      <c r="Q515" s="35">
        <v>2.0</v>
      </c>
      <c r="R515" s="35">
        <v>2.0</v>
      </c>
      <c r="S515" s="35">
        <v>2.0</v>
      </c>
      <c r="T515" s="35">
        <v>2.0</v>
      </c>
      <c r="U515" s="34"/>
      <c r="V515" s="34"/>
      <c r="W515" s="34"/>
      <c r="X515" s="34"/>
      <c r="Y515" s="34"/>
      <c r="Z515" s="34"/>
      <c r="AA515" s="25"/>
      <c r="AB515" s="25"/>
      <c r="AC515" s="25"/>
      <c r="AD515" s="25"/>
      <c r="AE515" s="25"/>
      <c r="AF515" s="25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25"/>
      <c r="AU515" s="34"/>
      <c r="AV515" s="34"/>
      <c r="AW515" s="34"/>
    </row>
    <row r="516" ht="15.0" customHeight="1">
      <c r="A516" s="32" t="s">
        <v>541</v>
      </c>
      <c r="B516" s="25"/>
      <c r="C516" s="25"/>
      <c r="D516" s="25"/>
      <c r="E516" s="25"/>
      <c r="F516" s="25"/>
      <c r="G516" s="35">
        <v>0.0</v>
      </c>
      <c r="H516" s="35">
        <v>1.0</v>
      </c>
      <c r="I516" s="25"/>
      <c r="J516" s="25"/>
      <c r="K516" s="25"/>
      <c r="L516" s="35"/>
      <c r="M516" s="35"/>
      <c r="N516" s="25"/>
      <c r="O516" s="25"/>
      <c r="P516" s="25"/>
      <c r="Q516" s="35">
        <v>2.0</v>
      </c>
      <c r="R516" s="35">
        <v>2.0</v>
      </c>
      <c r="S516" s="35">
        <v>2.0</v>
      </c>
      <c r="T516" s="35">
        <v>2.0</v>
      </c>
      <c r="U516" s="34"/>
      <c r="V516" s="34"/>
      <c r="W516" s="34"/>
      <c r="X516" s="34"/>
      <c r="Y516" s="34"/>
      <c r="Z516" s="34"/>
      <c r="AA516" s="25"/>
      <c r="AB516" s="25"/>
      <c r="AC516" s="25"/>
      <c r="AD516" s="25"/>
      <c r="AE516" s="25"/>
      <c r="AF516" s="25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25"/>
      <c r="AU516" s="34"/>
      <c r="AV516" s="34"/>
      <c r="AW516" s="34"/>
    </row>
    <row r="517" ht="15.0" customHeight="1">
      <c r="A517" s="32" t="s">
        <v>542</v>
      </c>
      <c r="B517" s="25"/>
      <c r="C517" s="25"/>
      <c r="D517" s="25"/>
      <c r="E517" s="25"/>
      <c r="F517" s="25"/>
      <c r="G517" s="35">
        <v>0.0</v>
      </c>
      <c r="H517" s="35">
        <v>1.0</v>
      </c>
      <c r="I517" s="25"/>
      <c r="J517" s="25"/>
      <c r="K517" s="25"/>
      <c r="L517" s="35"/>
      <c r="M517" s="35"/>
      <c r="N517" s="25"/>
      <c r="O517" s="25"/>
      <c r="P517" s="25"/>
      <c r="Q517" s="35">
        <v>2.0</v>
      </c>
      <c r="R517" s="35">
        <v>2.0</v>
      </c>
      <c r="S517" s="35">
        <v>2.0</v>
      </c>
      <c r="T517" s="35">
        <v>2.0</v>
      </c>
      <c r="U517" s="34"/>
      <c r="V517" s="34"/>
      <c r="W517" s="34"/>
      <c r="X517" s="34"/>
      <c r="Y517" s="34"/>
      <c r="Z517" s="34"/>
      <c r="AA517" s="25"/>
      <c r="AB517" s="25"/>
      <c r="AC517" s="25"/>
      <c r="AD517" s="25"/>
      <c r="AE517" s="25"/>
      <c r="AF517" s="25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25"/>
      <c r="AU517" s="34"/>
      <c r="AV517" s="34"/>
      <c r="AW517" s="34"/>
    </row>
    <row r="518" ht="15.0" customHeight="1">
      <c r="A518" s="32" t="s">
        <v>543</v>
      </c>
      <c r="B518" s="25"/>
      <c r="C518" s="25"/>
      <c r="D518" s="25"/>
      <c r="E518" s="25"/>
      <c r="F518" s="25"/>
      <c r="G518" s="35">
        <v>0.0</v>
      </c>
      <c r="H518" s="35">
        <v>1.0</v>
      </c>
      <c r="I518" s="25"/>
      <c r="J518" s="25"/>
      <c r="K518" s="25"/>
      <c r="L518" s="35"/>
      <c r="M518" s="35"/>
      <c r="N518" s="25"/>
      <c r="O518" s="25"/>
      <c r="P518" s="25"/>
      <c r="Q518" s="35">
        <v>2.0</v>
      </c>
      <c r="R518" s="35">
        <v>2.0</v>
      </c>
      <c r="S518" s="35">
        <v>2.0</v>
      </c>
      <c r="T518" s="35">
        <v>2.0</v>
      </c>
      <c r="U518" s="34"/>
      <c r="V518" s="34"/>
      <c r="W518" s="34"/>
      <c r="X518" s="34"/>
      <c r="Y518" s="34"/>
      <c r="Z518" s="34"/>
      <c r="AA518" s="25"/>
      <c r="AB518" s="25"/>
      <c r="AC518" s="25"/>
      <c r="AD518" s="25"/>
      <c r="AE518" s="25"/>
      <c r="AF518" s="25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25"/>
      <c r="AU518" s="34"/>
      <c r="AV518" s="34"/>
      <c r="AW518" s="34"/>
    </row>
    <row r="519" ht="15.0" customHeight="1">
      <c r="A519" s="32" t="s">
        <v>544</v>
      </c>
      <c r="B519" s="25"/>
      <c r="C519" s="25"/>
      <c r="D519" s="25"/>
      <c r="E519" s="25"/>
      <c r="F519" s="25"/>
      <c r="G519" s="35">
        <v>0.0</v>
      </c>
      <c r="H519" s="35">
        <v>1.0</v>
      </c>
      <c r="I519" s="25"/>
      <c r="J519" s="25"/>
      <c r="K519" s="25"/>
      <c r="L519" s="35"/>
      <c r="M519" s="35"/>
      <c r="N519" s="25"/>
      <c r="O519" s="25"/>
      <c r="P519" s="25"/>
      <c r="Q519" s="35">
        <v>2.0</v>
      </c>
      <c r="R519" s="35">
        <v>2.0</v>
      </c>
      <c r="S519" s="35">
        <v>2.0</v>
      </c>
      <c r="T519" s="35">
        <v>2.0</v>
      </c>
      <c r="U519" s="34"/>
      <c r="V519" s="34"/>
      <c r="W519" s="34"/>
      <c r="X519" s="34"/>
      <c r="Y519" s="34"/>
      <c r="Z519" s="34"/>
      <c r="AA519" s="25"/>
      <c r="AB519" s="25"/>
      <c r="AC519" s="25"/>
      <c r="AD519" s="25"/>
      <c r="AE519" s="25"/>
      <c r="AF519" s="25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25"/>
      <c r="AU519" s="34"/>
      <c r="AV519" s="34"/>
      <c r="AW519" s="34"/>
    </row>
    <row r="520" ht="15.0" customHeight="1">
      <c r="A520" s="32" t="s">
        <v>545</v>
      </c>
      <c r="B520" s="25"/>
      <c r="C520" s="25"/>
      <c r="D520" s="25"/>
      <c r="E520" s="25"/>
      <c r="F520" s="25"/>
      <c r="G520" s="35">
        <v>0.0</v>
      </c>
      <c r="H520" s="35">
        <v>1.0</v>
      </c>
      <c r="I520" s="25"/>
      <c r="J520" s="25"/>
      <c r="K520" s="25"/>
      <c r="L520" s="35"/>
      <c r="M520" s="35"/>
      <c r="N520" s="25"/>
      <c r="O520" s="25"/>
      <c r="P520" s="25"/>
      <c r="Q520" s="35">
        <v>2.0</v>
      </c>
      <c r="R520" s="35">
        <v>2.0</v>
      </c>
      <c r="S520" s="35">
        <v>2.0</v>
      </c>
      <c r="T520" s="35">
        <v>2.0</v>
      </c>
      <c r="U520" s="34"/>
      <c r="V520" s="34"/>
      <c r="W520" s="34"/>
      <c r="X520" s="34"/>
      <c r="Y520" s="34"/>
      <c r="Z520" s="34"/>
      <c r="AA520" s="25"/>
      <c r="AB520" s="25"/>
      <c r="AC520" s="25"/>
      <c r="AD520" s="25"/>
      <c r="AE520" s="25"/>
      <c r="AF520" s="25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25"/>
      <c r="AU520" s="34"/>
      <c r="AV520" s="34"/>
      <c r="AW520" s="34"/>
    </row>
    <row r="521" ht="15.0" customHeight="1">
      <c r="A521" s="32" t="s">
        <v>546</v>
      </c>
      <c r="B521" s="25"/>
      <c r="C521" s="25"/>
      <c r="D521" s="25"/>
      <c r="E521" s="25"/>
      <c r="F521" s="25"/>
      <c r="G521" s="35">
        <v>0.0</v>
      </c>
      <c r="H521" s="35">
        <v>1.0</v>
      </c>
      <c r="I521" s="25"/>
      <c r="J521" s="25"/>
      <c r="K521" s="25"/>
      <c r="L521" s="35"/>
      <c r="M521" s="35"/>
      <c r="N521" s="25"/>
      <c r="O521" s="25"/>
      <c r="P521" s="25"/>
      <c r="Q521" s="35">
        <v>2.0</v>
      </c>
      <c r="R521" s="35">
        <v>2.0</v>
      </c>
      <c r="S521" s="35">
        <v>2.0</v>
      </c>
      <c r="T521" s="35">
        <v>2.0</v>
      </c>
      <c r="U521" s="34"/>
      <c r="V521" s="34"/>
      <c r="W521" s="34"/>
      <c r="X521" s="34"/>
      <c r="Y521" s="34"/>
      <c r="Z521" s="34"/>
      <c r="AA521" s="25"/>
      <c r="AB521" s="25"/>
      <c r="AC521" s="25"/>
      <c r="AD521" s="25"/>
      <c r="AE521" s="25"/>
      <c r="AF521" s="25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25"/>
      <c r="AU521" s="34"/>
      <c r="AV521" s="34"/>
      <c r="AW521" s="34"/>
    </row>
    <row r="522" ht="15.0" customHeight="1">
      <c r="A522" s="32" t="s">
        <v>547</v>
      </c>
      <c r="B522" s="25"/>
      <c r="C522" s="25"/>
      <c r="D522" s="25"/>
      <c r="E522" s="25"/>
      <c r="F522" s="25"/>
      <c r="G522" s="35">
        <v>0.0</v>
      </c>
      <c r="H522" s="35">
        <v>1.0</v>
      </c>
      <c r="I522" s="25"/>
      <c r="J522" s="25"/>
      <c r="K522" s="25"/>
      <c r="L522" s="35"/>
      <c r="M522" s="35"/>
      <c r="N522" s="25"/>
      <c r="O522" s="25"/>
      <c r="P522" s="25"/>
      <c r="Q522" s="35">
        <v>2.0</v>
      </c>
      <c r="R522" s="35">
        <v>2.0</v>
      </c>
      <c r="S522" s="35">
        <v>2.0</v>
      </c>
      <c r="T522" s="35">
        <v>2.0</v>
      </c>
      <c r="U522" s="34"/>
      <c r="V522" s="34"/>
      <c r="W522" s="34"/>
      <c r="X522" s="34"/>
      <c r="Y522" s="34"/>
      <c r="Z522" s="34"/>
      <c r="AA522" s="25"/>
      <c r="AB522" s="25"/>
      <c r="AC522" s="25"/>
      <c r="AD522" s="25"/>
      <c r="AE522" s="25"/>
      <c r="AF522" s="25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25"/>
      <c r="AU522" s="34"/>
      <c r="AV522" s="34"/>
      <c r="AW522" s="34"/>
    </row>
    <row r="523" ht="15.0" customHeight="1">
      <c r="A523" s="32" t="s">
        <v>548</v>
      </c>
      <c r="B523" s="25"/>
      <c r="C523" s="25"/>
      <c r="D523" s="25"/>
      <c r="E523" s="25"/>
      <c r="F523" s="25"/>
      <c r="G523" s="35">
        <v>0.0</v>
      </c>
      <c r="H523" s="35">
        <v>1.0</v>
      </c>
      <c r="I523" s="25"/>
      <c r="J523" s="25"/>
      <c r="K523" s="25"/>
      <c r="L523" s="35"/>
      <c r="M523" s="35"/>
      <c r="N523" s="25"/>
      <c r="O523" s="25"/>
      <c r="P523" s="25"/>
      <c r="Q523" s="35">
        <v>2.0</v>
      </c>
      <c r="R523" s="35">
        <v>2.0</v>
      </c>
      <c r="S523" s="35">
        <v>2.0</v>
      </c>
      <c r="T523" s="35">
        <v>2.0</v>
      </c>
      <c r="U523" s="34"/>
      <c r="V523" s="34"/>
      <c r="W523" s="34"/>
      <c r="X523" s="34"/>
      <c r="Y523" s="34"/>
      <c r="Z523" s="34"/>
      <c r="AA523" s="25"/>
      <c r="AB523" s="25"/>
      <c r="AC523" s="25"/>
      <c r="AD523" s="25"/>
      <c r="AE523" s="25"/>
      <c r="AF523" s="25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25"/>
      <c r="AU523" s="34"/>
      <c r="AV523" s="34"/>
      <c r="AW523" s="34"/>
    </row>
    <row r="524" ht="15.0" customHeight="1">
      <c r="A524" s="32" t="s">
        <v>549</v>
      </c>
      <c r="B524" s="25"/>
      <c r="C524" s="25"/>
      <c r="D524" s="25"/>
      <c r="E524" s="25"/>
      <c r="F524" s="25"/>
      <c r="G524" s="35">
        <v>0.0</v>
      </c>
      <c r="H524" s="35">
        <v>1.0</v>
      </c>
      <c r="I524" s="25"/>
      <c r="J524" s="25"/>
      <c r="K524" s="25"/>
      <c r="L524" s="35"/>
      <c r="M524" s="35"/>
      <c r="N524" s="25"/>
      <c r="O524" s="25"/>
      <c r="P524" s="25"/>
      <c r="Q524" s="35">
        <v>2.0</v>
      </c>
      <c r="R524" s="35">
        <v>2.0</v>
      </c>
      <c r="S524" s="35">
        <v>2.0</v>
      </c>
      <c r="T524" s="35">
        <v>2.0</v>
      </c>
      <c r="U524" s="34"/>
      <c r="V524" s="34"/>
      <c r="W524" s="34"/>
      <c r="X524" s="34"/>
      <c r="Y524" s="34"/>
      <c r="Z524" s="34"/>
      <c r="AA524" s="25"/>
      <c r="AB524" s="25"/>
      <c r="AC524" s="25"/>
      <c r="AD524" s="25"/>
      <c r="AE524" s="25"/>
      <c r="AF524" s="25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25"/>
      <c r="AU524" s="34"/>
      <c r="AV524" s="34"/>
      <c r="AW524" s="34"/>
    </row>
    <row r="525" ht="15.0" customHeight="1">
      <c r="A525" s="32" t="s">
        <v>550</v>
      </c>
      <c r="B525" s="25"/>
      <c r="C525" s="25"/>
      <c r="D525" s="25"/>
      <c r="E525" s="25"/>
      <c r="F525" s="25"/>
      <c r="G525" s="35">
        <v>0.0</v>
      </c>
      <c r="H525" s="35">
        <v>1.0</v>
      </c>
      <c r="I525" s="25"/>
      <c r="J525" s="25"/>
      <c r="K525" s="25"/>
      <c r="L525" s="35"/>
      <c r="M525" s="35"/>
      <c r="N525" s="25"/>
      <c r="O525" s="25"/>
      <c r="P525" s="25"/>
      <c r="Q525" s="35">
        <v>2.0</v>
      </c>
      <c r="R525" s="35">
        <v>2.0</v>
      </c>
      <c r="S525" s="35">
        <v>2.0</v>
      </c>
      <c r="T525" s="35">
        <v>2.0</v>
      </c>
      <c r="U525" s="34"/>
      <c r="V525" s="34"/>
      <c r="W525" s="34"/>
      <c r="X525" s="34"/>
      <c r="Y525" s="34"/>
      <c r="Z525" s="34"/>
      <c r="AA525" s="25"/>
      <c r="AB525" s="25"/>
      <c r="AC525" s="25"/>
      <c r="AD525" s="25"/>
      <c r="AE525" s="25"/>
      <c r="AF525" s="25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25"/>
      <c r="AU525" s="34"/>
      <c r="AV525" s="34"/>
      <c r="AW525" s="34"/>
    </row>
    <row r="526" ht="15.0" customHeight="1">
      <c r="A526" s="32" t="s">
        <v>551</v>
      </c>
      <c r="B526" s="25"/>
      <c r="C526" s="25"/>
      <c r="D526" s="25"/>
      <c r="E526" s="25"/>
      <c r="F526" s="25"/>
      <c r="G526" s="35">
        <v>0.0</v>
      </c>
      <c r="H526" s="35">
        <v>1.0</v>
      </c>
      <c r="I526" s="25"/>
      <c r="J526" s="25"/>
      <c r="K526" s="25"/>
      <c r="L526" s="35"/>
      <c r="M526" s="35"/>
      <c r="N526" s="25"/>
      <c r="O526" s="25"/>
      <c r="P526" s="25"/>
      <c r="Q526" s="35">
        <v>2.0</v>
      </c>
      <c r="R526" s="35">
        <v>2.0</v>
      </c>
      <c r="S526" s="35">
        <v>2.0</v>
      </c>
      <c r="T526" s="35">
        <v>2.0</v>
      </c>
      <c r="U526" s="34"/>
      <c r="V526" s="34"/>
      <c r="W526" s="34"/>
      <c r="X526" s="34"/>
      <c r="Y526" s="34"/>
      <c r="Z526" s="34"/>
      <c r="AA526" s="25"/>
      <c r="AB526" s="25"/>
      <c r="AC526" s="25"/>
      <c r="AD526" s="25"/>
      <c r="AE526" s="25"/>
      <c r="AF526" s="25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25"/>
      <c r="AU526" s="34"/>
      <c r="AV526" s="34"/>
      <c r="AW526" s="34"/>
    </row>
    <row r="527" ht="15.0" customHeight="1">
      <c r="A527" s="32" t="s">
        <v>552</v>
      </c>
      <c r="B527" s="25"/>
      <c r="C527" s="25"/>
      <c r="D527" s="25"/>
      <c r="E527" s="25"/>
      <c r="F527" s="25"/>
      <c r="G527" s="35">
        <v>0.0</v>
      </c>
      <c r="H527" s="35">
        <v>1.0</v>
      </c>
      <c r="I527" s="25"/>
      <c r="J527" s="25"/>
      <c r="K527" s="25"/>
      <c r="L527" s="35"/>
      <c r="M527" s="35"/>
      <c r="N527" s="25"/>
      <c r="O527" s="25"/>
      <c r="P527" s="25"/>
      <c r="Q527" s="35">
        <v>2.0</v>
      </c>
      <c r="R527" s="35">
        <v>2.0</v>
      </c>
      <c r="S527" s="35">
        <v>2.0</v>
      </c>
      <c r="T527" s="35">
        <v>2.0</v>
      </c>
      <c r="U527" s="34"/>
      <c r="V527" s="34"/>
      <c r="W527" s="34"/>
      <c r="X527" s="34"/>
      <c r="Y527" s="34"/>
      <c r="Z527" s="34"/>
      <c r="AA527" s="25"/>
      <c r="AB527" s="25"/>
      <c r="AC527" s="25"/>
      <c r="AD527" s="25"/>
      <c r="AE527" s="25"/>
      <c r="AF527" s="25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25"/>
      <c r="AU527" s="34"/>
      <c r="AV527" s="34"/>
      <c r="AW527" s="34"/>
    </row>
    <row r="528" ht="15.0" customHeight="1">
      <c r="A528" s="32" t="s">
        <v>553</v>
      </c>
      <c r="B528" s="25"/>
      <c r="C528" s="25"/>
      <c r="D528" s="25"/>
      <c r="E528" s="25"/>
      <c r="F528" s="25"/>
      <c r="G528" s="35">
        <v>0.0</v>
      </c>
      <c r="H528" s="35">
        <v>1.0</v>
      </c>
      <c r="I528" s="25"/>
      <c r="J528" s="25"/>
      <c r="K528" s="25"/>
      <c r="L528" s="35"/>
      <c r="M528" s="35"/>
      <c r="N528" s="25"/>
      <c r="O528" s="25"/>
      <c r="P528" s="25"/>
      <c r="Q528" s="35">
        <v>2.0</v>
      </c>
      <c r="R528" s="35">
        <v>2.0</v>
      </c>
      <c r="S528" s="35">
        <v>2.0</v>
      </c>
      <c r="T528" s="35">
        <v>2.0</v>
      </c>
      <c r="U528" s="34"/>
      <c r="V528" s="34"/>
      <c r="W528" s="34"/>
      <c r="X528" s="34"/>
      <c r="Y528" s="34"/>
      <c r="Z528" s="34"/>
      <c r="AA528" s="25"/>
      <c r="AB528" s="25"/>
      <c r="AC528" s="25"/>
      <c r="AD528" s="25"/>
      <c r="AE528" s="25"/>
      <c r="AF528" s="25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25"/>
      <c r="AU528" s="34"/>
      <c r="AV528" s="34"/>
      <c r="AW528" s="34"/>
    </row>
    <row r="529" ht="15.0" customHeight="1">
      <c r="A529" s="32" t="s">
        <v>554</v>
      </c>
      <c r="B529" s="25"/>
      <c r="C529" s="25"/>
      <c r="D529" s="25"/>
      <c r="E529" s="25"/>
      <c r="F529" s="25"/>
      <c r="G529" s="35">
        <v>0.0</v>
      </c>
      <c r="H529" s="35">
        <v>1.0</v>
      </c>
      <c r="I529" s="25"/>
      <c r="J529" s="25"/>
      <c r="K529" s="25"/>
      <c r="L529" s="35"/>
      <c r="M529" s="35"/>
      <c r="N529" s="25"/>
      <c r="O529" s="25"/>
      <c r="P529" s="25"/>
      <c r="Q529" s="35">
        <v>2.0</v>
      </c>
      <c r="R529" s="35">
        <v>2.0</v>
      </c>
      <c r="S529" s="35">
        <v>2.0</v>
      </c>
      <c r="T529" s="35">
        <v>2.0</v>
      </c>
      <c r="U529" s="34"/>
      <c r="V529" s="34"/>
      <c r="W529" s="34"/>
      <c r="X529" s="34"/>
      <c r="Y529" s="34"/>
      <c r="Z529" s="34"/>
      <c r="AA529" s="25"/>
      <c r="AB529" s="25"/>
      <c r="AC529" s="25"/>
      <c r="AD529" s="25"/>
      <c r="AE529" s="25"/>
      <c r="AF529" s="25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25"/>
      <c r="AU529" s="34"/>
      <c r="AV529" s="34"/>
      <c r="AW529" s="34"/>
    </row>
    <row r="530" ht="15.0" customHeight="1">
      <c r="A530" s="32" t="s">
        <v>555</v>
      </c>
      <c r="B530" s="25"/>
      <c r="C530" s="25"/>
      <c r="D530" s="25"/>
      <c r="E530" s="25"/>
      <c r="F530" s="25"/>
      <c r="G530" s="35">
        <v>0.0</v>
      </c>
      <c r="H530" s="35">
        <v>1.0</v>
      </c>
      <c r="I530" s="25"/>
      <c r="J530" s="25"/>
      <c r="K530" s="25"/>
      <c r="L530" s="35"/>
      <c r="M530" s="35"/>
      <c r="N530" s="25"/>
      <c r="O530" s="25"/>
      <c r="P530" s="25"/>
      <c r="Q530" s="35">
        <v>2.0</v>
      </c>
      <c r="R530" s="35">
        <v>2.0</v>
      </c>
      <c r="S530" s="35">
        <v>2.0</v>
      </c>
      <c r="T530" s="35">
        <v>2.0</v>
      </c>
      <c r="U530" s="34"/>
      <c r="V530" s="34"/>
      <c r="W530" s="34"/>
      <c r="X530" s="34"/>
      <c r="Y530" s="34"/>
      <c r="Z530" s="34"/>
      <c r="AA530" s="25"/>
      <c r="AB530" s="25"/>
      <c r="AC530" s="25"/>
      <c r="AD530" s="25"/>
      <c r="AE530" s="25"/>
      <c r="AF530" s="25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25"/>
      <c r="AU530" s="34"/>
      <c r="AV530" s="34"/>
      <c r="AW530" s="34"/>
    </row>
    <row r="531" ht="15.0" customHeight="1">
      <c r="A531" s="32" t="s">
        <v>556</v>
      </c>
      <c r="B531" s="25"/>
      <c r="C531" s="25"/>
      <c r="D531" s="25"/>
      <c r="E531" s="25"/>
      <c r="F531" s="25"/>
      <c r="G531" s="35">
        <v>0.0</v>
      </c>
      <c r="H531" s="35">
        <v>1.0</v>
      </c>
      <c r="I531" s="25"/>
      <c r="J531" s="25"/>
      <c r="K531" s="25"/>
      <c r="L531" s="35"/>
      <c r="M531" s="35"/>
      <c r="N531" s="25"/>
      <c r="O531" s="25"/>
      <c r="P531" s="25"/>
      <c r="Q531" s="35">
        <v>2.0</v>
      </c>
      <c r="R531" s="35">
        <v>2.0</v>
      </c>
      <c r="S531" s="35">
        <v>2.0</v>
      </c>
      <c r="T531" s="35">
        <v>2.0</v>
      </c>
      <c r="U531" s="34"/>
      <c r="V531" s="34"/>
      <c r="W531" s="34"/>
      <c r="X531" s="34"/>
      <c r="Y531" s="34"/>
      <c r="Z531" s="34"/>
      <c r="AA531" s="25"/>
      <c r="AB531" s="25"/>
      <c r="AC531" s="25"/>
      <c r="AD531" s="25"/>
      <c r="AE531" s="25"/>
      <c r="AF531" s="25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25"/>
      <c r="AU531" s="34"/>
      <c r="AV531" s="34"/>
      <c r="AW531" s="34"/>
    </row>
    <row r="532" ht="15.0" customHeight="1">
      <c r="A532" s="32" t="s">
        <v>557</v>
      </c>
      <c r="B532" s="25"/>
      <c r="C532" s="25"/>
      <c r="D532" s="25"/>
      <c r="E532" s="25"/>
      <c r="F532" s="25"/>
      <c r="G532" s="35">
        <v>0.0</v>
      </c>
      <c r="H532" s="35">
        <v>1.0</v>
      </c>
      <c r="I532" s="25"/>
      <c r="J532" s="25"/>
      <c r="K532" s="25"/>
      <c r="L532" s="35"/>
      <c r="M532" s="35"/>
      <c r="N532" s="25"/>
      <c r="O532" s="25"/>
      <c r="P532" s="25"/>
      <c r="Q532" s="35">
        <v>2.0</v>
      </c>
      <c r="R532" s="35">
        <v>2.0</v>
      </c>
      <c r="S532" s="35">
        <v>2.0</v>
      </c>
      <c r="T532" s="35">
        <v>2.0</v>
      </c>
      <c r="U532" s="34"/>
      <c r="V532" s="34"/>
      <c r="W532" s="34"/>
      <c r="X532" s="34"/>
      <c r="Y532" s="34"/>
      <c r="Z532" s="34"/>
      <c r="AA532" s="25"/>
      <c r="AB532" s="25"/>
      <c r="AC532" s="25"/>
      <c r="AD532" s="25"/>
      <c r="AE532" s="25"/>
      <c r="AF532" s="25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25"/>
      <c r="AU532" s="34"/>
      <c r="AV532" s="34"/>
      <c r="AW532" s="34"/>
    </row>
    <row r="533" ht="15.0" customHeight="1">
      <c r="A533" s="32" t="s">
        <v>558</v>
      </c>
      <c r="B533" s="25"/>
      <c r="C533" s="25"/>
      <c r="D533" s="25"/>
      <c r="E533" s="25"/>
      <c r="F533" s="25"/>
      <c r="G533" s="35">
        <v>0.0</v>
      </c>
      <c r="H533" s="35">
        <v>1.0</v>
      </c>
      <c r="I533" s="25"/>
      <c r="J533" s="25"/>
      <c r="K533" s="25"/>
      <c r="L533" s="35"/>
      <c r="M533" s="35"/>
      <c r="N533" s="25"/>
      <c r="O533" s="25"/>
      <c r="P533" s="25"/>
      <c r="Q533" s="35">
        <v>2.0</v>
      </c>
      <c r="R533" s="35">
        <v>2.0</v>
      </c>
      <c r="S533" s="35">
        <v>2.0</v>
      </c>
      <c r="T533" s="35">
        <v>2.0</v>
      </c>
      <c r="U533" s="34"/>
      <c r="V533" s="34"/>
      <c r="W533" s="34"/>
      <c r="X533" s="34"/>
      <c r="Y533" s="34"/>
      <c r="Z533" s="34"/>
      <c r="AA533" s="25"/>
      <c r="AB533" s="25"/>
      <c r="AC533" s="25"/>
      <c r="AD533" s="25"/>
      <c r="AE533" s="25"/>
      <c r="AF533" s="25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25"/>
      <c r="AU533" s="34"/>
      <c r="AV533" s="34"/>
      <c r="AW533" s="34"/>
    </row>
    <row r="534" ht="15.0" customHeight="1">
      <c r="A534" s="32" t="s">
        <v>559</v>
      </c>
      <c r="B534" s="25"/>
      <c r="C534" s="25"/>
      <c r="D534" s="25"/>
      <c r="E534" s="25"/>
      <c r="F534" s="25"/>
      <c r="G534" s="35">
        <v>0.0</v>
      </c>
      <c r="H534" s="35">
        <v>1.0</v>
      </c>
      <c r="I534" s="25"/>
      <c r="J534" s="25"/>
      <c r="K534" s="25"/>
      <c r="L534" s="35"/>
      <c r="M534" s="35"/>
      <c r="N534" s="25"/>
      <c r="O534" s="25"/>
      <c r="P534" s="25"/>
      <c r="Q534" s="35">
        <v>2.0</v>
      </c>
      <c r="R534" s="35">
        <v>2.0</v>
      </c>
      <c r="S534" s="35">
        <v>2.0</v>
      </c>
      <c r="T534" s="35">
        <v>2.0</v>
      </c>
      <c r="U534" s="34"/>
      <c r="V534" s="34"/>
      <c r="W534" s="34"/>
      <c r="X534" s="34"/>
      <c r="Y534" s="34"/>
      <c r="Z534" s="34"/>
      <c r="AA534" s="25"/>
      <c r="AB534" s="25"/>
      <c r="AC534" s="25"/>
      <c r="AD534" s="25"/>
      <c r="AE534" s="25"/>
      <c r="AF534" s="25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25"/>
      <c r="AU534" s="34"/>
      <c r="AV534" s="34"/>
      <c r="AW534" s="34"/>
    </row>
    <row r="535" ht="15.0" customHeight="1">
      <c r="A535" s="32" t="s">
        <v>560</v>
      </c>
      <c r="B535" s="25"/>
      <c r="C535" s="25"/>
      <c r="D535" s="25"/>
      <c r="E535" s="25"/>
      <c r="F535" s="25"/>
      <c r="G535" s="35">
        <v>0.0</v>
      </c>
      <c r="H535" s="35">
        <v>1.0</v>
      </c>
      <c r="I535" s="25"/>
      <c r="J535" s="25"/>
      <c r="K535" s="25"/>
      <c r="L535" s="35"/>
      <c r="M535" s="35"/>
      <c r="N535" s="25"/>
      <c r="O535" s="25"/>
      <c r="P535" s="25"/>
      <c r="Q535" s="35">
        <v>2.0</v>
      </c>
      <c r="R535" s="35">
        <v>2.0</v>
      </c>
      <c r="S535" s="35">
        <v>2.0</v>
      </c>
      <c r="T535" s="35">
        <v>2.0</v>
      </c>
      <c r="U535" s="34"/>
      <c r="V535" s="34"/>
      <c r="W535" s="34"/>
      <c r="X535" s="34"/>
      <c r="Y535" s="34"/>
      <c r="Z535" s="34"/>
      <c r="AA535" s="25"/>
      <c r="AB535" s="25"/>
      <c r="AC535" s="25"/>
      <c r="AD535" s="25"/>
      <c r="AE535" s="25"/>
      <c r="AF535" s="25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25"/>
      <c r="AU535" s="34"/>
      <c r="AV535" s="34"/>
      <c r="AW535" s="34"/>
    </row>
    <row r="536" ht="15.0" customHeight="1">
      <c r="A536" s="32" t="s">
        <v>561</v>
      </c>
      <c r="B536" s="25"/>
      <c r="C536" s="25"/>
      <c r="D536" s="25"/>
      <c r="E536" s="25"/>
      <c r="F536" s="25"/>
      <c r="G536" s="35">
        <v>0.0</v>
      </c>
      <c r="H536" s="35">
        <v>1.0</v>
      </c>
      <c r="I536" s="25"/>
      <c r="J536" s="25"/>
      <c r="K536" s="25"/>
      <c r="L536" s="35"/>
      <c r="M536" s="35"/>
      <c r="N536" s="25"/>
      <c r="O536" s="25"/>
      <c r="P536" s="25"/>
      <c r="Q536" s="35">
        <v>2.0</v>
      </c>
      <c r="R536" s="35">
        <v>2.0</v>
      </c>
      <c r="S536" s="35">
        <v>2.0</v>
      </c>
      <c r="T536" s="35">
        <v>2.0</v>
      </c>
      <c r="U536" s="34"/>
      <c r="V536" s="34"/>
      <c r="W536" s="34"/>
      <c r="X536" s="34"/>
      <c r="Y536" s="34"/>
      <c r="Z536" s="34"/>
      <c r="AA536" s="25"/>
      <c r="AB536" s="25"/>
      <c r="AC536" s="25"/>
      <c r="AD536" s="25"/>
      <c r="AE536" s="25"/>
      <c r="AF536" s="25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25"/>
      <c r="AU536" s="34"/>
      <c r="AV536" s="34"/>
      <c r="AW536" s="34"/>
    </row>
    <row r="537" ht="15.0" customHeight="1">
      <c r="A537" s="32" t="s">
        <v>562</v>
      </c>
      <c r="B537" s="25"/>
      <c r="C537" s="25"/>
      <c r="D537" s="25"/>
      <c r="E537" s="25"/>
      <c r="F537" s="25"/>
      <c r="G537" s="35">
        <v>0.0</v>
      </c>
      <c r="H537" s="35">
        <v>1.0</v>
      </c>
      <c r="I537" s="25"/>
      <c r="J537" s="25"/>
      <c r="K537" s="25"/>
      <c r="L537" s="35"/>
      <c r="M537" s="35"/>
      <c r="N537" s="25"/>
      <c r="O537" s="25"/>
      <c r="P537" s="25"/>
      <c r="Q537" s="35">
        <v>2.0</v>
      </c>
      <c r="R537" s="35">
        <v>2.0</v>
      </c>
      <c r="S537" s="35">
        <v>2.0</v>
      </c>
      <c r="T537" s="35">
        <v>2.0</v>
      </c>
      <c r="U537" s="34"/>
      <c r="V537" s="34"/>
      <c r="W537" s="34"/>
      <c r="X537" s="34"/>
      <c r="Y537" s="34"/>
      <c r="Z537" s="34"/>
      <c r="AA537" s="25"/>
      <c r="AB537" s="25"/>
      <c r="AC537" s="25"/>
      <c r="AD537" s="25"/>
      <c r="AE537" s="25"/>
      <c r="AF537" s="25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25"/>
      <c r="AU537" s="34"/>
      <c r="AV537" s="34"/>
      <c r="AW537" s="34"/>
    </row>
    <row r="538" ht="15.0" customHeight="1">
      <c r="A538" s="32" t="s">
        <v>563</v>
      </c>
      <c r="B538" s="25"/>
      <c r="C538" s="25"/>
      <c r="D538" s="25"/>
      <c r="E538" s="25"/>
      <c r="F538" s="25"/>
      <c r="G538" s="35">
        <v>0.0</v>
      </c>
      <c r="H538" s="35">
        <v>1.0</v>
      </c>
      <c r="I538" s="25"/>
      <c r="J538" s="25"/>
      <c r="K538" s="25"/>
      <c r="L538" s="35"/>
      <c r="M538" s="35"/>
      <c r="N538" s="25"/>
      <c r="O538" s="25"/>
      <c r="P538" s="25"/>
      <c r="Q538" s="35">
        <v>2.0</v>
      </c>
      <c r="R538" s="35">
        <v>2.0</v>
      </c>
      <c r="S538" s="35">
        <v>2.0</v>
      </c>
      <c r="T538" s="35">
        <v>2.0</v>
      </c>
      <c r="U538" s="34"/>
      <c r="V538" s="34"/>
      <c r="W538" s="34"/>
      <c r="X538" s="34"/>
      <c r="Y538" s="34"/>
      <c r="Z538" s="34"/>
      <c r="AA538" s="25"/>
      <c r="AB538" s="25"/>
      <c r="AC538" s="25"/>
      <c r="AD538" s="25"/>
      <c r="AE538" s="25"/>
      <c r="AF538" s="25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25"/>
      <c r="AU538" s="34"/>
      <c r="AV538" s="34"/>
      <c r="AW538" s="34"/>
    </row>
    <row r="539" ht="15.0" customHeight="1">
      <c r="A539" s="32" t="s">
        <v>564</v>
      </c>
      <c r="B539" s="25"/>
      <c r="C539" s="25"/>
      <c r="D539" s="25"/>
      <c r="E539" s="25"/>
      <c r="F539" s="25"/>
      <c r="G539" s="35">
        <v>0.0</v>
      </c>
      <c r="H539" s="35">
        <v>1.0</v>
      </c>
      <c r="I539" s="25"/>
      <c r="J539" s="25"/>
      <c r="K539" s="25"/>
      <c r="L539" s="35"/>
      <c r="M539" s="35"/>
      <c r="N539" s="25"/>
      <c r="O539" s="25"/>
      <c r="P539" s="25"/>
      <c r="Q539" s="35">
        <v>2.0</v>
      </c>
      <c r="R539" s="35">
        <v>2.0</v>
      </c>
      <c r="S539" s="35">
        <v>2.0</v>
      </c>
      <c r="T539" s="35">
        <v>2.0</v>
      </c>
      <c r="U539" s="34"/>
      <c r="V539" s="34"/>
      <c r="W539" s="34"/>
      <c r="X539" s="34"/>
      <c r="Y539" s="34"/>
      <c r="Z539" s="34"/>
      <c r="AA539" s="25"/>
      <c r="AB539" s="25"/>
      <c r="AC539" s="25"/>
      <c r="AD539" s="25"/>
      <c r="AE539" s="25"/>
      <c r="AF539" s="25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25"/>
      <c r="AU539" s="34"/>
      <c r="AV539" s="34"/>
      <c r="AW539" s="34"/>
    </row>
    <row r="540" ht="15.0" customHeight="1">
      <c r="A540" s="32" t="s">
        <v>565</v>
      </c>
      <c r="B540" s="25"/>
      <c r="C540" s="25"/>
      <c r="D540" s="25"/>
      <c r="E540" s="25"/>
      <c r="F540" s="25"/>
      <c r="G540" s="35">
        <v>0.0</v>
      </c>
      <c r="H540" s="35">
        <v>1.0</v>
      </c>
      <c r="I540" s="25"/>
      <c r="J540" s="25"/>
      <c r="K540" s="25"/>
      <c r="L540" s="35"/>
      <c r="M540" s="35"/>
      <c r="N540" s="25"/>
      <c r="O540" s="25"/>
      <c r="P540" s="25"/>
      <c r="Q540" s="35">
        <v>2.0</v>
      </c>
      <c r="R540" s="35">
        <v>2.0</v>
      </c>
      <c r="S540" s="35">
        <v>2.0</v>
      </c>
      <c r="T540" s="35">
        <v>2.0</v>
      </c>
      <c r="U540" s="34"/>
      <c r="V540" s="34"/>
      <c r="W540" s="34"/>
      <c r="X540" s="34"/>
      <c r="Y540" s="34"/>
      <c r="Z540" s="34"/>
      <c r="AA540" s="25"/>
      <c r="AB540" s="25"/>
      <c r="AC540" s="25"/>
      <c r="AD540" s="25"/>
      <c r="AE540" s="25"/>
      <c r="AF540" s="25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25"/>
      <c r="AU540" s="34"/>
      <c r="AV540" s="34"/>
      <c r="AW540" s="34"/>
    </row>
    <row r="541" ht="15.0" customHeight="1">
      <c r="A541" s="32" t="s">
        <v>566</v>
      </c>
      <c r="B541" s="25"/>
      <c r="C541" s="25"/>
      <c r="D541" s="25"/>
      <c r="E541" s="25"/>
      <c r="F541" s="25"/>
      <c r="G541" s="35">
        <v>0.0</v>
      </c>
      <c r="H541" s="35">
        <v>1.0</v>
      </c>
      <c r="I541" s="25"/>
      <c r="J541" s="25"/>
      <c r="K541" s="25"/>
      <c r="L541" s="35"/>
      <c r="M541" s="35"/>
      <c r="N541" s="25"/>
      <c r="O541" s="25"/>
      <c r="P541" s="25"/>
      <c r="Q541" s="35">
        <v>2.0</v>
      </c>
      <c r="R541" s="35">
        <v>2.0</v>
      </c>
      <c r="S541" s="35">
        <v>2.0</v>
      </c>
      <c r="T541" s="35">
        <v>2.0</v>
      </c>
      <c r="U541" s="34"/>
      <c r="V541" s="34"/>
      <c r="W541" s="34"/>
      <c r="X541" s="34"/>
      <c r="Y541" s="34"/>
      <c r="Z541" s="34"/>
      <c r="AA541" s="25"/>
      <c r="AB541" s="25"/>
      <c r="AC541" s="25"/>
      <c r="AD541" s="25"/>
      <c r="AE541" s="25"/>
      <c r="AF541" s="25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25"/>
      <c r="AU541" s="34"/>
      <c r="AV541" s="34"/>
      <c r="AW541" s="34"/>
    </row>
    <row r="542" ht="15.0" customHeight="1">
      <c r="A542" s="32" t="s">
        <v>567</v>
      </c>
      <c r="B542" s="25"/>
      <c r="C542" s="25"/>
      <c r="D542" s="25"/>
      <c r="E542" s="25"/>
      <c r="F542" s="25"/>
      <c r="G542" s="35">
        <v>0.0</v>
      </c>
      <c r="H542" s="35">
        <v>1.0</v>
      </c>
      <c r="I542" s="25"/>
      <c r="J542" s="25"/>
      <c r="K542" s="25"/>
      <c r="L542" s="35"/>
      <c r="M542" s="35"/>
      <c r="N542" s="25"/>
      <c r="O542" s="25"/>
      <c r="P542" s="25"/>
      <c r="Q542" s="35">
        <v>2.0</v>
      </c>
      <c r="R542" s="35">
        <v>2.0</v>
      </c>
      <c r="S542" s="35">
        <v>2.0</v>
      </c>
      <c r="T542" s="35">
        <v>2.0</v>
      </c>
      <c r="U542" s="34"/>
      <c r="V542" s="34"/>
      <c r="W542" s="34"/>
      <c r="X542" s="34"/>
      <c r="Y542" s="34"/>
      <c r="Z542" s="34"/>
      <c r="AA542" s="25"/>
      <c r="AB542" s="25"/>
      <c r="AC542" s="25"/>
      <c r="AD542" s="25"/>
      <c r="AE542" s="25"/>
      <c r="AF542" s="25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25"/>
      <c r="AU542" s="34"/>
      <c r="AV542" s="34"/>
      <c r="AW542" s="34"/>
    </row>
    <row r="543" ht="15.0" customHeight="1">
      <c r="A543" s="32" t="s">
        <v>568</v>
      </c>
      <c r="B543" s="25"/>
      <c r="C543" s="25"/>
      <c r="D543" s="25"/>
      <c r="E543" s="25"/>
      <c r="F543" s="25"/>
      <c r="G543" s="35">
        <v>0.0</v>
      </c>
      <c r="H543" s="35">
        <v>1.0</v>
      </c>
      <c r="I543" s="25"/>
      <c r="J543" s="25"/>
      <c r="K543" s="25"/>
      <c r="L543" s="35"/>
      <c r="M543" s="35"/>
      <c r="N543" s="25"/>
      <c r="O543" s="25"/>
      <c r="P543" s="25"/>
      <c r="Q543" s="35">
        <v>2.0</v>
      </c>
      <c r="R543" s="35">
        <v>2.0</v>
      </c>
      <c r="S543" s="35">
        <v>2.0</v>
      </c>
      <c r="T543" s="35">
        <v>2.0</v>
      </c>
      <c r="U543" s="34"/>
      <c r="V543" s="34"/>
      <c r="W543" s="34"/>
      <c r="X543" s="34"/>
      <c r="Y543" s="34"/>
      <c r="Z543" s="34"/>
      <c r="AA543" s="25"/>
      <c r="AB543" s="25"/>
      <c r="AC543" s="25"/>
      <c r="AD543" s="25"/>
      <c r="AE543" s="25"/>
      <c r="AF543" s="25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25"/>
      <c r="AU543" s="34"/>
      <c r="AV543" s="34"/>
      <c r="AW543" s="34"/>
    </row>
    <row r="544" ht="15.0" customHeight="1">
      <c r="A544" s="32" t="s">
        <v>569</v>
      </c>
      <c r="B544" s="25"/>
      <c r="C544" s="25"/>
      <c r="D544" s="25"/>
      <c r="E544" s="25"/>
      <c r="F544" s="25"/>
      <c r="G544" s="35">
        <v>0.0</v>
      </c>
      <c r="H544" s="35">
        <v>1.0</v>
      </c>
      <c r="I544" s="25"/>
      <c r="J544" s="25"/>
      <c r="K544" s="25"/>
      <c r="L544" s="35"/>
      <c r="M544" s="35"/>
      <c r="N544" s="25"/>
      <c r="O544" s="25"/>
      <c r="P544" s="25"/>
      <c r="Q544" s="35">
        <v>2.0</v>
      </c>
      <c r="R544" s="35">
        <v>2.0</v>
      </c>
      <c r="S544" s="35">
        <v>2.0</v>
      </c>
      <c r="T544" s="35">
        <v>2.0</v>
      </c>
      <c r="U544" s="34"/>
      <c r="V544" s="34"/>
      <c r="W544" s="34"/>
      <c r="X544" s="34"/>
      <c r="Y544" s="34"/>
      <c r="Z544" s="34"/>
      <c r="AA544" s="25"/>
      <c r="AB544" s="25"/>
      <c r="AC544" s="25"/>
      <c r="AD544" s="25"/>
      <c r="AE544" s="25"/>
      <c r="AF544" s="25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25"/>
      <c r="AU544" s="34"/>
      <c r="AV544" s="34"/>
      <c r="AW544" s="34"/>
    </row>
    <row r="545" ht="15.0" customHeight="1">
      <c r="A545" s="32" t="s">
        <v>570</v>
      </c>
      <c r="B545" s="25"/>
      <c r="C545" s="25"/>
      <c r="D545" s="25"/>
      <c r="E545" s="25"/>
      <c r="F545" s="25"/>
      <c r="G545" s="35">
        <v>0.0</v>
      </c>
      <c r="H545" s="35">
        <v>1.0</v>
      </c>
      <c r="I545" s="25"/>
      <c r="J545" s="25"/>
      <c r="K545" s="25"/>
      <c r="L545" s="35"/>
      <c r="M545" s="35"/>
      <c r="N545" s="25"/>
      <c r="O545" s="25"/>
      <c r="P545" s="25"/>
      <c r="Q545" s="35">
        <v>2.0</v>
      </c>
      <c r="R545" s="35">
        <v>2.0</v>
      </c>
      <c r="S545" s="35">
        <v>2.0</v>
      </c>
      <c r="T545" s="35">
        <v>2.0</v>
      </c>
      <c r="U545" s="34"/>
      <c r="V545" s="34"/>
      <c r="W545" s="34"/>
      <c r="X545" s="34"/>
      <c r="Y545" s="34"/>
      <c r="Z545" s="34"/>
      <c r="AA545" s="25"/>
      <c r="AB545" s="25"/>
      <c r="AC545" s="25"/>
      <c r="AD545" s="25"/>
      <c r="AE545" s="25"/>
      <c r="AF545" s="25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25"/>
      <c r="AU545" s="34"/>
      <c r="AV545" s="34"/>
      <c r="AW545" s="34"/>
    </row>
    <row r="546" ht="15.0" customHeight="1">
      <c r="A546" s="32" t="s">
        <v>571</v>
      </c>
      <c r="B546" s="25"/>
      <c r="C546" s="25"/>
      <c r="D546" s="25"/>
      <c r="E546" s="25"/>
      <c r="F546" s="25"/>
      <c r="G546" s="35">
        <v>0.0</v>
      </c>
      <c r="H546" s="35">
        <v>1.0</v>
      </c>
      <c r="I546" s="25"/>
      <c r="J546" s="25"/>
      <c r="K546" s="25"/>
      <c r="L546" s="35"/>
      <c r="M546" s="35"/>
      <c r="N546" s="25"/>
      <c r="O546" s="25"/>
      <c r="P546" s="25"/>
      <c r="Q546" s="35">
        <v>2.0</v>
      </c>
      <c r="R546" s="35">
        <v>2.0</v>
      </c>
      <c r="S546" s="35">
        <v>2.0</v>
      </c>
      <c r="T546" s="35">
        <v>2.0</v>
      </c>
      <c r="U546" s="34"/>
      <c r="V546" s="34"/>
      <c r="W546" s="34"/>
      <c r="X546" s="34"/>
      <c r="Y546" s="34"/>
      <c r="Z546" s="34"/>
      <c r="AA546" s="25"/>
      <c r="AB546" s="25"/>
      <c r="AC546" s="25"/>
      <c r="AD546" s="25"/>
      <c r="AE546" s="25"/>
      <c r="AF546" s="25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25"/>
      <c r="AU546" s="34"/>
      <c r="AV546" s="34"/>
      <c r="AW546" s="34"/>
    </row>
    <row r="547" ht="15.0" customHeight="1">
      <c r="A547" s="32" t="s">
        <v>572</v>
      </c>
      <c r="B547" s="25"/>
      <c r="C547" s="25"/>
      <c r="D547" s="25"/>
      <c r="E547" s="25"/>
      <c r="F547" s="25"/>
      <c r="G547" s="35">
        <v>0.0</v>
      </c>
      <c r="H547" s="35">
        <v>1.0</v>
      </c>
      <c r="I547" s="25"/>
      <c r="J547" s="25"/>
      <c r="K547" s="25"/>
      <c r="L547" s="35"/>
      <c r="M547" s="35"/>
      <c r="N547" s="25"/>
      <c r="O547" s="25"/>
      <c r="P547" s="25"/>
      <c r="Q547" s="35">
        <v>2.0</v>
      </c>
      <c r="R547" s="35">
        <v>2.0</v>
      </c>
      <c r="S547" s="35">
        <v>2.0</v>
      </c>
      <c r="T547" s="35">
        <v>2.0</v>
      </c>
      <c r="U547" s="34"/>
      <c r="V547" s="34"/>
      <c r="W547" s="34"/>
      <c r="X547" s="34"/>
      <c r="Y547" s="34"/>
      <c r="Z547" s="34"/>
      <c r="AA547" s="25"/>
      <c r="AB547" s="25"/>
      <c r="AC547" s="25"/>
      <c r="AD547" s="25"/>
      <c r="AE547" s="25"/>
      <c r="AF547" s="25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25"/>
      <c r="AU547" s="34"/>
      <c r="AV547" s="34"/>
      <c r="AW547" s="34"/>
    </row>
    <row r="548" ht="15.0" customHeight="1">
      <c r="A548" s="32" t="s">
        <v>573</v>
      </c>
      <c r="B548" s="25"/>
      <c r="C548" s="25"/>
      <c r="D548" s="25"/>
      <c r="E548" s="25"/>
      <c r="F548" s="25"/>
      <c r="G548" s="35">
        <v>0.0</v>
      </c>
      <c r="H548" s="35">
        <v>1.0</v>
      </c>
      <c r="I548" s="25"/>
      <c r="J548" s="25"/>
      <c r="K548" s="25"/>
      <c r="L548" s="35"/>
      <c r="M548" s="35"/>
      <c r="N548" s="25"/>
      <c r="O548" s="25"/>
      <c r="P548" s="25"/>
      <c r="Q548" s="35">
        <v>2.0</v>
      </c>
      <c r="R548" s="35">
        <v>2.0</v>
      </c>
      <c r="S548" s="35">
        <v>2.0</v>
      </c>
      <c r="T548" s="35">
        <v>2.0</v>
      </c>
      <c r="U548" s="34"/>
      <c r="V548" s="34"/>
      <c r="W548" s="34"/>
      <c r="X548" s="34"/>
      <c r="Y548" s="34"/>
      <c r="Z548" s="34"/>
      <c r="AA548" s="25"/>
      <c r="AB548" s="25"/>
      <c r="AC548" s="25"/>
      <c r="AD548" s="25"/>
      <c r="AE548" s="25"/>
      <c r="AF548" s="25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25"/>
      <c r="AU548" s="34"/>
      <c r="AV548" s="34"/>
      <c r="AW548" s="34"/>
    </row>
    <row r="549" ht="15.0" customHeight="1">
      <c r="A549" s="32" t="s">
        <v>574</v>
      </c>
      <c r="B549" s="25"/>
      <c r="C549" s="25"/>
      <c r="D549" s="25"/>
      <c r="E549" s="25"/>
      <c r="F549" s="25"/>
      <c r="G549" s="35">
        <v>0.0</v>
      </c>
      <c r="H549" s="35">
        <v>1.0</v>
      </c>
      <c r="I549" s="25"/>
      <c r="J549" s="25"/>
      <c r="K549" s="25"/>
      <c r="L549" s="35"/>
      <c r="M549" s="35"/>
      <c r="N549" s="25"/>
      <c r="O549" s="25"/>
      <c r="P549" s="25"/>
      <c r="Q549" s="35">
        <v>2.0</v>
      </c>
      <c r="R549" s="35">
        <v>2.0</v>
      </c>
      <c r="S549" s="35">
        <v>2.0</v>
      </c>
      <c r="T549" s="35">
        <v>2.0</v>
      </c>
      <c r="U549" s="34"/>
      <c r="V549" s="34"/>
      <c r="W549" s="34"/>
      <c r="X549" s="34"/>
      <c r="Y549" s="34"/>
      <c r="Z549" s="34"/>
      <c r="AA549" s="25"/>
      <c r="AB549" s="25"/>
      <c r="AC549" s="25"/>
      <c r="AD549" s="25"/>
      <c r="AE549" s="25"/>
      <c r="AF549" s="25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25"/>
      <c r="AU549" s="34"/>
      <c r="AV549" s="34"/>
      <c r="AW549" s="34"/>
    </row>
    <row r="550" ht="15.0" customHeight="1">
      <c r="A550" s="32" t="s">
        <v>575</v>
      </c>
      <c r="B550" s="25"/>
      <c r="C550" s="25"/>
      <c r="D550" s="25"/>
      <c r="E550" s="25"/>
      <c r="F550" s="25"/>
      <c r="G550" s="35">
        <v>0.0</v>
      </c>
      <c r="H550" s="35">
        <v>1.0</v>
      </c>
      <c r="I550" s="25"/>
      <c r="J550" s="25"/>
      <c r="K550" s="25"/>
      <c r="L550" s="35"/>
      <c r="M550" s="35"/>
      <c r="N550" s="25"/>
      <c r="O550" s="25"/>
      <c r="P550" s="25"/>
      <c r="Q550" s="35">
        <v>2.0</v>
      </c>
      <c r="R550" s="35">
        <v>2.0</v>
      </c>
      <c r="S550" s="35">
        <v>2.0</v>
      </c>
      <c r="T550" s="35">
        <v>2.0</v>
      </c>
      <c r="U550" s="34"/>
      <c r="V550" s="34"/>
      <c r="W550" s="34"/>
      <c r="X550" s="34"/>
      <c r="Y550" s="34"/>
      <c r="Z550" s="34"/>
      <c r="AA550" s="25"/>
      <c r="AB550" s="25"/>
      <c r="AC550" s="25"/>
      <c r="AD550" s="25"/>
      <c r="AE550" s="25"/>
      <c r="AF550" s="25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25"/>
      <c r="AU550" s="34"/>
      <c r="AV550" s="34"/>
      <c r="AW550" s="34"/>
    </row>
    <row r="551" ht="15.0" customHeight="1">
      <c r="A551" s="32" t="s">
        <v>576</v>
      </c>
      <c r="B551" s="25"/>
      <c r="C551" s="25"/>
      <c r="D551" s="25"/>
      <c r="E551" s="25"/>
      <c r="F551" s="25"/>
      <c r="G551" s="35">
        <v>0.0</v>
      </c>
      <c r="H551" s="35">
        <v>1.0</v>
      </c>
      <c r="I551" s="25"/>
      <c r="J551" s="25"/>
      <c r="K551" s="25"/>
      <c r="L551" s="35"/>
      <c r="M551" s="35"/>
      <c r="N551" s="25"/>
      <c r="O551" s="25"/>
      <c r="P551" s="25"/>
      <c r="Q551" s="35">
        <v>2.0</v>
      </c>
      <c r="R551" s="35">
        <v>2.0</v>
      </c>
      <c r="S551" s="35">
        <v>2.0</v>
      </c>
      <c r="T551" s="35">
        <v>2.0</v>
      </c>
      <c r="U551" s="34"/>
      <c r="V551" s="34"/>
      <c r="W551" s="34"/>
      <c r="X551" s="34"/>
      <c r="Y551" s="34"/>
      <c r="Z551" s="34"/>
      <c r="AA551" s="25"/>
      <c r="AB551" s="25"/>
      <c r="AC551" s="25"/>
      <c r="AD551" s="25"/>
      <c r="AE551" s="25"/>
      <c r="AF551" s="25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25"/>
      <c r="AU551" s="34"/>
      <c r="AV551" s="34"/>
      <c r="AW551" s="34"/>
    </row>
    <row r="552" ht="15.0" customHeight="1">
      <c r="A552" s="32" t="s">
        <v>577</v>
      </c>
      <c r="B552" s="25"/>
      <c r="C552" s="25"/>
      <c r="D552" s="25"/>
      <c r="E552" s="25"/>
      <c r="F552" s="25"/>
      <c r="G552" s="35">
        <v>0.0</v>
      </c>
      <c r="H552" s="35">
        <v>1.0</v>
      </c>
      <c r="I552" s="25"/>
      <c r="J552" s="25"/>
      <c r="K552" s="25"/>
      <c r="L552" s="35"/>
      <c r="M552" s="35"/>
      <c r="N552" s="25"/>
      <c r="O552" s="25"/>
      <c r="P552" s="25"/>
      <c r="Q552" s="35">
        <v>2.0</v>
      </c>
      <c r="R552" s="35">
        <v>2.0</v>
      </c>
      <c r="S552" s="35">
        <v>2.0</v>
      </c>
      <c r="T552" s="35">
        <v>2.0</v>
      </c>
      <c r="U552" s="34"/>
      <c r="V552" s="34"/>
      <c r="W552" s="34"/>
      <c r="X552" s="34"/>
      <c r="Y552" s="34"/>
      <c r="Z552" s="34"/>
      <c r="AA552" s="25"/>
      <c r="AB552" s="25"/>
      <c r="AC552" s="25"/>
      <c r="AD552" s="25"/>
      <c r="AE552" s="25"/>
      <c r="AF552" s="25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25"/>
      <c r="AU552" s="34"/>
      <c r="AV552" s="34"/>
      <c r="AW552" s="34"/>
    </row>
    <row r="553" ht="15.0" customHeight="1">
      <c r="A553" s="32" t="s">
        <v>578</v>
      </c>
      <c r="B553" s="25"/>
      <c r="C553" s="25"/>
      <c r="D553" s="25"/>
      <c r="E553" s="25"/>
      <c r="F553" s="25"/>
      <c r="G553" s="35">
        <v>0.0</v>
      </c>
      <c r="H553" s="35">
        <v>1.0</v>
      </c>
      <c r="I553" s="25"/>
      <c r="J553" s="25"/>
      <c r="K553" s="25"/>
      <c r="L553" s="35"/>
      <c r="M553" s="35"/>
      <c r="N553" s="25"/>
      <c r="O553" s="25"/>
      <c r="P553" s="25"/>
      <c r="Q553" s="35">
        <v>2.0</v>
      </c>
      <c r="R553" s="35">
        <v>2.0</v>
      </c>
      <c r="S553" s="35">
        <v>2.0</v>
      </c>
      <c r="T553" s="35">
        <v>2.0</v>
      </c>
      <c r="U553" s="34"/>
      <c r="V553" s="34"/>
      <c r="W553" s="34"/>
      <c r="X553" s="34"/>
      <c r="Y553" s="34"/>
      <c r="Z553" s="34"/>
      <c r="AA553" s="25"/>
      <c r="AB553" s="25"/>
      <c r="AC553" s="25"/>
      <c r="AD553" s="25"/>
      <c r="AE553" s="25"/>
      <c r="AF553" s="25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25"/>
      <c r="AU553" s="34"/>
      <c r="AV553" s="34"/>
      <c r="AW553" s="34"/>
    </row>
    <row r="554" ht="15.0" customHeight="1">
      <c r="A554" s="32" t="s">
        <v>579</v>
      </c>
      <c r="B554" s="25"/>
      <c r="C554" s="25"/>
      <c r="D554" s="25"/>
      <c r="E554" s="25"/>
      <c r="F554" s="25"/>
      <c r="G554" s="35">
        <v>0.0</v>
      </c>
      <c r="H554" s="35">
        <v>1.0</v>
      </c>
      <c r="I554" s="25"/>
      <c r="J554" s="25"/>
      <c r="K554" s="25"/>
      <c r="L554" s="35"/>
      <c r="M554" s="35"/>
      <c r="N554" s="25"/>
      <c r="O554" s="25"/>
      <c r="P554" s="25"/>
      <c r="Q554" s="35">
        <v>2.0</v>
      </c>
      <c r="R554" s="35">
        <v>2.0</v>
      </c>
      <c r="S554" s="35">
        <v>2.0</v>
      </c>
      <c r="T554" s="35">
        <v>2.0</v>
      </c>
      <c r="U554" s="34"/>
      <c r="V554" s="34"/>
      <c r="W554" s="34"/>
      <c r="X554" s="34"/>
      <c r="Y554" s="34"/>
      <c r="Z554" s="34"/>
      <c r="AA554" s="25"/>
      <c r="AB554" s="25"/>
      <c r="AC554" s="25"/>
      <c r="AD554" s="25"/>
      <c r="AE554" s="25"/>
      <c r="AF554" s="25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25"/>
      <c r="AU554" s="34"/>
      <c r="AV554" s="34"/>
      <c r="AW554" s="34"/>
    </row>
    <row r="555" ht="15.0" customHeight="1">
      <c r="A555" s="32" t="s">
        <v>580</v>
      </c>
      <c r="B555" s="25"/>
      <c r="C555" s="25"/>
      <c r="D555" s="25"/>
      <c r="E555" s="25"/>
      <c r="F555" s="25"/>
      <c r="G555" s="35">
        <v>0.0</v>
      </c>
      <c r="H555" s="35">
        <v>1.0</v>
      </c>
      <c r="I555" s="25"/>
      <c r="J555" s="25"/>
      <c r="K555" s="25"/>
      <c r="L555" s="35"/>
      <c r="M555" s="35"/>
      <c r="N555" s="25"/>
      <c r="O555" s="25"/>
      <c r="P555" s="25"/>
      <c r="Q555" s="35">
        <v>2.0</v>
      </c>
      <c r="R555" s="35">
        <v>2.0</v>
      </c>
      <c r="S555" s="35">
        <v>2.0</v>
      </c>
      <c r="T555" s="35">
        <v>2.0</v>
      </c>
      <c r="U555" s="34"/>
      <c r="V555" s="34"/>
      <c r="W555" s="34"/>
      <c r="X555" s="34"/>
      <c r="Y555" s="34"/>
      <c r="Z555" s="34"/>
      <c r="AA555" s="25"/>
      <c r="AB555" s="25"/>
      <c r="AC555" s="25"/>
      <c r="AD555" s="25"/>
      <c r="AE555" s="25"/>
      <c r="AF555" s="25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25"/>
      <c r="AU555" s="34"/>
      <c r="AV555" s="34"/>
      <c r="AW555" s="34"/>
    </row>
    <row r="556" ht="15.0" customHeight="1">
      <c r="A556" s="32" t="s">
        <v>581</v>
      </c>
      <c r="B556" s="25"/>
      <c r="C556" s="25"/>
      <c r="D556" s="25"/>
      <c r="E556" s="25"/>
      <c r="F556" s="25"/>
      <c r="G556" s="35">
        <v>0.0</v>
      </c>
      <c r="H556" s="35">
        <v>1.0</v>
      </c>
      <c r="I556" s="25"/>
      <c r="J556" s="25"/>
      <c r="K556" s="25"/>
      <c r="L556" s="35"/>
      <c r="M556" s="35"/>
      <c r="N556" s="25"/>
      <c r="O556" s="25"/>
      <c r="P556" s="25"/>
      <c r="Q556" s="35">
        <v>2.0</v>
      </c>
      <c r="R556" s="35">
        <v>2.0</v>
      </c>
      <c r="S556" s="35">
        <v>2.0</v>
      </c>
      <c r="T556" s="35">
        <v>2.0</v>
      </c>
      <c r="U556" s="34"/>
      <c r="V556" s="34"/>
      <c r="W556" s="34"/>
      <c r="X556" s="34"/>
      <c r="Y556" s="34"/>
      <c r="Z556" s="34"/>
      <c r="AA556" s="25"/>
      <c r="AB556" s="25"/>
      <c r="AC556" s="25"/>
      <c r="AD556" s="25"/>
      <c r="AE556" s="25"/>
      <c r="AF556" s="25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25"/>
      <c r="AU556" s="34"/>
      <c r="AV556" s="34"/>
      <c r="AW556" s="34"/>
    </row>
    <row r="557" ht="15.0" customHeight="1">
      <c r="A557" s="32" t="s">
        <v>582</v>
      </c>
      <c r="B557" s="25"/>
      <c r="C557" s="25"/>
      <c r="D557" s="25"/>
      <c r="E557" s="25"/>
      <c r="F557" s="25"/>
      <c r="G557" s="35">
        <v>0.0</v>
      </c>
      <c r="H557" s="35">
        <v>1.0</v>
      </c>
      <c r="I557" s="25"/>
      <c r="J557" s="25"/>
      <c r="K557" s="25"/>
      <c r="L557" s="35"/>
      <c r="M557" s="35"/>
      <c r="N557" s="25"/>
      <c r="O557" s="25"/>
      <c r="P557" s="25"/>
      <c r="Q557" s="35">
        <v>2.0</v>
      </c>
      <c r="R557" s="35">
        <v>2.0</v>
      </c>
      <c r="S557" s="35">
        <v>2.0</v>
      </c>
      <c r="T557" s="35">
        <v>2.0</v>
      </c>
      <c r="U557" s="34"/>
      <c r="V557" s="34"/>
      <c r="W557" s="34"/>
      <c r="X557" s="34"/>
      <c r="Y557" s="34"/>
      <c r="Z557" s="34"/>
      <c r="AA557" s="25"/>
      <c r="AB557" s="25"/>
      <c r="AC557" s="25"/>
      <c r="AD557" s="25"/>
      <c r="AE557" s="25"/>
      <c r="AF557" s="25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25"/>
      <c r="AU557" s="34"/>
      <c r="AV557" s="34"/>
      <c r="AW557" s="34"/>
    </row>
    <row r="558" ht="15.0" customHeight="1">
      <c r="A558" s="32" t="s">
        <v>583</v>
      </c>
      <c r="B558" s="25"/>
      <c r="C558" s="25"/>
      <c r="D558" s="25"/>
      <c r="E558" s="25"/>
      <c r="F558" s="25"/>
      <c r="G558" s="35">
        <v>0.0</v>
      </c>
      <c r="H558" s="35">
        <v>1.0</v>
      </c>
      <c r="I558" s="25"/>
      <c r="J558" s="25"/>
      <c r="K558" s="25"/>
      <c r="L558" s="35"/>
      <c r="M558" s="35"/>
      <c r="N558" s="25"/>
      <c r="O558" s="25"/>
      <c r="P558" s="25"/>
      <c r="Q558" s="35">
        <v>2.0</v>
      </c>
      <c r="R558" s="35">
        <v>2.0</v>
      </c>
      <c r="S558" s="35">
        <v>2.0</v>
      </c>
      <c r="T558" s="35">
        <v>2.0</v>
      </c>
      <c r="U558" s="34"/>
      <c r="V558" s="34"/>
      <c r="W558" s="34"/>
      <c r="X558" s="34"/>
      <c r="Y558" s="34"/>
      <c r="Z558" s="34"/>
      <c r="AA558" s="25"/>
      <c r="AB558" s="25"/>
      <c r="AC558" s="25"/>
      <c r="AD558" s="25"/>
      <c r="AE558" s="25"/>
      <c r="AF558" s="25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25"/>
      <c r="AU558" s="34"/>
      <c r="AV558" s="34"/>
      <c r="AW558" s="34"/>
    </row>
    <row r="559" ht="15.0" customHeight="1">
      <c r="A559" s="32" t="s">
        <v>584</v>
      </c>
      <c r="B559" s="25"/>
      <c r="C559" s="25"/>
      <c r="D559" s="25"/>
      <c r="E559" s="25"/>
      <c r="F559" s="25"/>
      <c r="G559" s="35">
        <v>0.0</v>
      </c>
      <c r="H559" s="35">
        <v>1.0</v>
      </c>
      <c r="I559" s="25"/>
      <c r="J559" s="25"/>
      <c r="K559" s="25"/>
      <c r="L559" s="35"/>
      <c r="M559" s="35"/>
      <c r="N559" s="25"/>
      <c r="O559" s="25"/>
      <c r="P559" s="25"/>
      <c r="Q559" s="35">
        <v>2.0</v>
      </c>
      <c r="R559" s="35">
        <v>2.0</v>
      </c>
      <c r="S559" s="35">
        <v>2.0</v>
      </c>
      <c r="T559" s="35">
        <v>2.0</v>
      </c>
      <c r="U559" s="34"/>
      <c r="V559" s="34"/>
      <c r="W559" s="34"/>
      <c r="X559" s="34"/>
      <c r="Y559" s="34"/>
      <c r="Z559" s="34"/>
      <c r="AA559" s="25"/>
      <c r="AB559" s="25"/>
      <c r="AC559" s="25"/>
      <c r="AD559" s="25"/>
      <c r="AE559" s="25"/>
      <c r="AF559" s="25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25"/>
      <c r="AU559" s="34"/>
      <c r="AV559" s="34"/>
      <c r="AW559" s="34"/>
    </row>
    <row r="560" ht="15.0" customHeight="1">
      <c r="A560" s="32" t="s">
        <v>585</v>
      </c>
      <c r="B560" s="25"/>
      <c r="C560" s="25"/>
      <c r="D560" s="25"/>
      <c r="E560" s="25"/>
      <c r="F560" s="25"/>
      <c r="G560" s="35">
        <v>0.0</v>
      </c>
      <c r="H560" s="35">
        <v>1.0</v>
      </c>
      <c r="I560" s="25"/>
      <c r="J560" s="25"/>
      <c r="K560" s="25"/>
      <c r="L560" s="35"/>
      <c r="M560" s="35"/>
      <c r="N560" s="25"/>
      <c r="O560" s="25"/>
      <c r="P560" s="25"/>
      <c r="Q560" s="35">
        <v>2.0</v>
      </c>
      <c r="R560" s="35">
        <v>2.0</v>
      </c>
      <c r="S560" s="35">
        <v>2.0</v>
      </c>
      <c r="T560" s="35">
        <v>2.0</v>
      </c>
      <c r="U560" s="34"/>
      <c r="V560" s="34"/>
      <c r="W560" s="34"/>
      <c r="X560" s="34"/>
      <c r="Y560" s="34"/>
      <c r="Z560" s="34"/>
      <c r="AA560" s="25"/>
      <c r="AB560" s="25"/>
      <c r="AC560" s="25"/>
      <c r="AD560" s="25"/>
      <c r="AE560" s="25"/>
      <c r="AF560" s="25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25"/>
      <c r="AU560" s="34"/>
      <c r="AV560" s="34"/>
      <c r="AW560" s="34"/>
    </row>
    <row r="561" ht="15.0" customHeight="1">
      <c r="A561" s="32" t="s">
        <v>586</v>
      </c>
      <c r="B561" s="25"/>
      <c r="C561" s="25"/>
      <c r="D561" s="25"/>
      <c r="E561" s="25"/>
      <c r="F561" s="25"/>
      <c r="G561" s="35">
        <v>0.0</v>
      </c>
      <c r="H561" s="35">
        <v>1.0</v>
      </c>
      <c r="I561" s="25"/>
      <c r="J561" s="25"/>
      <c r="K561" s="25"/>
      <c r="L561" s="35"/>
      <c r="M561" s="35"/>
      <c r="N561" s="25"/>
      <c r="O561" s="25"/>
      <c r="P561" s="25"/>
      <c r="Q561" s="35">
        <v>2.0</v>
      </c>
      <c r="R561" s="35">
        <v>2.0</v>
      </c>
      <c r="S561" s="35">
        <v>2.0</v>
      </c>
      <c r="T561" s="35">
        <v>2.0</v>
      </c>
      <c r="U561" s="34"/>
      <c r="V561" s="34"/>
      <c r="W561" s="34"/>
      <c r="X561" s="34"/>
      <c r="Y561" s="34"/>
      <c r="Z561" s="34"/>
      <c r="AA561" s="25"/>
      <c r="AB561" s="25"/>
      <c r="AC561" s="25"/>
      <c r="AD561" s="25"/>
      <c r="AE561" s="25"/>
      <c r="AF561" s="25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25"/>
      <c r="AU561" s="34"/>
      <c r="AV561" s="34"/>
      <c r="AW561" s="34"/>
    </row>
    <row r="562" ht="15.0" customHeight="1">
      <c r="A562" s="32" t="s">
        <v>587</v>
      </c>
      <c r="B562" s="25"/>
      <c r="C562" s="25"/>
      <c r="D562" s="25"/>
      <c r="E562" s="25"/>
      <c r="F562" s="25"/>
      <c r="G562" s="35">
        <v>0.0</v>
      </c>
      <c r="H562" s="35">
        <v>1.0</v>
      </c>
      <c r="I562" s="25"/>
      <c r="J562" s="25"/>
      <c r="K562" s="25"/>
      <c r="L562" s="35"/>
      <c r="M562" s="35"/>
      <c r="N562" s="25"/>
      <c r="O562" s="25"/>
      <c r="P562" s="25"/>
      <c r="Q562" s="35">
        <v>2.0</v>
      </c>
      <c r="R562" s="35">
        <v>2.0</v>
      </c>
      <c r="S562" s="35">
        <v>2.0</v>
      </c>
      <c r="T562" s="35">
        <v>2.0</v>
      </c>
      <c r="U562" s="34"/>
      <c r="V562" s="34"/>
      <c r="W562" s="34"/>
      <c r="X562" s="34"/>
      <c r="Y562" s="34"/>
      <c r="Z562" s="34"/>
      <c r="AA562" s="25"/>
      <c r="AB562" s="25"/>
      <c r="AC562" s="25"/>
      <c r="AD562" s="25"/>
      <c r="AE562" s="25"/>
      <c r="AF562" s="25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25"/>
      <c r="AU562" s="34"/>
      <c r="AV562" s="34"/>
      <c r="AW562" s="34"/>
    </row>
    <row r="563" ht="15.0" customHeight="1">
      <c r="A563" s="32" t="s">
        <v>588</v>
      </c>
      <c r="B563" s="25"/>
      <c r="C563" s="25"/>
      <c r="D563" s="25"/>
      <c r="E563" s="25"/>
      <c r="F563" s="25"/>
      <c r="G563" s="35">
        <v>0.0</v>
      </c>
      <c r="H563" s="35">
        <v>1.0</v>
      </c>
      <c r="I563" s="25"/>
      <c r="J563" s="25"/>
      <c r="K563" s="25"/>
      <c r="L563" s="35"/>
      <c r="M563" s="35"/>
      <c r="N563" s="25"/>
      <c r="O563" s="25"/>
      <c r="P563" s="25"/>
      <c r="Q563" s="35">
        <v>2.0</v>
      </c>
      <c r="R563" s="35">
        <v>2.0</v>
      </c>
      <c r="S563" s="35">
        <v>2.0</v>
      </c>
      <c r="T563" s="35">
        <v>2.0</v>
      </c>
      <c r="U563" s="34"/>
      <c r="V563" s="34"/>
      <c r="W563" s="34"/>
      <c r="X563" s="34"/>
      <c r="Y563" s="34"/>
      <c r="Z563" s="34"/>
      <c r="AA563" s="25"/>
      <c r="AB563" s="25"/>
      <c r="AC563" s="25"/>
      <c r="AD563" s="25"/>
      <c r="AE563" s="25"/>
      <c r="AF563" s="25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25"/>
      <c r="AU563" s="34"/>
      <c r="AV563" s="34"/>
      <c r="AW563" s="34"/>
    </row>
    <row r="564" ht="15.0" customHeight="1">
      <c r="A564" s="32" t="s">
        <v>589</v>
      </c>
      <c r="B564" s="25"/>
      <c r="C564" s="25"/>
      <c r="D564" s="25"/>
      <c r="E564" s="25"/>
      <c r="F564" s="25"/>
      <c r="G564" s="35">
        <v>0.0</v>
      </c>
      <c r="H564" s="35">
        <v>1.0</v>
      </c>
      <c r="I564" s="25"/>
      <c r="J564" s="25"/>
      <c r="K564" s="25"/>
      <c r="L564" s="35"/>
      <c r="M564" s="35"/>
      <c r="N564" s="25"/>
      <c r="O564" s="25"/>
      <c r="P564" s="25"/>
      <c r="Q564" s="35">
        <v>2.0</v>
      </c>
      <c r="R564" s="35">
        <v>2.0</v>
      </c>
      <c r="S564" s="35">
        <v>2.0</v>
      </c>
      <c r="T564" s="35">
        <v>2.0</v>
      </c>
      <c r="U564" s="34"/>
      <c r="V564" s="34"/>
      <c r="W564" s="34"/>
      <c r="X564" s="34"/>
      <c r="Y564" s="34"/>
      <c r="Z564" s="34"/>
      <c r="AA564" s="25"/>
      <c r="AB564" s="25"/>
      <c r="AC564" s="25"/>
      <c r="AD564" s="25"/>
      <c r="AE564" s="25"/>
      <c r="AF564" s="25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25"/>
      <c r="AU564" s="34"/>
      <c r="AV564" s="34"/>
      <c r="AW564" s="34"/>
    </row>
    <row r="565" ht="15.0" customHeight="1">
      <c r="A565" s="32" t="s">
        <v>590</v>
      </c>
      <c r="B565" s="25"/>
      <c r="C565" s="25"/>
      <c r="D565" s="25"/>
      <c r="E565" s="25"/>
      <c r="F565" s="25"/>
      <c r="G565" s="35">
        <v>0.0</v>
      </c>
      <c r="H565" s="35">
        <v>1.0</v>
      </c>
      <c r="I565" s="25"/>
      <c r="J565" s="25"/>
      <c r="K565" s="25"/>
      <c r="L565" s="35"/>
      <c r="M565" s="35"/>
      <c r="N565" s="25"/>
      <c r="O565" s="25"/>
      <c r="P565" s="25"/>
      <c r="Q565" s="35">
        <v>2.0</v>
      </c>
      <c r="R565" s="35">
        <v>2.0</v>
      </c>
      <c r="S565" s="35">
        <v>2.0</v>
      </c>
      <c r="T565" s="35">
        <v>2.0</v>
      </c>
      <c r="U565" s="34"/>
      <c r="V565" s="34"/>
      <c r="W565" s="34"/>
      <c r="X565" s="34"/>
      <c r="Y565" s="34"/>
      <c r="Z565" s="34"/>
      <c r="AA565" s="25"/>
      <c r="AB565" s="25"/>
      <c r="AC565" s="25"/>
      <c r="AD565" s="25"/>
      <c r="AE565" s="25"/>
      <c r="AF565" s="25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25"/>
      <c r="AU565" s="34"/>
      <c r="AV565" s="34"/>
      <c r="AW565" s="34"/>
    </row>
    <row r="566" ht="15.0" customHeight="1">
      <c r="A566" s="32" t="s">
        <v>591</v>
      </c>
      <c r="B566" s="25"/>
      <c r="C566" s="25"/>
      <c r="D566" s="25"/>
      <c r="E566" s="25"/>
      <c r="F566" s="25"/>
      <c r="G566" s="35">
        <v>0.0</v>
      </c>
      <c r="H566" s="35">
        <v>1.0</v>
      </c>
      <c r="I566" s="25"/>
      <c r="J566" s="25"/>
      <c r="K566" s="25"/>
      <c r="L566" s="35"/>
      <c r="M566" s="35"/>
      <c r="N566" s="25"/>
      <c r="O566" s="25"/>
      <c r="P566" s="25"/>
      <c r="Q566" s="35">
        <v>2.0</v>
      </c>
      <c r="R566" s="35">
        <v>2.0</v>
      </c>
      <c r="S566" s="35">
        <v>2.0</v>
      </c>
      <c r="T566" s="35">
        <v>2.0</v>
      </c>
      <c r="U566" s="34"/>
      <c r="V566" s="34"/>
      <c r="W566" s="34"/>
      <c r="X566" s="34"/>
      <c r="Y566" s="34"/>
      <c r="Z566" s="34"/>
      <c r="AA566" s="25"/>
      <c r="AB566" s="25"/>
      <c r="AC566" s="25"/>
      <c r="AD566" s="25"/>
      <c r="AE566" s="25"/>
      <c r="AF566" s="25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25"/>
      <c r="AU566" s="34"/>
      <c r="AV566" s="34"/>
      <c r="AW566" s="34"/>
    </row>
    <row r="567" ht="15.0" customHeight="1">
      <c r="A567" s="32" t="s">
        <v>592</v>
      </c>
      <c r="B567" s="25"/>
      <c r="C567" s="25"/>
      <c r="D567" s="25"/>
      <c r="E567" s="25"/>
      <c r="F567" s="25"/>
      <c r="G567" s="35">
        <v>0.0</v>
      </c>
      <c r="H567" s="35">
        <v>1.0</v>
      </c>
      <c r="I567" s="25"/>
      <c r="J567" s="25"/>
      <c r="K567" s="25"/>
      <c r="L567" s="35"/>
      <c r="M567" s="35"/>
      <c r="N567" s="25"/>
      <c r="O567" s="25"/>
      <c r="P567" s="25"/>
      <c r="Q567" s="35">
        <v>2.0</v>
      </c>
      <c r="R567" s="35">
        <v>2.0</v>
      </c>
      <c r="S567" s="35">
        <v>2.0</v>
      </c>
      <c r="T567" s="35">
        <v>2.0</v>
      </c>
      <c r="U567" s="34"/>
      <c r="V567" s="34"/>
      <c r="W567" s="34"/>
      <c r="X567" s="34"/>
      <c r="Y567" s="34"/>
      <c r="Z567" s="34"/>
      <c r="AA567" s="25"/>
      <c r="AB567" s="25"/>
      <c r="AC567" s="25"/>
      <c r="AD567" s="25"/>
      <c r="AE567" s="25"/>
      <c r="AF567" s="25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25"/>
      <c r="AU567" s="34"/>
      <c r="AV567" s="34"/>
      <c r="AW567" s="34"/>
    </row>
    <row r="568" ht="15.0" customHeight="1">
      <c r="A568" s="32" t="s">
        <v>593</v>
      </c>
      <c r="B568" s="25"/>
      <c r="C568" s="25"/>
      <c r="D568" s="25"/>
      <c r="E568" s="25"/>
      <c r="F568" s="25"/>
      <c r="G568" s="35">
        <v>0.0</v>
      </c>
      <c r="H568" s="35">
        <v>1.0</v>
      </c>
      <c r="I568" s="25"/>
      <c r="J568" s="25"/>
      <c r="K568" s="25"/>
      <c r="L568" s="35"/>
      <c r="M568" s="35"/>
      <c r="N568" s="25"/>
      <c r="O568" s="25"/>
      <c r="P568" s="25"/>
      <c r="Q568" s="35">
        <v>2.0</v>
      </c>
      <c r="R568" s="35">
        <v>2.0</v>
      </c>
      <c r="S568" s="35">
        <v>2.0</v>
      </c>
      <c r="T568" s="35">
        <v>2.0</v>
      </c>
      <c r="U568" s="34"/>
      <c r="V568" s="34"/>
      <c r="W568" s="34"/>
      <c r="X568" s="34"/>
      <c r="Y568" s="34"/>
      <c r="Z568" s="34"/>
      <c r="AA568" s="25"/>
      <c r="AB568" s="25"/>
      <c r="AC568" s="25"/>
      <c r="AD568" s="25"/>
      <c r="AE568" s="25"/>
      <c r="AF568" s="25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25"/>
      <c r="AU568" s="34"/>
      <c r="AV568" s="34"/>
      <c r="AW568" s="34"/>
    </row>
    <row r="569" ht="15.0" customHeight="1">
      <c r="A569" s="32" t="s">
        <v>594</v>
      </c>
      <c r="B569" s="25"/>
      <c r="C569" s="25"/>
      <c r="D569" s="25"/>
      <c r="E569" s="25"/>
      <c r="F569" s="25"/>
      <c r="G569" s="35">
        <v>0.0</v>
      </c>
      <c r="H569" s="35">
        <v>1.0</v>
      </c>
      <c r="I569" s="25"/>
      <c r="J569" s="25"/>
      <c r="K569" s="25"/>
      <c r="L569" s="35"/>
      <c r="M569" s="35"/>
      <c r="N569" s="25"/>
      <c r="O569" s="25"/>
      <c r="P569" s="25"/>
      <c r="Q569" s="35">
        <v>2.0</v>
      </c>
      <c r="R569" s="35">
        <v>2.0</v>
      </c>
      <c r="S569" s="35">
        <v>2.0</v>
      </c>
      <c r="T569" s="35">
        <v>2.0</v>
      </c>
      <c r="U569" s="34"/>
      <c r="V569" s="34"/>
      <c r="W569" s="34"/>
      <c r="X569" s="34"/>
      <c r="Y569" s="34"/>
      <c r="Z569" s="34"/>
      <c r="AA569" s="25"/>
      <c r="AB569" s="25"/>
      <c r="AC569" s="25"/>
      <c r="AD569" s="25"/>
      <c r="AE569" s="25"/>
      <c r="AF569" s="25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25"/>
      <c r="AU569" s="34"/>
      <c r="AV569" s="34"/>
      <c r="AW569" s="34"/>
    </row>
    <row r="570" ht="15.0" customHeight="1">
      <c r="A570" s="32" t="s">
        <v>595</v>
      </c>
      <c r="B570" s="25"/>
      <c r="C570" s="25"/>
      <c r="D570" s="25"/>
      <c r="E570" s="25"/>
      <c r="F570" s="25"/>
      <c r="G570" s="35">
        <v>0.0</v>
      </c>
      <c r="H570" s="35">
        <v>1.0</v>
      </c>
      <c r="I570" s="25"/>
      <c r="J570" s="25"/>
      <c r="K570" s="25"/>
      <c r="L570" s="35"/>
      <c r="M570" s="35"/>
      <c r="N570" s="25"/>
      <c r="O570" s="25"/>
      <c r="P570" s="25"/>
      <c r="Q570" s="35">
        <v>2.0</v>
      </c>
      <c r="R570" s="35">
        <v>2.0</v>
      </c>
      <c r="S570" s="35">
        <v>2.0</v>
      </c>
      <c r="T570" s="35">
        <v>2.0</v>
      </c>
      <c r="U570" s="34"/>
      <c r="V570" s="34"/>
      <c r="W570" s="34"/>
      <c r="X570" s="34"/>
      <c r="Y570" s="34"/>
      <c r="Z570" s="34"/>
      <c r="AA570" s="25"/>
      <c r="AB570" s="25"/>
      <c r="AC570" s="25"/>
      <c r="AD570" s="25"/>
      <c r="AE570" s="25"/>
      <c r="AF570" s="25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25"/>
      <c r="AU570" s="34"/>
      <c r="AV570" s="34"/>
      <c r="AW570" s="34"/>
    </row>
    <row r="571" ht="15.0" customHeight="1">
      <c r="A571" s="32" t="s">
        <v>596</v>
      </c>
      <c r="B571" s="25"/>
      <c r="C571" s="25"/>
      <c r="D571" s="25"/>
      <c r="E571" s="25"/>
      <c r="F571" s="25"/>
      <c r="G571" s="35">
        <v>0.0</v>
      </c>
      <c r="H571" s="35">
        <v>1.0</v>
      </c>
      <c r="I571" s="25"/>
      <c r="J571" s="25"/>
      <c r="K571" s="25"/>
      <c r="L571" s="35"/>
      <c r="M571" s="35"/>
      <c r="N571" s="25"/>
      <c r="O571" s="25"/>
      <c r="P571" s="25"/>
      <c r="Q571" s="35">
        <v>2.0</v>
      </c>
      <c r="R571" s="35">
        <v>2.0</v>
      </c>
      <c r="S571" s="35">
        <v>2.0</v>
      </c>
      <c r="T571" s="35">
        <v>2.0</v>
      </c>
      <c r="U571" s="34"/>
      <c r="V571" s="34"/>
      <c r="W571" s="34"/>
      <c r="X571" s="34"/>
      <c r="Y571" s="34"/>
      <c r="Z571" s="34"/>
      <c r="AA571" s="25"/>
      <c r="AB571" s="25"/>
      <c r="AC571" s="25"/>
      <c r="AD571" s="25"/>
      <c r="AE571" s="25"/>
      <c r="AF571" s="25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25"/>
      <c r="AU571" s="34"/>
      <c r="AV571" s="34"/>
      <c r="AW571" s="34"/>
    </row>
    <row r="572" ht="15.0" customHeight="1">
      <c r="A572" s="32" t="s">
        <v>597</v>
      </c>
      <c r="B572" s="25"/>
      <c r="C572" s="25"/>
      <c r="D572" s="25"/>
      <c r="E572" s="25"/>
      <c r="F572" s="25"/>
      <c r="G572" s="35">
        <v>0.0</v>
      </c>
      <c r="H572" s="35">
        <v>1.0</v>
      </c>
      <c r="I572" s="25"/>
      <c r="J572" s="25"/>
      <c r="K572" s="25"/>
      <c r="L572" s="35"/>
      <c r="M572" s="35"/>
      <c r="N572" s="25"/>
      <c r="O572" s="25"/>
      <c r="P572" s="25"/>
      <c r="Q572" s="35">
        <v>2.0</v>
      </c>
      <c r="R572" s="35">
        <v>2.0</v>
      </c>
      <c r="S572" s="35">
        <v>2.0</v>
      </c>
      <c r="T572" s="35">
        <v>2.0</v>
      </c>
      <c r="U572" s="34"/>
      <c r="V572" s="34"/>
      <c r="W572" s="34"/>
      <c r="X572" s="34"/>
      <c r="Y572" s="34"/>
      <c r="Z572" s="34"/>
      <c r="AA572" s="25"/>
      <c r="AB572" s="25"/>
      <c r="AC572" s="25"/>
      <c r="AD572" s="25"/>
      <c r="AE572" s="25"/>
      <c r="AF572" s="25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25"/>
      <c r="AU572" s="34"/>
      <c r="AV572" s="34"/>
      <c r="AW572" s="34"/>
    </row>
    <row r="573" ht="15.0" customHeight="1">
      <c r="A573" s="32" t="s">
        <v>598</v>
      </c>
      <c r="B573" s="25"/>
      <c r="C573" s="25"/>
      <c r="D573" s="25"/>
      <c r="E573" s="25"/>
      <c r="F573" s="25"/>
      <c r="G573" s="35">
        <v>0.0</v>
      </c>
      <c r="H573" s="35">
        <v>1.0</v>
      </c>
      <c r="I573" s="25"/>
      <c r="J573" s="25"/>
      <c r="K573" s="25"/>
      <c r="L573" s="35"/>
      <c r="M573" s="35"/>
      <c r="N573" s="25"/>
      <c r="O573" s="25"/>
      <c r="P573" s="25"/>
      <c r="Q573" s="35">
        <v>2.0</v>
      </c>
      <c r="R573" s="35">
        <v>2.0</v>
      </c>
      <c r="S573" s="35">
        <v>2.0</v>
      </c>
      <c r="T573" s="35">
        <v>2.0</v>
      </c>
      <c r="U573" s="34"/>
      <c r="V573" s="34"/>
      <c r="W573" s="34"/>
      <c r="X573" s="34"/>
      <c r="Y573" s="34"/>
      <c r="Z573" s="34"/>
      <c r="AA573" s="25"/>
      <c r="AB573" s="25"/>
      <c r="AC573" s="25"/>
      <c r="AD573" s="25"/>
      <c r="AE573" s="25"/>
      <c r="AF573" s="25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25"/>
      <c r="AU573" s="34"/>
      <c r="AV573" s="34"/>
      <c r="AW573" s="34"/>
    </row>
    <row r="574" ht="15.0" customHeight="1">
      <c r="A574" s="32" t="s">
        <v>599</v>
      </c>
      <c r="B574" s="25"/>
      <c r="C574" s="25"/>
      <c r="D574" s="25"/>
      <c r="E574" s="25"/>
      <c r="F574" s="25"/>
      <c r="G574" s="35">
        <v>0.0</v>
      </c>
      <c r="H574" s="35">
        <v>1.0</v>
      </c>
      <c r="I574" s="25"/>
      <c r="J574" s="25"/>
      <c r="K574" s="25"/>
      <c r="L574" s="35"/>
      <c r="M574" s="35"/>
      <c r="N574" s="25"/>
      <c r="O574" s="25"/>
      <c r="P574" s="25"/>
      <c r="Q574" s="35">
        <v>2.0</v>
      </c>
      <c r="R574" s="35">
        <v>2.0</v>
      </c>
      <c r="S574" s="35">
        <v>2.0</v>
      </c>
      <c r="T574" s="35">
        <v>2.0</v>
      </c>
      <c r="U574" s="34"/>
      <c r="V574" s="34"/>
      <c r="W574" s="34"/>
      <c r="X574" s="34"/>
      <c r="Y574" s="34"/>
      <c r="Z574" s="34"/>
      <c r="AA574" s="25"/>
      <c r="AB574" s="25"/>
      <c r="AC574" s="25"/>
      <c r="AD574" s="25"/>
      <c r="AE574" s="25"/>
      <c r="AF574" s="25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25"/>
      <c r="AU574" s="34"/>
      <c r="AV574" s="34"/>
      <c r="AW574" s="34"/>
    </row>
    <row r="575" ht="15.0" customHeight="1">
      <c r="A575" s="32" t="s">
        <v>600</v>
      </c>
      <c r="B575" s="25"/>
      <c r="C575" s="25"/>
      <c r="D575" s="25"/>
      <c r="E575" s="25"/>
      <c r="F575" s="25"/>
      <c r="G575" s="35">
        <v>0.0</v>
      </c>
      <c r="H575" s="35">
        <v>1.0</v>
      </c>
      <c r="I575" s="25"/>
      <c r="J575" s="25"/>
      <c r="K575" s="25"/>
      <c r="L575" s="35"/>
      <c r="M575" s="35"/>
      <c r="N575" s="25"/>
      <c r="O575" s="25"/>
      <c r="P575" s="25"/>
      <c r="Q575" s="35">
        <v>2.0</v>
      </c>
      <c r="R575" s="35">
        <v>2.0</v>
      </c>
      <c r="S575" s="35">
        <v>2.0</v>
      </c>
      <c r="T575" s="35">
        <v>2.0</v>
      </c>
      <c r="U575" s="34"/>
      <c r="V575" s="34"/>
      <c r="W575" s="34"/>
      <c r="X575" s="34"/>
      <c r="Y575" s="34"/>
      <c r="Z575" s="34"/>
      <c r="AA575" s="25"/>
      <c r="AB575" s="25"/>
      <c r="AC575" s="25"/>
      <c r="AD575" s="25"/>
      <c r="AE575" s="25"/>
      <c r="AF575" s="25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25"/>
      <c r="AU575" s="34"/>
      <c r="AV575" s="34"/>
      <c r="AW575" s="34"/>
    </row>
    <row r="576" ht="15.0" customHeight="1">
      <c r="A576" s="32" t="s">
        <v>601</v>
      </c>
      <c r="B576" s="25"/>
      <c r="C576" s="25"/>
      <c r="D576" s="25"/>
      <c r="E576" s="25"/>
      <c r="F576" s="25"/>
      <c r="G576" s="35">
        <v>0.0</v>
      </c>
      <c r="H576" s="35">
        <v>1.0</v>
      </c>
      <c r="I576" s="25"/>
      <c r="J576" s="25"/>
      <c r="K576" s="25"/>
      <c r="L576" s="35"/>
      <c r="M576" s="35"/>
      <c r="N576" s="25"/>
      <c r="O576" s="25"/>
      <c r="P576" s="25"/>
      <c r="Q576" s="35">
        <v>2.0</v>
      </c>
      <c r="R576" s="35">
        <v>2.0</v>
      </c>
      <c r="S576" s="35">
        <v>2.0</v>
      </c>
      <c r="T576" s="35">
        <v>2.0</v>
      </c>
      <c r="U576" s="34"/>
      <c r="V576" s="34"/>
      <c r="W576" s="34"/>
      <c r="X576" s="34"/>
      <c r="Y576" s="34"/>
      <c r="Z576" s="34"/>
      <c r="AA576" s="25"/>
      <c r="AB576" s="25"/>
      <c r="AC576" s="25"/>
      <c r="AD576" s="25"/>
      <c r="AE576" s="25"/>
      <c r="AF576" s="25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25"/>
      <c r="AU576" s="34"/>
      <c r="AV576" s="34"/>
      <c r="AW576" s="34"/>
    </row>
    <row r="577" ht="15.0" customHeight="1">
      <c r="A577" s="32" t="s">
        <v>602</v>
      </c>
      <c r="B577" s="25"/>
      <c r="C577" s="25"/>
      <c r="D577" s="25"/>
      <c r="E577" s="25"/>
      <c r="F577" s="25"/>
      <c r="G577" s="35">
        <v>0.0</v>
      </c>
      <c r="H577" s="35">
        <v>1.0</v>
      </c>
      <c r="I577" s="25"/>
      <c r="J577" s="25"/>
      <c r="K577" s="25"/>
      <c r="L577" s="35"/>
      <c r="M577" s="35"/>
      <c r="N577" s="25"/>
      <c r="O577" s="25"/>
      <c r="P577" s="25"/>
      <c r="Q577" s="35">
        <v>2.0</v>
      </c>
      <c r="R577" s="35">
        <v>2.0</v>
      </c>
      <c r="S577" s="35">
        <v>2.0</v>
      </c>
      <c r="T577" s="35">
        <v>2.0</v>
      </c>
      <c r="U577" s="34"/>
      <c r="V577" s="34"/>
      <c r="W577" s="34"/>
      <c r="X577" s="34"/>
      <c r="Y577" s="34"/>
      <c r="Z577" s="34"/>
      <c r="AA577" s="25"/>
      <c r="AB577" s="25"/>
      <c r="AC577" s="25"/>
      <c r="AD577" s="25"/>
      <c r="AE577" s="25"/>
      <c r="AF577" s="25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25"/>
      <c r="AU577" s="34"/>
      <c r="AV577" s="34"/>
      <c r="AW577" s="34"/>
    </row>
    <row r="578" ht="15.0" customHeight="1">
      <c r="A578" s="32" t="s">
        <v>603</v>
      </c>
      <c r="B578" s="25"/>
      <c r="C578" s="25"/>
      <c r="D578" s="25"/>
      <c r="E578" s="25"/>
      <c r="F578" s="25"/>
      <c r="G578" s="35">
        <v>0.0</v>
      </c>
      <c r="H578" s="35">
        <v>1.0</v>
      </c>
      <c r="I578" s="25"/>
      <c r="J578" s="25"/>
      <c r="K578" s="25"/>
      <c r="L578" s="35"/>
      <c r="M578" s="35"/>
      <c r="N578" s="25"/>
      <c r="O578" s="25"/>
      <c r="P578" s="25"/>
      <c r="Q578" s="35">
        <v>2.0</v>
      </c>
      <c r="R578" s="35">
        <v>2.0</v>
      </c>
      <c r="S578" s="35">
        <v>2.0</v>
      </c>
      <c r="T578" s="35">
        <v>2.0</v>
      </c>
      <c r="U578" s="34"/>
      <c r="V578" s="34"/>
      <c r="W578" s="34"/>
      <c r="X578" s="34"/>
      <c r="Y578" s="34"/>
      <c r="Z578" s="34"/>
      <c r="AA578" s="25"/>
      <c r="AB578" s="25"/>
      <c r="AC578" s="25"/>
      <c r="AD578" s="25"/>
      <c r="AE578" s="25"/>
      <c r="AF578" s="25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25"/>
      <c r="AU578" s="34"/>
      <c r="AV578" s="34"/>
      <c r="AW578" s="34"/>
    </row>
    <row r="579" ht="15.0" customHeight="1">
      <c r="A579" s="32" t="s">
        <v>604</v>
      </c>
      <c r="B579" s="25"/>
      <c r="C579" s="25"/>
      <c r="D579" s="25"/>
      <c r="E579" s="25"/>
      <c r="F579" s="25"/>
      <c r="G579" s="35">
        <v>0.0</v>
      </c>
      <c r="H579" s="35">
        <v>1.0</v>
      </c>
      <c r="I579" s="25"/>
      <c r="J579" s="25"/>
      <c r="K579" s="25"/>
      <c r="L579" s="35"/>
      <c r="M579" s="35"/>
      <c r="N579" s="25"/>
      <c r="O579" s="25"/>
      <c r="P579" s="25"/>
      <c r="Q579" s="35">
        <v>2.0</v>
      </c>
      <c r="R579" s="35">
        <v>2.0</v>
      </c>
      <c r="S579" s="35">
        <v>2.0</v>
      </c>
      <c r="T579" s="35">
        <v>2.0</v>
      </c>
      <c r="U579" s="34"/>
      <c r="V579" s="34"/>
      <c r="W579" s="34"/>
      <c r="X579" s="34"/>
      <c r="Y579" s="34"/>
      <c r="Z579" s="34"/>
      <c r="AA579" s="25"/>
      <c r="AB579" s="25"/>
      <c r="AC579" s="25"/>
      <c r="AD579" s="25"/>
      <c r="AE579" s="25"/>
      <c r="AF579" s="25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25"/>
      <c r="AU579" s="34"/>
      <c r="AV579" s="34"/>
      <c r="AW579" s="34"/>
    </row>
    <row r="580" ht="15.0" customHeight="1">
      <c r="A580" s="32" t="s">
        <v>605</v>
      </c>
      <c r="B580" s="25"/>
      <c r="C580" s="25"/>
      <c r="D580" s="25"/>
      <c r="E580" s="25"/>
      <c r="F580" s="25"/>
      <c r="G580" s="35">
        <v>0.0</v>
      </c>
      <c r="H580" s="35">
        <v>1.0</v>
      </c>
      <c r="I580" s="25"/>
      <c r="J580" s="25"/>
      <c r="K580" s="25"/>
      <c r="L580" s="35"/>
      <c r="M580" s="35"/>
      <c r="N580" s="25"/>
      <c r="O580" s="25"/>
      <c r="P580" s="25"/>
      <c r="Q580" s="35">
        <v>2.0</v>
      </c>
      <c r="R580" s="35">
        <v>2.0</v>
      </c>
      <c r="S580" s="35">
        <v>2.0</v>
      </c>
      <c r="T580" s="35">
        <v>2.0</v>
      </c>
      <c r="U580" s="34"/>
      <c r="V580" s="34"/>
      <c r="W580" s="34"/>
      <c r="X580" s="34"/>
      <c r="Y580" s="34"/>
      <c r="Z580" s="34"/>
      <c r="AA580" s="25"/>
      <c r="AB580" s="25"/>
      <c r="AC580" s="25"/>
      <c r="AD580" s="25"/>
      <c r="AE580" s="25"/>
      <c r="AF580" s="25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25"/>
      <c r="AU580" s="34"/>
      <c r="AV580" s="34"/>
      <c r="AW580" s="34"/>
    </row>
    <row r="581" ht="15.0" customHeight="1">
      <c r="A581" s="32" t="s">
        <v>606</v>
      </c>
      <c r="B581" s="25"/>
      <c r="C581" s="25"/>
      <c r="D581" s="25"/>
      <c r="E581" s="25"/>
      <c r="F581" s="25"/>
      <c r="G581" s="35">
        <v>0.0</v>
      </c>
      <c r="H581" s="35">
        <v>1.0</v>
      </c>
      <c r="I581" s="25"/>
      <c r="J581" s="25"/>
      <c r="K581" s="25"/>
      <c r="L581" s="35"/>
      <c r="M581" s="35"/>
      <c r="N581" s="25"/>
      <c r="O581" s="25"/>
      <c r="P581" s="25"/>
      <c r="Q581" s="35">
        <v>2.0</v>
      </c>
      <c r="R581" s="35">
        <v>2.0</v>
      </c>
      <c r="S581" s="35">
        <v>2.0</v>
      </c>
      <c r="T581" s="35">
        <v>2.0</v>
      </c>
      <c r="U581" s="34"/>
      <c r="V581" s="34"/>
      <c r="W581" s="34"/>
      <c r="X581" s="34"/>
      <c r="Y581" s="34"/>
      <c r="Z581" s="34"/>
      <c r="AA581" s="25"/>
      <c r="AB581" s="25"/>
      <c r="AC581" s="25"/>
      <c r="AD581" s="25"/>
      <c r="AE581" s="25"/>
      <c r="AF581" s="25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25"/>
      <c r="AU581" s="34"/>
      <c r="AV581" s="34"/>
      <c r="AW581" s="34"/>
    </row>
    <row r="582" ht="15.0" customHeight="1">
      <c r="A582" s="32" t="s">
        <v>607</v>
      </c>
      <c r="B582" s="25"/>
      <c r="C582" s="25"/>
      <c r="D582" s="25"/>
      <c r="E582" s="25"/>
      <c r="F582" s="25"/>
      <c r="G582" s="35">
        <v>0.0</v>
      </c>
      <c r="H582" s="35">
        <v>1.0</v>
      </c>
      <c r="I582" s="25"/>
      <c r="J582" s="25"/>
      <c r="K582" s="25"/>
      <c r="L582" s="35"/>
      <c r="M582" s="35"/>
      <c r="N582" s="25"/>
      <c r="O582" s="25"/>
      <c r="P582" s="25"/>
      <c r="Q582" s="35">
        <v>2.0</v>
      </c>
      <c r="R582" s="35">
        <v>2.0</v>
      </c>
      <c r="S582" s="35">
        <v>2.0</v>
      </c>
      <c r="T582" s="35">
        <v>2.0</v>
      </c>
      <c r="U582" s="34"/>
      <c r="V582" s="34"/>
      <c r="W582" s="34"/>
      <c r="X582" s="34"/>
      <c r="Y582" s="34"/>
      <c r="Z582" s="34"/>
      <c r="AA582" s="25"/>
      <c r="AB582" s="25"/>
      <c r="AC582" s="25"/>
      <c r="AD582" s="25"/>
      <c r="AE582" s="25"/>
      <c r="AF582" s="25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25"/>
      <c r="AU582" s="34"/>
      <c r="AV582" s="34"/>
      <c r="AW582" s="34"/>
    </row>
    <row r="583" ht="15.0" customHeight="1">
      <c r="A583" s="32" t="s">
        <v>608</v>
      </c>
      <c r="B583" s="25"/>
      <c r="C583" s="25"/>
      <c r="D583" s="25"/>
      <c r="E583" s="25"/>
      <c r="F583" s="25"/>
      <c r="G583" s="35">
        <v>0.0</v>
      </c>
      <c r="H583" s="35">
        <v>1.0</v>
      </c>
      <c r="I583" s="25"/>
      <c r="J583" s="25"/>
      <c r="K583" s="25"/>
      <c r="L583" s="35"/>
      <c r="M583" s="35"/>
      <c r="N583" s="25"/>
      <c r="O583" s="25"/>
      <c r="P583" s="25"/>
      <c r="Q583" s="35">
        <v>2.0</v>
      </c>
      <c r="R583" s="35">
        <v>2.0</v>
      </c>
      <c r="S583" s="35">
        <v>2.0</v>
      </c>
      <c r="T583" s="35">
        <v>2.0</v>
      </c>
      <c r="U583" s="34"/>
      <c r="V583" s="34"/>
      <c r="W583" s="34"/>
      <c r="X583" s="34"/>
      <c r="Y583" s="34"/>
      <c r="Z583" s="34"/>
      <c r="AA583" s="25"/>
      <c r="AB583" s="25"/>
      <c r="AC583" s="25"/>
      <c r="AD583" s="25"/>
      <c r="AE583" s="25"/>
      <c r="AF583" s="25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25"/>
      <c r="AU583" s="34"/>
      <c r="AV583" s="34"/>
      <c r="AW583" s="34"/>
    </row>
    <row r="584" ht="15.0" customHeight="1">
      <c r="A584" s="32" t="s">
        <v>609</v>
      </c>
      <c r="B584" s="25"/>
      <c r="C584" s="25"/>
      <c r="D584" s="25"/>
      <c r="E584" s="25"/>
      <c r="F584" s="25"/>
      <c r="G584" s="35">
        <v>0.0</v>
      </c>
      <c r="H584" s="35">
        <v>1.0</v>
      </c>
      <c r="I584" s="25"/>
      <c r="J584" s="25"/>
      <c r="K584" s="25"/>
      <c r="L584" s="35"/>
      <c r="M584" s="35"/>
      <c r="N584" s="25"/>
      <c r="O584" s="25"/>
      <c r="P584" s="25"/>
      <c r="Q584" s="35">
        <v>2.0</v>
      </c>
      <c r="R584" s="35">
        <v>2.0</v>
      </c>
      <c r="S584" s="35">
        <v>2.0</v>
      </c>
      <c r="T584" s="35">
        <v>2.0</v>
      </c>
      <c r="U584" s="34"/>
      <c r="V584" s="34"/>
      <c r="W584" s="34"/>
      <c r="X584" s="34"/>
      <c r="Y584" s="34"/>
      <c r="Z584" s="34"/>
      <c r="AA584" s="25"/>
      <c r="AB584" s="25"/>
      <c r="AC584" s="25"/>
      <c r="AD584" s="25"/>
      <c r="AE584" s="25"/>
      <c r="AF584" s="25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25"/>
      <c r="AU584" s="34"/>
      <c r="AV584" s="34"/>
      <c r="AW584" s="34"/>
    </row>
    <row r="585" ht="15.0" customHeight="1">
      <c r="A585" s="32" t="s">
        <v>610</v>
      </c>
      <c r="B585" s="25"/>
      <c r="C585" s="25"/>
      <c r="D585" s="25"/>
      <c r="E585" s="25"/>
      <c r="F585" s="25"/>
      <c r="G585" s="35">
        <v>0.0</v>
      </c>
      <c r="H585" s="35">
        <v>1.0</v>
      </c>
      <c r="I585" s="25"/>
      <c r="J585" s="25"/>
      <c r="K585" s="25"/>
      <c r="L585" s="35"/>
      <c r="M585" s="35"/>
      <c r="N585" s="25"/>
      <c r="O585" s="25"/>
      <c r="P585" s="25"/>
      <c r="Q585" s="35">
        <v>2.0</v>
      </c>
      <c r="R585" s="35">
        <v>2.0</v>
      </c>
      <c r="S585" s="35">
        <v>2.0</v>
      </c>
      <c r="T585" s="35">
        <v>2.0</v>
      </c>
      <c r="U585" s="34"/>
      <c r="V585" s="34"/>
      <c r="W585" s="34"/>
      <c r="X585" s="34"/>
      <c r="Y585" s="34"/>
      <c r="Z585" s="34"/>
      <c r="AA585" s="25"/>
      <c r="AB585" s="25"/>
      <c r="AC585" s="25"/>
      <c r="AD585" s="25"/>
      <c r="AE585" s="25"/>
      <c r="AF585" s="25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25"/>
      <c r="AU585" s="34"/>
      <c r="AV585" s="34"/>
      <c r="AW585" s="34"/>
    </row>
    <row r="586" ht="15.0" customHeight="1">
      <c r="A586" s="32" t="s">
        <v>611</v>
      </c>
      <c r="B586" s="25"/>
      <c r="C586" s="25"/>
      <c r="D586" s="25"/>
      <c r="E586" s="25"/>
      <c r="F586" s="25"/>
      <c r="G586" s="35">
        <v>0.0</v>
      </c>
      <c r="H586" s="35">
        <v>1.0</v>
      </c>
      <c r="I586" s="25"/>
      <c r="J586" s="25"/>
      <c r="K586" s="25"/>
      <c r="L586" s="35"/>
      <c r="M586" s="35"/>
      <c r="N586" s="25"/>
      <c r="O586" s="25"/>
      <c r="P586" s="25"/>
      <c r="Q586" s="35">
        <v>2.0</v>
      </c>
      <c r="R586" s="35">
        <v>2.0</v>
      </c>
      <c r="S586" s="35">
        <v>2.0</v>
      </c>
      <c r="T586" s="35">
        <v>2.0</v>
      </c>
      <c r="U586" s="34"/>
      <c r="V586" s="34"/>
      <c r="W586" s="34"/>
      <c r="X586" s="34"/>
      <c r="Y586" s="34"/>
      <c r="Z586" s="34"/>
      <c r="AA586" s="25"/>
      <c r="AB586" s="25"/>
      <c r="AC586" s="25"/>
      <c r="AD586" s="25"/>
      <c r="AE586" s="25"/>
      <c r="AF586" s="25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25"/>
      <c r="AU586" s="34"/>
      <c r="AV586" s="34"/>
      <c r="AW586" s="34"/>
    </row>
    <row r="587" ht="15.0" customHeight="1">
      <c r="A587" s="32" t="s">
        <v>612</v>
      </c>
      <c r="B587" s="25"/>
      <c r="C587" s="25"/>
      <c r="D587" s="25"/>
      <c r="E587" s="25"/>
      <c r="F587" s="25"/>
      <c r="G587" s="35">
        <v>0.0</v>
      </c>
      <c r="H587" s="35">
        <v>1.0</v>
      </c>
      <c r="I587" s="25"/>
      <c r="J587" s="25"/>
      <c r="K587" s="25"/>
      <c r="L587" s="35"/>
      <c r="M587" s="35"/>
      <c r="N587" s="25"/>
      <c r="O587" s="25"/>
      <c r="P587" s="25"/>
      <c r="Q587" s="35">
        <v>2.0</v>
      </c>
      <c r="R587" s="35">
        <v>2.0</v>
      </c>
      <c r="S587" s="35">
        <v>2.0</v>
      </c>
      <c r="T587" s="35">
        <v>2.0</v>
      </c>
      <c r="U587" s="34"/>
      <c r="V587" s="34"/>
      <c r="W587" s="34"/>
      <c r="X587" s="34"/>
      <c r="Y587" s="34"/>
      <c r="Z587" s="34"/>
      <c r="AA587" s="25"/>
      <c r="AB587" s="25"/>
      <c r="AC587" s="25"/>
      <c r="AD587" s="25"/>
      <c r="AE587" s="25"/>
      <c r="AF587" s="25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25"/>
      <c r="AU587" s="34"/>
      <c r="AV587" s="34"/>
      <c r="AW587" s="34"/>
    </row>
    <row r="588" ht="15.0" customHeight="1">
      <c r="A588" s="32" t="s">
        <v>613</v>
      </c>
      <c r="B588" s="25"/>
      <c r="C588" s="25"/>
      <c r="D588" s="25"/>
      <c r="E588" s="25"/>
      <c r="F588" s="25"/>
      <c r="G588" s="35">
        <v>0.0</v>
      </c>
      <c r="H588" s="35">
        <v>1.0</v>
      </c>
      <c r="I588" s="25"/>
      <c r="J588" s="25"/>
      <c r="K588" s="25"/>
      <c r="L588" s="35"/>
      <c r="M588" s="35"/>
      <c r="N588" s="25"/>
      <c r="O588" s="25"/>
      <c r="P588" s="25"/>
      <c r="Q588" s="35">
        <v>2.0</v>
      </c>
      <c r="R588" s="35">
        <v>2.0</v>
      </c>
      <c r="S588" s="35">
        <v>2.0</v>
      </c>
      <c r="T588" s="35">
        <v>2.0</v>
      </c>
      <c r="U588" s="34"/>
      <c r="V588" s="34"/>
      <c r="W588" s="34"/>
      <c r="X588" s="34"/>
      <c r="Y588" s="34"/>
      <c r="Z588" s="34"/>
      <c r="AA588" s="25"/>
      <c r="AB588" s="25"/>
      <c r="AC588" s="25"/>
      <c r="AD588" s="25"/>
      <c r="AE588" s="25"/>
      <c r="AF588" s="25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25"/>
      <c r="AU588" s="34"/>
      <c r="AV588" s="34"/>
      <c r="AW588" s="34"/>
    </row>
    <row r="589" ht="15.0" customHeight="1">
      <c r="A589" s="32" t="s">
        <v>614</v>
      </c>
      <c r="B589" s="25"/>
      <c r="C589" s="25"/>
      <c r="D589" s="25"/>
      <c r="E589" s="25"/>
      <c r="F589" s="25"/>
      <c r="G589" s="35">
        <v>0.0</v>
      </c>
      <c r="H589" s="35">
        <v>1.0</v>
      </c>
      <c r="I589" s="25"/>
      <c r="J589" s="25"/>
      <c r="K589" s="25"/>
      <c r="L589" s="35"/>
      <c r="M589" s="35"/>
      <c r="N589" s="25"/>
      <c r="O589" s="25"/>
      <c r="P589" s="25"/>
      <c r="Q589" s="35">
        <v>2.0</v>
      </c>
      <c r="R589" s="35">
        <v>2.0</v>
      </c>
      <c r="S589" s="35">
        <v>2.0</v>
      </c>
      <c r="T589" s="35">
        <v>2.0</v>
      </c>
      <c r="U589" s="34"/>
      <c r="V589" s="34"/>
      <c r="W589" s="34"/>
      <c r="X589" s="34"/>
      <c r="Y589" s="34"/>
      <c r="Z589" s="34"/>
      <c r="AA589" s="25"/>
      <c r="AB589" s="25"/>
      <c r="AC589" s="25"/>
      <c r="AD589" s="25"/>
      <c r="AE589" s="25"/>
      <c r="AF589" s="25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25"/>
      <c r="AU589" s="34"/>
      <c r="AV589" s="34"/>
      <c r="AW589" s="34"/>
    </row>
    <row r="590" ht="15.0" customHeight="1">
      <c r="A590" s="32" t="s">
        <v>615</v>
      </c>
      <c r="B590" s="25"/>
      <c r="C590" s="25"/>
      <c r="D590" s="25"/>
      <c r="E590" s="25"/>
      <c r="F590" s="25"/>
      <c r="G590" s="35">
        <v>0.0</v>
      </c>
      <c r="H590" s="35">
        <v>1.0</v>
      </c>
      <c r="I590" s="25"/>
      <c r="J590" s="25"/>
      <c r="K590" s="25"/>
      <c r="L590" s="35"/>
      <c r="M590" s="35"/>
      <c r="N590" s="25"/>
      <c r="O590" s="25"/>
      <c r="P590" s="25"/>
      <c r="Q590" s="35">
        <v>2.0</v>
      </c>
      <c r="R590" s="35">
        <v>2.0</v>
      </c>
      <c r="S590" s="35">
        <v>2.0</v>
      </c>
      <c r="T590" s="35">
        <v>2.0</v>
      </c>
      <c r="U590" s="34"/>
      <c r="V590" s="34"/>
      <c r="W590" s="34"/>
      <c r="X590" s="34"/>
      <c r="Y590" s="34"/>
      <c r="Z590" s="34"/>
      <c r="AA590" s="25"/>
      <c r="AB590" s="25"/>
      <c r="AC590" s="25"/>
      <c r="AD590" s="25"/>
      <c r="AE590" s="25"/>
      <c r="AF590" s="25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25"/>
      <c r="AU590" s="34"/>
      <c r="AV590" s="34"/>
      <c r="AW590" s="34"/>
    </row>
    <row r="591" ht="15.0" customHeight="1">
      <c r="A591" s="32" t="s">
        <v>616</v>
      </c>
      <c r="B591" s="25"/>
      <c r="C591" s="25"/>
      <c r="D591" s="25"/>
      <c r="E591" s="25"/>
      <c r="F591" s="25"/>
      <c r="G591" s="35">
        <v>0.0</v>
      </c>
      <c r="H591" s="35">
        <v>1.0</v>
      </c>
      <c r="I591" s="25"/>
      <c r="J591" s="25"/>
      <c r="K591" s="25"/>
      <c r="L591" s="35"/>
      <c r="M591" s="35"/>
      <c r="N591" s="25"/>
      <c r="O591" s="25"/>
      <c r="P591" s="25"/>
      <c r="Q591" s="35">
        <v>2.0</v>
      </c>
      <c r="R591" s="35">
        <v>2.0</v>
      </c>
      <c r="S591" s="35">
        <v>2.0</v>
      </c>
      <c r="T591" s="35">
        <v>2.0</v>
      </c>
      <c r="U591" s="34"/>
      <c r="V591" s="34"/>
      <c r="W591" s="34"/>
      <c r="X591" s="34"/>
      <c r="Y591" s="34"/>
      <c r="Z591" s="34"/>
      <c r="AA591" s="25"/>
      <c r="AB591" s="25"/>
      <c r="AC591" s="25"/>
      <c r="AD591" s="25"/>
      <c r="AE591" s="25"/>
      <c r="AF591" s="25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25"/>
      <c r="AU591" s="34"/>
      <c r="AV591" s="34"/>
      <c r="AW591" s="34"/>
    </row>
    <row r="592" ht="15.0" customHeight="1">
      <c r="A592" s="32" t="s">
        <v>617</v>
      </c>
      <c r="B592" s="25"/>
      <c r="C592" s="25"/>
      <c r="D592" s="25"/>
      <c r="E592" s="25"/>
      <c r="F592" s="25"/>
      <c r="G592" s="35">
        <v>0.0</v>
      </c>
      <c r="H592" s="35">
        <v>1.0</v>
      </c>
      <c r="I592" s="25"/>
      <c r="J592" s="25"/>
      <c r="K592" s="25"/>
      <c r="L592" s="35"/>
      <c r="M592" s="35"/>
      <c r="N592" s="25"/>
      <c r="O592" s="25"/>
      <c r="P592" s="25"/>
      <c r="Q592" s="35">
        <v>2.0</v>
      </c>
      <c r="R592" s="35">
        <v>2.0</v>
      </c>
      <c r="S592" s="35">
        <v>2.0</v>
      </c>
      <c r="T592" s="35">
        <v>2.0</v>
      </c>
      <c r="U592" s="34"/>
      <c r="V592" s="34"/>
      <c r="W592" s="34"/>
      <c r="X592" s="34"/>
      <c r="Y592" s="34"/>
      <c r="Z592" s="34"/>
      <c r="AA592" s="25"/>
      <c r="AB592" s="25"/>
      <c r="AC592" s="25"/>
      <c r="AD592" s="25"/>
      <c r="AE592" s="25"/>
      <c r="AF592" s="25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25"/>
      <c r="AU592" s="34"/>
      <c r="AV592" s="34"/>
      <c r="AW592" s="34"/>
    </row>
    <row r="593" ht="15.0" customHeight="1">
      <c r="A593" s="32" t="s">
        <v>618</v>
      </c>
      <c r="B593" s="25"/>
      <c r="C593" s="25"/>
      <c r="D593" s="25"/>
      <c r="E593" s="25"/>
      <c r="F593" s="25"/>
      <c r="G593" s="35">
        <v>0.0</v>
      </c>
      <c r="H593" s="35">
        <v>1.0</v>
      </c>
      <c r="I593" s="25"/>
      <c r="J593" s="25"/>
      <c r="K593" s="25"/>
      <c r="L593" s="35"/>
      <c r="M593" s="35"/>
      <c r="N593" s="25"/>
      <c r="O593" s="25"/>
      <c r="P593" s="25"/>
      <c r="Q593" s="35">
        <v>2.0</v>
      </c>
      <c r="R593" s="35">
        <v>2.0</v>
      </c>
      <c r="S593" s="35">
        <v>2.0</v>
      </c>
      <c r="T593" s="35">
        <v>2.0</v>
      </c>
      <c r="U593" s="34"/>
      <c r="V593" s="34"/>
      <c r="W593" s="34"/>
      <c r="X593" s="34"/>
      <c r="Y593" s="34"/>
      <c r="Z593" s="34"/>
      <c r="AA593" s="25"/>
      <c r="AB593" s="25"/>
      <c r="AC593" s="25"/>
      <c r="AD593" s="25"/>
      <c r="AE593" s="25"/>
      <c r="AF593" s="25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25"/>
      <c r="AU593" s="34"/>
      <c r="AV593" s="34"/>
      <c r="AW593" s="34"/>
    </row>
    <row r="594" ht="15.0" customHeight="1">
      <c r="A594" s="32" t="s">
        <v>619</v>
      </c>
      <c r="B594" s="25"/>
      <c r="C594" s="25"/>
      <c r="D594" s="25"/>
      <c r="E594" s="25"/>
      <c r="F594" s="25"/>
      <c r="G594" s="35">
        <v>0.0</v>
      </c>
      <c r="H594" s="35">
        <v>1.0</v>
      </c>
      <c r="I594" s="25"/>
      <c r="J594" s="25"/>
      <c r="K594" s="25"/>
      <c r="L594" s="35"/>
      <c r="M594" s="35"/>
      <c r="N594" s="25"/>
      <c r="O594" s="25"/>
      <c r="P594" s="25"/>
      <c r="Q594" s="35">
        <v>2.0</v>
      </c>
      <c r="R594" s="35">
        <v>2.0</v>
      </c>
      <c r="S594" s="35">
        <v>2.0</v>
      </c>
      <c r="T594" s="35">
        <v>2.0</v>
      </c>
      <c r="U594" s="34"/>
      <c r="V594" s="34"/>
      <c r="W594" s="34"/>
      <c r="X594" s="34"/>
      <c r="Y594" s="34"/>
      <c r="Z594" s="34"/>
      <c r="AA594" s="25"/>
      <c r="AB594" s="25"/>
      <c r="AC594" s="25"/>
      <c r="AD594" s="25"/>
      <c r="AE594" s="25"/>
      <c r="AF594" s="25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25"/>
      <c r="AU594" s="34"/>
      <c r="AV594" s="34"/>
      <c r="AW594" s="34"/>
    </row>
    <row r="595" ht="15.0" customHeight="1">
      <c r="A595" s="32" t="s">
        <v>620</v>
      </c>
      <c r="B595" s="25"/>
      <c r="C595" s="25"/>
      <c r="D595" s="25"/>
      <c r="E595" s="25"/>
      <c r="F595" s="25"/>
      <c r="G595" s="35">
        <v>0.0</v>
      </c>
      <c r="H595" s="35">
        <v>1.0</v>
      </c>
      <c r="I595" s="25"/>
      <c r="J595" s="25"/>
      <c r="K595" s="25"/>
      <c r="L595" s="35"/>
      <c r="M595" s="35"/>
      <c r="N595" s="25"/>
      <c r="O595" s="25"/>
      <c r="P595" s="25"/>
      <c r="Q595" s="35">
        <v>2.0</v>
      </c>
      <c r="R595" s="35">
        <v>2.0</v>
      </c>
      <c r="S595" s="35">
        <v>2.0</v>
      </c>
      <c r="T595" s="35">
        <v>2.0</v>
      </c>
      <c r="U595" s="34"/>
      <c r="V595" s="34"/>
      <c r="W595" s="34"/>
      <c r="X595" s="34"/>
      <c r="Y595" s="34"/>
      <c r="Z595" s="34"/>
      <c r="AA595" s="25"/>
      <c r="AB595" s="25"/>
      <c r="AC595" s="25"/>
      <c r="AD595" s="25"/>
      <c r="AE595" s="25"/>
      <c r="AF595" s="25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25"/>
      <c r="AU595" s="34"/>
      <c r="AV595" s="34"/>
      <c r="AW595" s="34"/>
    </row>
    <row r="596" ht="15.0" customHeight="1">
      <c r="A596" s="32" t="s">
        <v>621</v>
      </c>
      <c r="B596" s="25"/>
      <c r="C596" s="25"/>
      <c r="D596" s="25"/>
      <c r="E596" s="25"/>
      <c r="F596" s="25"/>
      <c r="G596" s="35">
        <v>0.0</v>
      </c>
      <c r="H596" s="35">
        <v>1.0</v>
      </c>
      <c r="I596" s="25"/>
      <c r="J596" s="25"/>
      <c r="K596" s="25"/>
      <c r="L596" s="35"/>
      <c r="M596" s="35"/>
      <c r="N596" s="25"/>
      <c r="O596" s="25"/>
      <c r="P596" s="25"/>
      <c r="Q596" s="35">
        <v>2.0</v>
      </c>
      <c r="R596" s="35">
        <v>2.0</v>
      </c>
      <c r="S596" s="35">
        <v>2.0</v>
      </c>
      <c r="T596" s="35">
        <v>2.0</v>
      </c>
      <c r="U596" s="34"/>
      <c r="V596" s="34"/>
      <c r="W596" s="34"/>
      <c r="X596" s="34"/>
      <c r="Y596" s="34"/>
      <c r="Z596" s="34"/>
      <c r="AA596" s="25"/>
      <c r="AB596" s="25"/>
      <c r="AC596" s="25"/>
      <c r="AD596" s="25"/>
      <c r="AE596" s="25"/>
      <c r="AF596" s="25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25"/>
      <c r="AU596" s="34"/>
      <c r="AV596" s="34"/>
      <c r="AW596" s="34"/>
    </row>
    <row r="597" ht="15.0" customHeight="1">
      <c r="A597" s="32" t="s">
        <v>622</v>
      </c>
      <c r="B597" s="25"/>
      <c r="C597" s="25"/>
      <c r="D597" s="25"/>
      <c r="E597" s="25"/>
      <c r="F597" s="25"/>
      <c r="G597" s="35">
        <v>0.0</v>
      </c>
      <c r="H597" s="35">
        <v>1.0</v>
      </c>
      <c r="I597" s="25"/>
      <c r="J597" s="25"/>
      <c r="K597" s="25"/>
      <c r="L597" s="35"/>
      <c r="M597" s="35"/>
      <c r="N597" s="25"/>
      <c r="O597" s="25"/>
      <c r="P597" s="25"/>
      <c r="Q597" s="35">
        <v>2.0</v>
      </c>
      <c r="R597" s="35">
        <v>2.0</v>
      </c>
      <c r="S597" s="35">
        <v>2.0</v>
      </c>
      <c r="T597" s="35">
        <v>2.0</v>
      </c>
      <c r="U597" s="34"/>
      <c r="V597" s="34"/>
      <c r="W597" s="34"/>
      <c r="X597" s="34"/>
      <c r="Y597" s="34"/>
      <c r="Z597" s="34"/>
      <c r="AA597" s="25"/>
      <c r="AB597" s="25"/>
      <c r="AC597" s="25"/>
      <c r="AD597" s="25"/>
      <c r="AE597" s="25"/>
      <c r="AF597" s="25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25"/>
      <c r="AU597" s="34"/>
      <c r="AV597" s="34"/>
      <c r="AW597" s="34"/>
    </row>
    <row r="598" ht="15.0" customHeight="1">
      <c r="A598" s="32" t="s">
        <v>623</v>
      </c>
      <c r="B598" s="25"/>
      <c r="C598" s="25"/>
      <c r="D598" s="25"/>
      <c r="E598" s="25"/>
      <c r="F598" s="25"/>
      <c r="G598" s="35">
        <v>0.0</v>
      </c>
      <c r="H598" s="35">
        <v>1.0</v>
      </c>
      <c r="I598" s="25"/>
      <c r="J598" s="25"/>
      <c r="K598" s="25"/>
      <c r="L598" s="35"/>
      <c r="M598" s="35"/>
      <c r="N598" s="25"/>
      <c r="O598" s="25"/>
      <c r="P598" s="25"/>
      <c r="Q598" s="35">
        <v>2.0</v>
      </c>
      <c r="R598" s="35">
        <v>2.0</v>
      </c>
      <c r="S598" s="35">
        <v>2.0</v>
      </c>
      <c r="T598" s="35">
        <v>2.0</v>
      </c>
      <c r="U598" s="34"/>
      <c r="V598" s="34"/>
      <c r="W598" s="34"/>
      <c r="X598" s="34"/>
      <c r="Y598" s="34"/>
      <c r="Z598" s="34"/>
      <c r="AA598" s="25"/>
      <c r="AB598" s="25"/>
      <c r="AC598" s="25"/>
      <c r="AD598" s="25"/>
      <c r="AE598" s="25"/>
      <c r="AF598" s="25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25"/>
      <c r="AU598" s="34"/>
      <c r="AV598" s="34"/>
      <c r="AW598" s="34"/>
    </row>
    <row r="599" ht="15.0" customHeight="1">
      <c r="A599" s="32" t="s">
        <v>624</v>
      </c>
      <c r="B599" s="25"/>
      <c r="C599" s="25"/>
      <c r="D599" s="25"/>
      <c r="E599" s="25"/>
      <c r="F599" s="25"/>
      <c r="G599" s="35">
        <v>0.0</v>
      </c>
      <c r="H599" s="35">
        <v>1.0</v>
      </c>
      <c r="I599" s="25"/>
      <c r="J599" s="25"/>
      <c r="K599" s="25"/>
      <c r="L599" s="35"/>
      <c r="M599" s="35"/>
      <c r="N599" s="25"/>
      <c r="O599" s="25"/>
      <c r="P599" s="25"/>
      <c r="Q599" s="35">
        <v>2.0</v>
      </c>
      <c r="R599" s="35">
        <v>2.0</v>
      </c>
      <c r="S599" s="35">
        <v>2.0</v>
      </c>
      <c r="T599" s="35">
        <v>2.0</v>
      </c>
      <c r="U599" s="34"/>
      <c r="V599" s="34"/>
      <c r="W599" s="34"/>
      <c r="X599" s="34"/>
      <c r="Y599" s="34"/>
      <c r="Z599" s="34"/>
      <c r="AA599" s="25"/>
      <c r="AB599" s="25"/>
      <c r="AC599" s="25"/>
      <c r="AD599" s="25"/>
      <c r="AE599" s="25"/>
      <c r="AF599" s="25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25"/>
      <c r="AU599" s="34"/>
      <c r="AV599" s="34"/>
      <c r="AW599" s="34"/>
    </row>
    <row r="600" ht="15.0" customHeight="1">
      <c r="A600" s="32" t="s">
        <v>625</v>
      </c>
      <c r="B600" s="25"/>
      <c r="C600" s="25"/>
      <c r="D600" s="25"/>
      <c r="E600" s="25"/>
      <c r="F600" s="25"/>
      <c r="G600" s="35">
        <v>0.0</v>
      </c>
      <c r="H600" s="35">
        <v>1.0</v>
      </c>
      <c r="I600" s="25"/>
      <c r="J600" s="25"/>
      <c r="K600" s="25"/>
      <c r="L600" s="35"/>
      <c r="M600" s="35"/>
      <c r="N600" s="25"/>
      <c r="O600" s="25"/>
      <c r="P600" s="25"/>
      <c r="Q600" s="35">
        <v>2.0</v>
      </c>
      <c r="R600" s="35">
        <v>2.0</v>
      </c>
      <c r="S600" s="35">
        <v>2.0</v>
      </c>
      <c r="T600" s="35">
        <v>2.0</v>
      </c>
      <c r="U600" s="34"/>
      <c r="V600" s="34"/>
      <c r="W600" s="34"/>
      <c r="X600" s="34"/>
      <c r="Y600" s="34"/>
      <c r="Z600" s="34"/>
      <c r="AA600" s="25"/>
      <c r="AB600" s="25"/>
      <c r="AC600" s="25"/>
      <c r="AD600" s="25"/>
      <c r="AE600" s="25"/>
      <c r="AF600" s="25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25"/>
      <c r="AU600" s="34"/>
      <c r="AV600" s="34"/>
      <c r="AW600" s="34"/>
    </row>
    <row r="601" ht="15.0" customHeight="1">
      <c r="A601" s="32" t="s">
        <v>626</v>
      </c>
      <c r="B601" s="25"/>
      <c r="C601" s="25"/>
      <c r="D601" s="25"/>
      <c r="E601" s="25"/>
      <c r="F601" s="25"/>
      <c r="G601" s="35">
        <v>0.0</v>
      </c>
      <c r="H601" s="35">
        <v>1.0</v>
      </c>
      <c r="I601" s="25"/>
      <c r="J601" s="25"/>
      <c r="K601" s="25"/>
      <c r="L601" s="35"/>
      <c r="M601" s="35"/>
      <c r="N601" s="25"/>
      <c r="O601" s="25"/>
      <c r="P601" s="25"/>
      <c r="Q601" s="35">
        <v>2.0</v>
      </c>
      <c r="R601" s="35">
        <v>2.0</v>
      </c>
      <c r="S601" s="35">
        <v>2.0</v>
      </c>
      <c r="T601" s="35">
        <v>2.0</v>
      </c>
      <c r="U601" s="34"/>
      <c r="V601" s="34"/>
      <c r="W601" s="34"/>
      <c r="X601" s="34"/>
      <c r="Y601" s="34"/>
      <c r="Z601" s="34"/>
      <c r="AA601" s="25"/>
      <c r="AB601" s="25"/>
      <c r="AC601" s="25"/>
      <c r="AD601" s="25"/>
      <c r="AE601" s="25"/>
      <c r="AF601" s="25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25"/>
      <c r="AU601" s="34"/>
      <c r="AV601" s="34"/>
      <c r="AW601" s="34"/>
    </row>
    <row r="602" ht="15.0" customHeight="1">
      <c r="A602" s="32" t="s">
        <v>627</v>
      </c>
      <c r="B602" s="25"/>
      <c r="C602" s="25"/>
      <c r="D602" s="25"/>
      <c r="E602" s="25"/>
      <c r="F602" s="25"/>
      <c r="G602" s="35">
        <v>0.0</v>
      </c>
      <c r="H602" s="35">
        <v>1.0</v>
      </c>
      <c r="I602" s="25"/>
      <c r="J602" s="25"/>
      <c r="K602" s="25"/>
      <c r="L602" s="35"/>
      <c r="M602" s="35"/>
      <c r="N602" s="25"/>
      <c r="O602" s="25"/>
      <c r="P602" s="25"/>
      <c r="Q602" s="35">
        <v>2.0</v>
      </c>
      <c r="R602" s="35">
        <v>2.0</v>
      </c>
      <c r="S602" s="35">
        <v>2.0</v>
      </c>
      <c r="T602" s="35">
        <v>2.0</v>
      </c>
      <c r="U602" s="34"/>
      <c r="V602" s="34"/>
      <c r="W602" s="34"/>
      <c r="X602" s="34"/>
      <c r="Y602" s="34"/>
      <c r="Z602" s="34"/>
      <c r="AA602" s="25"/>
      <c r="AB602" s="25"/>
      <c r="AC602" s="25"/>
      <c r="AD602" s="25"/>
      <c r="AE602" s="25"/>
      <c r="AF602" s="25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25"/>
      <c r="AU602" s="34"/>
      <c r="AV602" s="34"/>
      <c r="AW602" s="34"/>
    </row>
    <row r="603" ht="15.0" customHeight="1">
      <c r="A603" s="32" t="s">
        <v>628</v>
      </c>
      <c r="B603" s="25"/>
      <c r="C603" s="25"/>
      <c r="D603" s="25"/>
      <c r="E603" s="25"/>
      <c r="F603" s="25"/>
      <c r="G603" s="35">
        <v>0.0</v>
      </c>
      <c r="H603" s="35">
        <v>1.0</v>
      </c>
      <c r="I603" s="25"/>
      <c r="J603" s="25"/>
      <c r="K603" s="25"/>
      <c r="L603" s="35"/>
      <c r="M603" s="35"/>
      <c r="N603" s="25"/>
      <c r="O603" s="25"/>
      <c r="P603" s="25"/>
      <c r="Q603" s="35">
        <v>2.0</v>
      </c>
      <c r="R603" s="35">
        <v>2.0</v>
      </c>
      <c r="S603" s="35">
        <v>2.0</v>
      </c>
      <c r="T603" s="35">
        <v>2.0</v>
      </c>
      <c r="U603" s="34"/>
      <c r="V603" s="34"/>
      <c r="W603" s="34"/>
      <c r="X603" s="34"/>
      <c r="Y603" s="34"/>
      <c r="Z603" s="34"/>
      <c r="AA603" s="25"/>
      <c r="AB603" s="25"/>
      <c r="AC603" s="25"/>
      <c r="AD603" s="25"/>
      <c r="AE603" s="25"/>
      <c r="AF603" s="25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25"/>
      <c r="AU603" s="34"/>
      <c r="AV603" s="34"/>
      <c r="AW603" s="34"/>
    </row>
    <row r="604" ht="15.0" customHeight="1">
      <c r="A604" s="32" t="s">
        <v>629</v>
      </c>
      <c r="B604" s="25"/>
      <c r="C604" s="25"/>
      <c r="D604" s="25"/>
      <c r="E604" s="25"/>
      <c r="F604" s="25"/>
      <c r="G604" s="35">
        <v>0.0</v>
      </c>
      <c r="H604" s="35">
        <v>1.0</v>
      </c>
      <c r="I604" s="25"/>
      <c r="J604" s="25"/>
      <c r="K604" s="25"/>
      <c r="L604" s="35"/>
      <c r="M604" s="35"/>
      <c r="N604" s="25"/>
      <c r="O604" s="25"/>
      <c r="P604" s="25"/>
      <c r="Q604" s="35">
        <v>2.0</v>
      </c>
      <c r="R604" s="35">
        <v>2.0</v>
      </c>
      <c r="S604" s="35">
        <v>2.0</v>
      </c>
      <c r="T604" s="35">
        <v>2.0</v>
      </c>
      <c r="U604" s="34"/>
      <c r="V604" s="34"/>
      <c r="W604" s="34"/>
      <c r="X604" s="34"/>
      <c r="Y604" s="34"/>
      <c r="Z604" s="34"/>
      <c r="AA604" s="25"/>
      <c r="AB604" s="25"/>
      <c r="AC604" s="25"/>
      <c r="AD604" s="25"/>
      <c r="AE604" s="25"/>
      <c r="AF604" s="25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25"/>
      <c r="AU604" s="34"/>
      <c r="AV604" s="34"/>
      <c r="AW604" s="34"/>
    </row>
    <row r="605" ht="15.0" customHeight="1">
      <c r="A605" s="32" t="s">
        <v>630</v>
      </c>
      <c r="B605" s="25"/>
      <c r="C605" s="25"/>
      <c r="D605" s="25"/>
      <c r="E605" s="25"/>
      <c r="F605" s="25"/>
      <c r="G605" s="35">
        <v>0.0</v>
      </c>
      <c r="H605" s="35">
        <v>1.0</v>
      </c>
      <c r="I605" s="25"/>
      <c r="J605" s="25"/>
      <c r="K605" s="25"/>
      <c r="L605" s="35"/>
      <c r="M605" s="35"/>
      <c r="N605" s="25"/>
      <c r="O605" s="25"/>
      <c r="P605" s="25"/>
      <c r="Q605" s="35">
        <v>2.0</v>
      </c>
      <c r="R605" s="35">
        <v>2.0</v>
      </c>
      <c r="S605" s="35">
        <v>2.0</v>
      </c>
      <c r="T605" s="35">
        <v>2.0</v>
      </c>
      <c r="U605" s="34"/>
      <c r="V605" s="34"/>
      <c r="W605" s="34"/>
      <c r="X605" s="34"/>
      <c r="Y605" s="34"/>
      <c r="Z605" s="34"/>
      <c r="AA605" s="25"/>
      <c r="AB605" s="25"/>
      <c r="AC605" s="25"/>
      <c r="AD605" s="25"/>
      <c r="AE605" s="25"/>
      <c r="AF605" s="25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25"/>
      <c r="AU605" s="34"/>
      <c r="AV605" s="34"/>
      <c r="AW605" s="34"/>
    </row>
    <row r="606" ht="15.0" customHeight="1">
      <c r="A606" s="32" t="s">
        <v>631</v>
      </c>
      <c r="B606" s="25"/>
      <c r="C606" s="25"/>
      <c r="D606" s="25"/>
      <c r="E606" s="25"/>
      <c r="F606" s="25"/>
      <c r="G606" s="35">
        <v>0.0</v>
      </c>
      <c r="H606" s="35">
        <v>1.0</v>
      </c>
      <c r="I606" s="25"/>
      <c r="J606" s="25"/>
      <c r="K606" s="25"/>
      <c r="L606" s="35"/>
      <c r="M606" s="35"/>
      <c r="N606" s="25"/>
      <c r="O606" s="25"/>
      <c r="P606" s="25"/>
      <c r="Q606" s="35">
        <v>2.0</v>
      </c>
      <c r="R606" s="35">
        <v>2.0</v>
      </c>
      <c r="S606" s="35">
        <v>2.0</v>
      </c>
      <c r="T606" s="35">
        <v>2.0</v>
      </c>
      <c r="U606" s="34"/>
      <c r="V606" s="34"/>
      <c r="W606" s="34"/>
      <c r="X606" s="34"/>
      <c r="Y606" s="34"/>
      <c r="Z606" s="34"/>
      <c r="AA606" s="25"/>
      <c r="AB606" s="25"/>
      <c r="AC606" s="25"/>
      <c r="AD606" s="25"/>
      <c r="AE606" s="25"/>
      <c r="AF606" s="25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25"/>
      <c r="AU606" s="34"/>
      <c r="AV606" s="34"/>
      <c r="AW606" s="34"/>
    </row>
    <row r="607" ht="15.0" customHeight="1">
      <c r="A607" s="32" t="s">
        <v>632</v>
      </c>
      <c r="B607" s="25"/>
      <c r="C607" s="25"/>
      <c r="D607" s="25"/>
      <c r="E607" s="25"/>
      <c r="F607" s="25"/>
      <c r="G607" s="35">
        <v>0.0</v>
      </c>
      <c r="H607" s="35">
        <v>1.0</v>
      </c>
      <c r="I607" s="25"/>
      <c r="J607" s="25"/>
      <c r="K607" s="25"/>
      <c r="L607" s="35"/>
      <c r="M607" s="35"/>
      <c r="N607" s="25"/>
      <c r="O607" s="25"/>
      <c r="P607" s="25"/>
      <c r="Q607" s="35">
        <v>2.0</v>
      </c>
      <c r="R607" s="35">
        <v>2.0</v>
      </c>
      <c r="S607" s="35">
        <v>2.0</v>
      </c>
      <c r="T607" s="35">
        <v>2.0</v>
      </c>
      <c r="U607" s="34"/>
      <c r="V607" s="34"/>
      <c r="W607" s="34"/>
      <c r="X607" s="34"/>
      <c r="Y607" s="34"/>
      <c r="Z607" s="34"/>
      <c r="AA607" s="25"/>
      <c r="AB607" s="25"/>
      <c r="AC607" s="25"/>
      <c r="AD607" s="25"/>
      <c r="AE607" s="25"/>
      <c r="AF607" s="25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25"/>
      <c r="AU607" s="34"/>
      <c r="AV607" s="34"/>
      <c r="AW607" s="34"/>
    </row>
    <row r="608" ht="15.0" customHeight="1">
      <c r="A608" s="32" t="s">
        <v>633</v>
      </c>
      <c r="B608" s="25"/>
      <c r="C608" s="25"/>
      <c r="D608" s="25"/>
      <c r="E608" s="25"/>
      <c r="F608" s="25"/>
      <c r="G608" s="35">
        <v>0.0</v>
      </c>
      <c r="H608" s="35">
        <v>1.0</v>
      </c>
      <c r="I608" s="25"/>
      <c r="J608" s="25"/>
      <c r="K608" s="25"/>
      <c r="L608" s="35"/>
      <c r="M608" s="35"/>
      <c r="N608" s="25"/>
      <c r="O608" s="25"/>
      <c r="P608" s="25"/>
      <c r="Q608" s="35">
        <v>2.0</v>
      </c>
      <c r="R608" s="35">
        <v>2.0</v>
      </c>
      <c r="S608" s="35">
        <v>2.0</v>
      </c>
      <c r="T608" s="35">
        <v>2.0</v>
      </c>
      <c r="U608" s="34"/>
      <c r="V608" s="34"/>
      <c r="W608" s="34"/>
      <c r="X608" s="34"/>
      <c r="Y608" s="34"/>
      <c r="Z608" s="34"/>
      <c r="AA608" s="25"/>
      <c r="AB608" s="25"/>
      <c r="AC608" s="25"/>
      <c r="AD608" s="25"/>
      <c r="AE608" s="25"/>
      <c r="AF608" s="25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25"/>
      <c r="AU608" s="34"/>
      <c r="AV608" s="34"/>
      <c r="AW608" s="34"/>
    </row>
    <row r="609" ht="15.0" customHeight="1">
      <c r="A609" s="32" t="s">
        <v>634</v>
      </c>
      <c r="B609" s="25"/>
      <c r="C609" s="25"/>
      <c r="D609" s="25"/>
      <c r="E609" s="25"/>
      <c r="F609" s="25"/>
      <c r="G609" s="35">
        <v>0.0</v>
      </c>
      <c r="H609" s="35">
        <v>1.0</v>
      </c>
      <c r="I609" s="25"/>
      <c r="J609" s="25"/>
      <c r="K609" s="25"/>
      <c r="L609" s="35"/>
      <c r="M609" s="35"/>
      <c r="N609" s="25"/>
      <c r="O609" s="25"/>
      <c r="P609" s="25"/>
      <c r="Q609" s="35">
        <v>2.0</v>
      </c>
      <c r="R609" s="35">
        <v>2.0</v>
      </c>
      <c r="S609" s="35">
        <v>2.0</v>
      </c>
      <c r="T609" s="35">
        <v>2.0</v>
      </c>
      <c r="U609" s="34"/>
      <c r="V609" s="34"/>
      <c r="W609" s="34"/>
      <c r="X609" s="34"/>
      <c r="Y609" s="34"/>
      <c r="Z609" s="34"/>
      <c r="AA609" s="25"/>
      <c r="AB609" s="25"/>
      <c r="AC609" s="25"/>
      <c r="AD609" s="25"/>
      <c r="AE609" s="25"/>
      <c r="AF609" s="25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25"/>
      <c r="AU609" s="34"/>
      <c r="AV609" s="34"/>
      <c r="AW609" s="34"/>
    </row>
    <row r="610" ht="15.0" customHeight="1">
      <c r="A610" s="32" t="s">
        <v>635</v>
      </c>
      <c r="B610" s="25"/>
      <c r="C610" s="25"/>
      <c r="D610" s="25"/>
      <c r="E610" s="25"/>
      <c r="F610" s="25"/>
      <c r="G610" s="35">
        <v>0.0</v>
      </c>
      <c r="H610" s="35">
        <v>1.0</v>
      </c>
      <c r="I610" s="25"/>
      <c r="J610" s="25"/>
      <c r="K610" s="25"/>
      <c r="L610" s="35"/>
      <c r="M610" s="35"/>
      <c r="N610" s="25"/>
      <c r="O610" s="25"/>
      <c r="P610" s="25"/>
      <c r="Q610" s="35">
        <v>2.0</v>
      </c>
      <c r="R610" s="35">
        <v>2.0</v>
      </c>
      <c r="S610" s="35">
        <v>2.0</v>
      </c>
      <c r="T610" s="35">
        <v>2.0</v>
      </c>
      <c r="U610" s="34"/>
      <c r="V610" s="34"/>
      <c r="W610" s="34"/>
      <c r="X610" s="34"/>
      <c r="Y610" s="34"/>
      <c r="Z610" s="34"/>
      <c r="AA610" s="25"/>
      <c r="AB610" s="25"/>
      <c r="AC610" s="25"/>
      <c r="AD610" s="25"/>
      <c r="AE610" s="25"/>
      <c r="AF610" s="25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25"/>
      <c r="AU610" s="34"/>
      <c r="AV610" s="34"/>
      <c r="AW610" s="34"/>
    </row>
    <row r="611" ht="15.0" customHeight="1">
      <c r="A611" s="32" t="s">
        <v>636</v>
      </c>
      <c r="B611" s="25"/>
      <c r="C611" s="25"/>
      <c r="D611" s="25"/>
      <c r="E611" s="25"/>
      <c r="F611" s="25"/>
      <c r="G611" s="35">
        <v>0.0</v>
      </c>
      <c r="H611" s="35">
        <v>1.0</v>
      </c>
      <c r="I611" s="25"/>
      <c r="J611" s="25"/>
      <c r="K611" s="25"/>
      <c r="L611" s="35"/>
      <c r="M611" s="35"/>
      <c r="N611" s="25"/>
      <c r="O611" s="25"/>
      <c r="P611" s="25"/>
      <c r="Q611" s="35">
        <v>2.0</v>
      </c>
      <c r="R611" s="35">
        <v>2.0</v>
      </c>
      <c r="S611" s="35">
        <v>2.0</v>
      </c>
      <c r="T611" s="35">
        <v>2.0</v>
      </c>
      <c r="U611" s="34"/>
      <c r="V611" s="34"/>
      <c r="W611" s="34"/>
      <c r="X611" s="34"/>
      <c r="Y611" s="34"/>
      <c r="Z611" s="34"/>
      <c r="AA611" s="25"/>
      <c r="AB611" s="25"/>
      <c r="AC611" s="25"/>
      <c r="AD611" s="25"/>
      <c r="AE611" s="25"/>
      <c r="AF611" s="25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25"/>
      <c r="AU611" s="34"/>
      <c r="AV611" s="34"/>
      <c r="AW611" s="34"/>
    </row>
    <row r="612" ht="15.0" customHeight="1">
      <c r="A612" s="32" t="s">
        <v>637</v>
      </c>
      <c r="B612" s="25"/>
      <c r="C612" s="25"/>
      <c r="D612" s="25"/>
      <c r="E612" s="25"/>
      <c r="F612" s="25"/>
      <c r="G612" s="35">
        <v>0.0</v>
      </c>
      <c r="H612" s="35">
        <v>1.0</v>
      </c>
      <c r="I612" s="25"/>
      <c r="J612" s="25"/>
      <c r="K612" s="25"/>
      <c r="L612" s="35"/>
      <c r="M612" s="35"/>
      <c r="N612" s="25"/>
      <c r="O612" s="25"/>
      <c r="P612" s="25"/>
      <c r="Q612" s="35">
        <v>2.0</v>
      </c>
      <c r="R612" s="35">
        <v>2.0</v>
      </c>
      <c r="S612" s="35">
        <v>2.0</v>
      </c>
      <c r="T612" s="35">
        <v>2.0</v>
      </c>
      <c r="U612" s="34"/>
      <c r="V612" s="34"/>
      <c r="W612" s="34"/>
      <c r="X612" s="34"/>
      <c r="Y612" s="34"/>
      <c r="Z612" s="34"/>
      <c r="AA612" s="25"/>
      <c r="AB612" s="25"/>
      <c r="AC612" s="25"/>
      <c r="AD612" s="25"/>
      <c r="AE612" s="25"/>
      <c r="AF612" s="25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25"/>
      <c r="AU612" s="34"/>
      <c r="AV612" s="34"/>
      <c r="AW612" s="34"/>
    </row>
    <row r="613" ht="15.0" customHeight="1">
      <c r="A613" s="32" t="s">
        <v>638</v>
      </c>
      <c r="B613" s="25"/>
      <c r="C613" s="25"/>
      <c r="D613" s="25"/>
      <c r="E613" s="25"/>
      <c r="F613" s="25"/>
      <c r="G613" s="35">
        <v>0.0</v>
      </c>
      <c r="H613" s="35">
        <v>1.0</v>
      </c>
      <c r="I613" s="25"/>
      <c r="J613" s="25"/>
      <c r="K613" s="25"/>
      <c r="L613" s="35"/>
      <c r="M613" s="35"/>
      <c r="N613" s="25"/>
      <c r="O613" s="25"/>
      <c r="P613" s="25"/>
      <c r="Q613" s="35">
        <v>2.0</v>
      </c>
      <c r="R613" s="35">
        <v>2.0</v>
      </c>
      <c r="S613" s="35">
        <v>2.0</v>
      </c>
      <c r="T613" s="35">
        <v>2.0</v>
      </c>
      <c r="U613" s="34"/>
      <c r="V613" s="34"/>
      <c r="W613" s="34"/>
      <c r="X613" s="34"/>
      <c r="Y613" s="34"/>
      <c r="Z613" s="34"/>
      <c r="AA613" s="25"/>
      <c r="AB613" s="25"/>
      <c r="AC613" s="25"/>
      <c r="AD613" s="25"/>
      <c r="AE613" s="25"/>
      <c r="AF613" s="25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25"/>
      <c r="AU613" s="34"/>
      <c r="AV613" s="34"/>
      <c r="AW613" s="34"/>
    </row>
    <row r="614" ht="15.0" customHeight="1">
      <c r="A614" s="32" t="s">
        <v>639</v>
      </c>
      <c r="B614" s="25"/>
      <c r="C614" s="25"/>
      <c r="D614" s="25"/>
      <c r="E614" s="25"/>
      <c r="F614" s="25"/>
      <c r="G614" s="35">
        <v>0.0</v>
      </c>
      <c r="H614" s="35">
        <v>1.0</v>
      </c>
      <c r="I614" s="25"/>
      <c r="J614" s="25"/>
      <c r="K614" s="25"/>
      <c r="L614" s="35"/>
      <c r="M614" s="35"/>
      <c r="N614" s="25"/>
      <c r="O614" s="25"/>
      <c r="P614" s="25"/>
      <c r="Q614" s="35">
        <v>2.0</v>
      </c>
      <c r="R614" s="35">
        <v>2.0</v>
      </c>
      <c r="S614" s="35">
        <v>2.0</v>
      </c>
      <c r="T614" s="35">
        <v>2.0</v>
      </c>
      <c r="U614" s="34"/>
      <c r="V614" s="34"/>
      <c r="W614" s="34"/>
      <c r="X614" s="34"/>
      <c r="Y614" s="34"/>
      <c r="Z614" s="34"/>
      <c r="AA614" s="25"/>
      <c r="AB614" s="25"/>
      <c r="AC614" s="25"/>
      <c r="AD614" s="25"/>
      <c r="AE614" s="25"/>
      <c r="AF614" s="25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25"/>
      <c r="AU614" s="34"/>
      <c r="AV614" s="34"/>
      <c r="AW614" s="34"/>
    </row>
    <row r="615" ht="15.0" customHeight="1">
      <c r="A615" s="32" t="s">
        <v>640</v>
      </c>
      <c r="B615" s="25"/>
      <c r="C615" s="25"/>
      <c r="D615" s="25"/>
      <c r="E615" s="25"/>
      <c r="F615" s="25"/>
      <c r="G615" s="35">
        <v>0.0</v>
      </c>
      <c r="H615" s="35">
        <v>1.0</v>
      </c>
      <c r="I615" s="25"/>
      <c r="J615" s="25"/>
      <c r="K615" s="25"/>
      <c r="L615" s="35"/>
      <c r="M615" s="35"/>
      <c r="N615" s="25"/>
      <c r="O615" s="25"/>
      <c r="P615" s="25"/>
      <c r="Q615" s="35">
        <v>2.0</v>
      </c>
      <c r="R615" s="35">
        <v>2.0</v>
      </c>
      <c r="S615" s="35">
        <v>2.0</v>
      </c>
      <c r="T615" s="35">
        <v>2.0</v>
      </c>
      <c r="U615" s="34"/>
      <c r="V615" s="34"/>
      <c r="W615" s="34"/>
      <c r="X615" s="34"/>
      <c r="Y615" s="34"/>
      <c r="Z615" s="34"/>
      <c r="AA615" s="25"/>
      <c r="AB615" s="25"/>
      <c r="AC615" s="25"/>
      <c r="AD615" s="25"/>
      <c r="AE615" s="25"/>
      <c r="AF615" s="25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25"/>
      <c r="AU615" s="34"/>
      <c r="AV615" s="34"/>
      <c r="AW615" s="34"/>
    </row>
    <row r="616" ht="15.0" customHeight="1">
      <c r="A616" s="32" t="s">
        <v>641</v>
      </c>
      <c r="B616" s="25"/>
      <c r="C616" s="25"/>
      <c r="D616" s="25"/>
      <c r="E616" s="25"/>
      <c r="F616" s="25"/>
      <c r="G616" s="35">
        <v>0.0</v>
      </c>
      <c r="H616" s="35">
        <v>1.0</v>
      </c>
      <c r="I616" s="25"/>
      <c r="J616" s="25"/>
      <c r="K616" s="25"/>
      <c r="L616" s="35"/>
      <c r="M616" s="35"/>
      <c r="N616" s="25"/>
      <c r="O616" s="25"/>
      <c r="P616" s="25"/>
      <c r="Q616" s="35">
        <v>2.0</v>
      </c>
      <c r="R616" s="35">
        <v>2.0</v>
      </c>
      <c r="S616" s="35">
        <v>2.0</v>
      </c>
      <c r="T616" s="35">
        <v>2.0</v>
      </c>
      <c r="U616" s="34"/>
      <c r="V616" s="34"/>
      <c r="W616" s="34"/>
      <c r="X616" s="34"/>
      <c r="Y616" s="34"/>
      <c r="Z616" s="34"/>
      <c r="AA616" s="25"/>
      <c r="AB616" s="25"/>
      <c r="AC616" s="25"/>
      <c r="AD616" s="25"/>
      <c r="AE616" s="25"/>
      <c r="AF616" s="25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25"/>
      <c r="AU616" s="34"/>
      <c r="AV616" s="34"/>
      <c r="AW616" s="34"/>
    </row>
    <row r="617" ht="15.0" customHeight="1">
      <c r="A617" s="32" t="s">
        <v>642</v>
      </c>
      <c r="B617" s="25"/>
      <c r="C617" s="25"/>
      <c r="D617" s="25"/>
      <c r="E617" s="25"/>
      <c r="F617" s="25"/>
      <c r="G617" s="35">
        <v>0.0</v>
      </c>
      <c r="H617" s="35">
        <v>1.0</v>
      </c>
      <c r="I617" s="25"/>
      <c r="J617" s="25"/>
      <c r="K617" s="25"/>
      <c r="L617" s="35"/>
      <c r="M617" s="35"/>
      <c r="N617" s="25"/>
      <c r="O617" s="25"/>
      <c r="P617" s="25"/>
      <c r="Q617" s="35">
        <v>2.0</v>
      </c>
      <c r="R617" s="35">
        <v>2.0</v>
      </c>
      <c r="S617" s="35">
        <v>2.0</v>
      </c>
      <c r="T617" s="35">
        <v>2.0</v>
      </c>
      <c r="U617" s="34"/>
      <c r="V617" s="34"/>
      <c r="W617" s="34"/>
      <c r="X617" s="34"/>
      <c r="Y617" s="34"/>
      <c r="Z617" s="34"/>
      <c r="AA617" s="25"/>
      <c r="AB617" s="25"/>
      <c r="AC617" s="25"/>
      <c r="AD617" s="25"/>
      <c r="AE617" s="25"/>
      <c r="AF617" s="25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25"/>
      <c r="AU617" s="34"/>
      <c r="AV617" s="34"/>
      <c r="AW617" s="34"/>
    </row>
    <row r="618" ht="15.0" customHeight="1">
      <c r="A618" s="32" t="s">
        <v>643</v>
      </c>
      <c r="B618" s="25"/>
      <c r="C618" s="25"/>
      <c r="D618" s="25"/>
      <c r="E618" s="25"/>
      <c r="F618" s="25"/>
      <c r="G618" s="35">
        <v>0.0</v>
      </c>
      <c r="H618" s="35">
        <v>1.0</v>
      </c>
      <c r="I618" s="25"/>
      <c r="J618" s="25"/>
      <c r="K618" s="25"/>
      <c r="L618" s="35"/>
      <c r="M618" s="35"/>
      <c r="N618" s="25"/>
      <c r="O618" s="25"/>
      <c r="P618" s="25"/>
      <c r="Q618" s="35">
        <v>2.0</v>
      </c>
      <c r="R618" s="35">
        <v>2.0</v>
      </c>
      <c r="S618" s="35">
        <v>2.0</v>
      </c>
      <c r="T618" s="35">
        <v>2.0</v>
      </c>
      <c r="U618" s="34"/>
      <c r="V618" s="34"/>
      <c r="W618" s="34"/>
      <c r="X618" s="34"/>
      <c r="Y618" s="34"/>
      <c r="Z618" s="34"/>
      <c r="AA618" s="25"/>
      <c r="AB618" s="25"/>
      <c r="AC618" s="25"/>
      <c r="AD618" s="25"/>
      <c r="AE618" s="25"/>
      <c r="AF618" s="25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25"/>
      <c r="AU618" s="34"/>
      <c r="AV618" s="34"/>
      <c r="AW618" s="34"/>
    </row>
    <row r="619" ht="15.0" customHeight="1">
      <c r="A619" s="32" t="s">
        <v>644</v>
      </c>
      <c r="B619" s="25"/>
      <c r="C619" s="25"/>
      <c r="D619" s="25"/>
      <c r="E619" s="25"/>
      <c r="F619" s="25"/>
      <c r="G619" s="35">
        <v>0.0</v>
      </c>
      <c r="H619" s="35">
        <v>1.0</v>
      </c>
      <c r="I619" s="25"/>
      <c r="J619" s="25"/>
      <c r="K619" s="25"/>
      <c r="L619" s="35"/>
      <c r="M619" s="35"/>
      <c r="N619" s="25"/>
      <c r="O619" s="25"/>
      <c r="P619" s="25"/>
      <c r="Q619" s="35">
        <v>2.0</v>
      </c>
      <c r="R619" s="35">
        <v>2.0</v>
      </c>
      <c r="S619" s="35">
        <v>2.0</v>
      </c>
      <c r="T619" s="35">
        <v>2.0</v>
      </c>
      <c r="U619" s="34"/>
      <c r="V619" s="34"/>
      <c r="W619" s="34"/>
      <c r="X619" s="34"/>
      <c r="Y619" s="34"/>
      <c r="Z619" s="34"/>
      <c r="AA619" s="25"/>
      <c r="AB619" s="25"/>
      <c r="AC619" s="25"/>
      <c r="AD619" s="25"/>
      <c r="AE619" s="25"/>
      <c r="AF619" s="25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25"/>
      <c r="AU619" s="34"/>
      <c r="AV619" s="34"/>
      <c r="AW619" s="34"/>
    </row>
    <row r="620" ht="15.0" customHeight="1">
      <c r="A620" s="32" t="s">
        <v>645</v>
      </c>
      <c r="B620" s="25"/>
      <c r="C620" s="25"/>
      <c r="D620" s="25"/>
      <c r="E620" s="25"/>
      <c r="F620" s="25"/>
      <c r="G620" s="35">
        <v>0.0</v>
      </c>
      <c r="H620" s="35">
        <v>1.0</v>
      </c>
      <c r="I620" s="25"/>
      <c r="J620" s="25"/>
      <c r="K620" s="25"/>
      <c r="L620" s="35"/>
      <c r="M620" s="35"/>
      <c r="N620" s="25"/>
      <c r="O620" s="25"/>
      <c r="P620" s="25"/>
      <c r="Q620" s="35">
        <v>2.0</v>
      </c>
      <c r="R620" s="35">
        <v>2.0</v>
      </c>
      <c r="S620" s="35">
        <v>2.0</v>
      </c>
      <c r="T620" s="35">
        <v>2.0</v>
      </c>
      <c r="U620" s="34"/>
      <c r="V620" s="34"/>
      <c r="W620" s="34"/>
      <c r="X620" s="34"/>
      <c r="Y620" s="34"/>
      <c r="Z620" s="34"/>
      <c r="AA620" s="25"/>
      <c r="AB620" s="25"/>
      <c r="AC620" s="25"/>
      <c r="AD620" s="25"/>
      <c r="AE620" s="25"/>
      <c r="AF620" s="25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25"/>
      <c r="AU620" s="34"/>
      <c r="AV620" s="34"/>
      <c r="AW620" s="34"/>
    </row>
    <row r="621" ht="15.0" customHeight="1">
      <c r="A621" s="32" t="s">
        <v>646</v>
      </c>
      <c r="B621" s="25"/>
      <c r="C621" s="25"/>
      <c r="D621" s="25"/>
      <c r="E621" s="25"/>
      <c r="F621" s="25"/>
      <c r="G621" s="35">
        <v>0.0</v>
      </c>
      <c r="H621" s="35">
        <v>1.0</v>
      </c>
      <c r="I621" s="25"/>
      <c r="J621" s="25"/>
      <c r="K621" s="25"/>
      <c r="L621" s="35"/>
      <c r="M621" s="35"/>
      <c r="N621" s="25"/>
      <c r="O621" s="25"/>
      <c r="P621" s="25"/>
      <c r="Q621" s="35">
        <v>2.0</v>
      </c>
      <c r="R621" s="35">
        <v>2.0</v>
      </c>
      <c r="S621" s="35">
        <v>2.0</v>
      </c>
      <c r="T621" s="35">
        <v>2.0</v>
      </c>
      <c r="U621" s="34"/>
      <c r="V621" s="34"/>
      <c r="W621" s="34"/>
      <c r="X621" s="34"/>
      <c r="Y621" s="34"/>
      <c r="Z621" s="34"/>
      <c r="AA621" s="25"/>
      <c r="AB621" s="25"/>
      <c r="AC621" s="25"/>
      <c r="AD621" s="25"/>
      <c r="AE621" s="25"/>
      <c r="AF621" s="25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25"/>
      <c r="AU621" s="34"/>
      <c r="AV621" s="34"/>
      <c r="AW621" s="34"/>
    </row>
    <row r="622" ht="15.0" customHeight="1">
      <c r="A622" s="32" t="s">
        <v>647</v>
      </c>
      <c r="B622" s="25"/>
      <c r="C622" s="25"/>
      <c r="D622" s="25"/>
      <c r="E622" s="25"/>
      <c r="F622" s="25"/>
      <c r="G622" s="35">
        <v>0.0</v>
      </c>
      <c r="H622" s="35">
        <v>1.0</v>
      </c>
      <c r="I622" s="25"/>
      <c r="J622" s="25"/>
      <c r="K622" s="25"/>
      <c r="L622" s="35"/>
      <c r="M622" s="35"/>
      <c r="N622" s="25"/>
      <c r="O622" s="25"/>
      <c r="P622" s="25"/>
      <c r="Q622" s="35">
        <v>2.0</v>
      </c>
      <c r="R622" s="35">
        <v>2.0</v>
      </c>
      <c r="S622" s="35">
        <v>2.0</v>
      </c>
      <c r="T622" s="35">
        <v>2.0</v>
      </c>
      <c r="U622" s="34"/>
      <c r="V622" s="34"/>
      <c r="W622" s="34"/>
      <c r="X622" s="34"/>
      <c r="Y622" s="34"/>
      <c r="Z622" s="34"/>
      <c r="AA622" s="25"/>
      <c r="AB622" s="25"/>
      <c r="AC622" s="25"/>
      <c r="AD622" s="25"/>
      <c r="AE622" s="25"/>
      <c r="AF622" s="25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25"/>
      <c r="AU622" s="34"/>
      <c r="AV622" s="34"/>
      <c r="AW622" s="34"/>
    </row>
    <row r="623" ht="15.0" customHeight="1">
      <c r="A623" s="32" t="s">
        <v>648</v>
      </c>
      <c r="B623" s="25"/>
      <c r="C623" s="25"/>
      <c r="D623" s="25"/>
      <c r="E623" s="25"/>
      <c r="F623" s="25"/>
      <c r="G623" s="35">
        <v>0.0</v>
      </c>
      <c r="H623" s="35">
        <v>1.0</v>
      </c>
      <c r="I623" s="25"/>
      <c r="J623" s="25"/>
      <c r="K623" s="25"/>
      <c r="L623" s="35"/>
      <c r="M623" s="35"/>
      <c r="N623" s="25"/>
      <c r="O623" s="25"/>
      <c r="P623" s="25"/>
      <c r="Q623" s="35">
        <v>2.0</v>
      </c>
      <c r="R623" s="35">
        <v>2.0</v>
      </c>
      <c r="S623" s="35">
        <v>2.0</v>
      </c>
      <c r="T623" s="35">
        <v>2.0</v>
      </c>
      <c r="U623" s="34"/>
      <c r="V623" s="34"/>
      <c r="W623" s="34"/>
      <c r="X623" s="34"/>
      <c r="Y623" s="34"/>
      <c r="Z623" s="34"/>
      <c r="AA623" s="25"/>
      <c r="AB623" s="25"/>
      <c r="AC623" s="25"/>
      <c r="AD623" s="25"/>
      <c r="AE623" s="25"/>
      <c r="AF623" s="25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25"/>
      <c r="AU623" s="34"/>
      <c r="AV623" s="34"/>
      <c r="AW623" s="34"/>
    </row>
    <row r="624" ht="15.0" customHeight="1">
      <c r="A624" s="32" t="s">
        <v>649</v>
      </c>
      <c r="B624" s="25"/>
      <c r="C624" s="25"/>
      <c r="D624" s="25"/>
      <c r="E624" s="25"/>
      <c r="F624" s="25"/>
      <c r="G624" s="35">
        <v>0.0</v>
      </c>
      <c r="H624" s="35">
        <v>1.0</v>
      </c>
      <c r="I624" s="25"/>
      <c r="J624" s="25"/>
      <c r="K624" s="25"/>
      <c r="L624" s="35"/>
      <c r="M624" s="35"/>
      <c r="N624" s="25"/>
      <c r="O624" s="25"/>
      <c r="P624" s="25"/>
      <c r="Q624" s="35">
        <v>2.0</v>
      </c>
      <c r="R624" s="35">
        <v>2.0</v>
      </c>
      <c r="S624" s="35">
        <v>2.0</v>
      </c>
      <c r="T624" s="35">
        <v>2.0</v>
      </c>
      <c r="U624" s="34"/>
      <c r="V624" s="34"/>
      <c r="W624" s="34"/>
      <c r="X624" s="34"/>
      <c r="Y624" s="34"/>
      <c r="Z624" s="34"/>
      <c r="AA624" s="25"/>
      <c r="AB624" s="25"/>
      <c r="AC624" s="25"/>
      <c r="AD624" s="25"/>
      <c r="AE624" s="25"/>
      <c r="AF624" s="25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25"/>
      <c r="AU624" s="34"/>
      <c r="AV624" s="34"/>
      <c r="AW624" s="34"/>
    </row>
    <row r="625" ht="15.0" customHeight="1">
      <c r="A625" s="32" t="s">
        <v>650</v>
      </c>
      <c r="B625" s="25"/>
      <c r="C625" s="25"/>
      <c r="D625" s="25"/>
      <c r="E625" s="25"/>
      <c r="F625" s="25"/>
      <c r="G625" s="35">
        <v>0.0</v>
      </c>
      <c r="H625" s="35">
        <v>1.0</v>
      </c>
      <c r="I625" s="25"/>
      <c r="J625" s="25"/>
      <c r="K625" s="25"/>
      <c r="L625" s="35"/>
      <c r="M625" s="35"/>
      <c r="N625" s="25"/>
      <c r="O625" s="25"/>
      <c r="P625" s="25"/>
      <c r="Q625" s="35">
        <v>2.0</v>
      </c>
      <c r="R625" s="35">
        <v>2.0</v>
      </c>
      <c r="S625" s="35">
        <v>2.0</v>
      </c>
      <c r="T625" s="35">
        <v>2.0</v>
      </c>
      <c r="U625" s="34"/>
      <c r="V625" s="34"/>
      <c r="W625" s="34"/>
      <c r="X625" s="34"/>
      <c r="Y625" s="34"/>
      <c r="Z625" s="34"/>
      <c r="AA625" s="25"/>
      <c r="AB625" s="25"/>
      <c r="AC625" s="25"/>
      <c r="AD625" s="25"/>
      <c r="AE625" s="25"/>
      <c r="AF625" s="25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25"/>
      <c r="AU625" s="34"/>
      <c r="AV625" s="34"/>
      <c r="AW625" s="34"/>
    </row>
    <row r="626" ht="15.0" customHeight="1">
      <c r="A626" s="32" t="s">
        <v>651</v>
      </c>
      <c r="B626" s="25"/>
      <c r="C626" s="25"/>
      <c r="D626" s="25"/>
      <c r="E626" s="25"/>
      <c r="F626" s="25"/>
      <c r="G626" s="35">
        <v>0.0</v>
      </c>
      <c r="H626" s="35">
        <v>1.0</v>
      </c>
      <c r="I626" s="25"/>
      <c r="J626" s="25"/>
      <c r="K626" s="25"/>
      <c r="L626" s="35"/>
      <c r="M626" s="35"/>
      <c r="N626" s="25"/>
      <c r="O626" s="25"/>
      <c r="P626" s="25"/>
      <c r="Q626" s="35">
        <v>2.0</v>
      </c>
      <c r="R626" s="35">
        <v>2.0</v>
      </c>
      <c r="S626" s="35">
        <v>2.0</v>
      </c>
      <c r="T626" s="35">
        <v>2.0</v>
      </c>
      <c r="U626" s="34"/>
      <c r="V626" s="34"/>
      <c r="W626" s="34"/>
      <c r="X626" s="34"/>
      <c r="Y626" s="34"/>
      <c r="Z626" s="34"/>
      <c r="AA626" s="25"/>
      <c r="AB626" s="25"/>
      <c r="AC626" s="25"/>
      <c r="AD626" s="25"/>
      <c r="AE626" s="25"/>
      <c r="AF626" s="25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25"/>
      <c r="AU626" s="34"/>
      <c r="AV626" s="34"/>
      <c r="AW626" s="34"/>
    </row>
    <row r="627" ht="15.0" customHeight="1">
      <c r="A627" s="32" t="s">
        <v>652</v>
      </c>
      <c r="B627" s="25"/>
      <c r="C627" s="25"/>
      <c r="D627" s="25"/>
      <c r="E627" s="25"/>
      <c r="F627" s="25"/>
      <c r="G627" s="35">
        <v>0.0</v>
      </c>
      <c r="H627" s="35">
        <v>1.0</v>
      </c>
      <c r="I627" s="25"/>
      <c r="J627" s="25"/>
      <c r="K627" s="25"/>
      <c r="L627" s="35"/>
      <c r="M627" s="35"/>
      <c r="N627" s="25"/>
      <c r="O627" s="25"/>
      <c r="P627" s="25"/>
      <c r="Q627" s="35">
        <v>2.0</v>
      </c>
      <c r="R627" s="35">
        <v>2.0</v>
      </c>
      <c r="S627" s="35">
        <v>2.0</v>
      </c>
      <c r="T627" s="35">
        <v>2.0</v>
      </c>
      <c r="U627" s="34"/>
      <c r="V627" s="34"/>
      <c r="W627" s="34"/>
      <c r="X627" s="34"/>
      <c r="Y627" s="34"/>
      <c r="Z627" s="34"/>
      <c r="AA627" s="25"/>
      <c r="AB627" s="25"/>
      <c r="AC627" s="25"/>
      <c r="AD627" s="25"/>
      <c r="AE627" s="25"/>
      <c r="AF627" s="25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25"/>
      <c r="AU627" s="34"/>
      <c r="AV627" s="34"/>
      <c r="AW627" s="34"/>
    </row>
    <row r="628" ht="15.0" customHeight="1">
      <c r="A628" s="32" t="s">
        <v>653</v>
      </c>
      <c r="B628" s="25"/>
      <c r="C628" s="25"/>
      <c r="D628" s="25"/>
      <c r="E628" s="25"/>
      <c r="F628" s="25"/>
      <c r="G628" s="35">
        <v>0.0</v>
      </c>
      <c r="H628" s="35">
        <v>1.0</v>
      </c>
      <c r="I628" s="25"/>
      <c r="J628" s="25"/>
      <c r="K628" s="25"/>
      <c r="L628" s="35"/>
      <c r="M628" s="35"/>
      <c r="N628" s="25"/>
      <c r="O628" s="25"/>
      <c r="P628" s="25"/>
      <c r="Q628" s="35">
        <v>2.0</v>
      </c>
      <c r="R628" s="35">
        <v>2.0</v>
      </c>
      <c r="S628" s="35">
        <v>2.0</v>
      </c>
      <c r="T628" s="35">
        <v>2.0</v>
      </c>
      <c r="U628" s="34"/>
      <c r="V628" s="34"/>
      <c r="W628" s="34"/>
      <c r="X628" s="34"/>
      <c r="Y628" s="34"/>
      <c r="Z628" s="34"/>
      <c r="AA628" s="25"/>
      <c r="AB628" s="25"/>
      <c r="AC628" s="25"/>
      <c r="AD628" s="25"/>
      <c r="AE628" s="25"/>
      <c r="AF628" s="25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25"/>
      <c r="AU628" s="34"/>
      <c r="AV628" s="34"/>
      <c r="AW628" s="34"/>
    </row>
    <row r="629" ht="15.0" customHeight="1">
      <c r="A629" s="32" t="s">
        <v>654</v>
      </c>
      <c r="B629" s="25"/>
      <c r="C629" s="25"/>
      <c r="D629" s="25"/>
      <c r="E629" s="25"/>
      <c r="F629" s="25"/>
      <c r="G629" s="35">
        <v>0.0</v>
      </c>
      <c r="H629" s="35">
        <v>1.0</v>
      </c>
      <c r="I629" s="25"/>
      <c r="J629" s="25"/>
      <c r="K629" s="25"/>
      <c r="L629" s="35"/>
      <c r="M629" s="35"/>
      <c r="N629" s="25"/>
      <c r="O629" s="25"/>
      <c r="P629" s="25"/>
      <c r="Q629" s="35">
        <v>2.0</v>
      </c>
      <c r="R629" s="35">
        <v>2.0</v>
      </c>
      <c r="S629" s="35">
        <v>2.0</v>
      </c>
      <c r="T629" s="35">
        <v>2.0</v>
      </c>
      <c r="U629" s="34"/>
      <c r="V629" s="34"/>
      <c r="W629" s="34"/>
      <c r="X629" s="34"/>
      <c r="Y629" s="34"/>
      <c r="Z629" s="34"/>
      <c r="AA629" s="25"/>
      <c r="AB629" s="25"/>
      <c r="AC629" s="25"/>
      <c r="AD629" s="25"/>
      <c r="AE629" s="25"/>
      <c r="AF629" s="25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25"/>
      <c r="AU629" s="34"/>
      <c r="AV629" s="34"/>
      <c r="AW629" s="34"/>
    </row>
    <row r="630" ht="15.0" customHeight="1">
      <c r="A630" s="32" t="s">
        <v>655</v>
      </c>
      <c r="B630" s="25"/>
      <c r="C630" s="25"/>
      <c r="D630" s="25"/>
      <c r="E630" s="25"/>
      <c r="F630" s="25"/>
      <c r="G630" s="35">
        <v>0.0</v>
      </c>
      <c r="H630" s="35">
        <v>1.0</v>
      </c>
      <c r="I630" s="25"/>
      <c r="J630" s="25"/>
      <c r="K630" s="25"/>
      <c r="L630" s="35"/>
      <c r="M630" s="35"/>
      <c r="N630" s="25"/>
      <c r="O630" s="25"/>
      <c r="P630" s="25"/>
      <c r="Q630" s="35">
        <v>2.0</v>
      </c>
      <c r="R630" s="35">
        <v>2.0</v>
      </c>
      <c r="S630" s="35">
        <v>2.0</v>
      </c>
      <c r="T630" s="35">
        <v>2.0</v>
      </c>
      <c r="U630" s="34"/>
      <c r="V630" s="34"/>
      <c r="W630" s="34"/>
      <c r="X630" s="34"/>
      <c r="Y630" s="34"/>
      <c r="Z630" s="34"/>
      <c r="AA630" s="25"/>
      <c r="AB630" s="25"/>
      <c r="AC630" s="25"/>
      <c r="AD630" s="25"/>
      <c r="AE630" s="25"/>
      <c r="AF630" s="25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25"/>
      <c r="AU630" s="34"/>
      <c r="AV630" s="34"/>
      <c r="AW630" s="34"/>
    </row>
    <row r="631" ht="15.0" customHeight="1">
      <c r="A631" s="32" t="s">
        <v>656</v>
      </c>
      <c r="B631" s="25"/>
      <c r="C631" s="25"/>
      <c r="D631" s="25"/>
      <c r="E631" s="25"/>
      <c r="F631" s="25"/>
      <c r="G631" s="35">
        <v>0.0</v>
      </c>
      <c r="H631" s="35">
        <v>1.0</v>
      </c>
      <c r="I631" s="25"/>
      <c r="J631" s="25"/>
      <c r="K631" s="25"/>
      <c r="L631" s="35"/>
      <c r="M631" s="35"/>
      <c r="N631" s="25"/>
      <c r="O631" s="25"/>
      <c r="P631" s="25"/>
      <c r="Q631" s="35">
        <v>2.0</v>
      </c>
      <c r="R631" s="35">
        <v>2.0</v>
      </c>
      <c r="S631" s="35">
        <v>2.0</v>
      </c>
      <c r="T631" s="35">
        <v>2.0</v>
      </c>
      <c r="U631" s="34"/>
      <c r="V631" s="34"/>
      <c r="W631" s="34"/>
      <c r="X631" s="34"/>
      <c r="Y631" s="34"/>
      <c r="Z631" s="34"/>
      <c r="AA631" s="25"/>
      <c r="AB631" s="25"/>
      <c r="AC631" s="25"/>
      <c r="AD631" s="25"/>
      <c r="AE631" s="25"/>
      <c r="AF631" s="25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25"/>
      <c r="AU631" s="34"/>
      <c r="AV631" s="34"/>
      <c r="AW631" s="34"/>
    </row>
    <row r="632" ht="15.0" customHeight="1">
      <c r="A632" s="32" t="s">
        <v>657</v>
      </c>
      <c r="B632" s="25"/>
      <c r="C632" s="25"/>
      <c r="D632" s="25"/>
      <c r="E632" s="25"/>
      <c r="F632" s="25"/>
      <c r="G632" s="35">
        <v>0.0</v>
      </c>
      <c r="H632" s="35">
        <v>1.0</v>
      </c>
      <c r="I632" s="25"/>
      <c r="J632" s="25"/>
      <c r="K632" s="25"/>
      <c r="L632" s="35"/>
      <c r="M632" s="35"/>
      <c r="N632" s="25"/>
      <c r="O632" s="25"/>
      <c r="P632" s="25"/>
      <c r="Q632" s="35">
        <v>2.0</v>
      </c>
      <c r="R632" s="35">
        <v>2.0</v>
      </c>
      <c r="S632" s="35">
        <v>2.0</v>
      </c>
      <c r="T632" s="35">
        <v>2.0</v>
      </c>
      <c r="U632" s="34"/>
      <c r="V632" s="34"/>
      <c r="W632" s="34"/>
      <c r="X632" s="34"/>
      <c r="Y632" s="34"/>
      <c r="Z632" s="34"/>
      <c r="AA632" s="25"/>
      <c r="AB632" s="25"/>
      <c r="AC632" s="25"/>
      <c r="AD632" s="25"/>
      <c r="AE632" s="25"/>
      <c r="AF632" s="25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25"/>
      <c r="AU632" s="34"/>
      <c r="AV632" s="34"/>
      <c r="AW632" s="34"/>
    </row>
    <row r="633" ht="15.0" customHeight="1">
      <c r="A633" s="32" t="s">
        <v>658</v>
      </c>
      <c r="B633" s="25"/>
      <c r="C633" s="25"/>
      <c r="D633" s="25"/>
      <c r="E633" s="25"/>
      <c r="F633" s="25"/>
      <c r="G633" s="35">
        <v>0.0</v>
      </c>
      <c r="H633" s="35">
        <v>1.0</v>
      </c>
      <c r="I633" s="25"/>
      <c r="J633" s="25"/>
      <c r="K633" s="25"/>
      <c r="L633" s="35"/>
      <c r="M633" s="35"/>
      <c r="N633" s="25"/>
      <c r="O633" s="25"/>
      <c r="P633" s="25"/>
      <c r="Q633" s="35">
        <v>2.0</v>
      </c>
      <c r="R633" s="35">
        <v>2.0</v>
      </c>
      <c r="S633" s="35">
        <v>2.0</v>
      </c>
      <c r="T633" s="35">
        <v>2.0</v>
      </c>
      <c r="U633" s="34"/>
      <c r="V633" s="34"/>
      <c r="W633" s="34"/>
      <c r="X633" s="34"/>
      <c r="Y633" s="34"/>
      <c r="Z633" s="34"/>
      <c r="AA633" s="25"/>
      <c r="AB633" s="25"/>
      <c r="AC633" s="25"/>
      <c r="AD633" s="25"/>
      <c r="AE633" s="25"/>
      <c r="AF633" s="25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25"/>
      <c r="AU633" s="34"/>
      <c r="AV633" s="34"/>
      <c r="AW633" s="34"/>
    </row>
    <row r="634" ht="15.0" customHeight="1">
      <c r="A634" s="32" t="s">
        <v>659</v>
      </c>
      <c r="B634" s="25"/>
      <c r="C634" s="25"/>
      <c r="D634" s="25"/>
      <c r="E634" s="25"/>
      <c r="F634" s="25"/>
      <c r="G634" s="35">
        <v>0.0</v>
      </c>
      <c r="H634" s="35">
        <v>1.0</v>
      </c>
      <c r="I634" s="25"/>
      <c r="J634" s="25"/>
      <c r="K634" s="25"/>
      <c r="L634" s="35"/>
      <c r="M634" s="35"/>
      <c r="N634" s="25"/>
      <c r="O634" s="25"/>
      <c r="P634" s="25"/>
      <c r="Q634" s="35">
        <v>2.0</v>
      </c>
      <c r="R634" s="35">
        <v>2.0</v>
      </c>
      <c r="S634" s="35">
        <v>2.0</v>
      </c>
      <c r="T634" s="35">
        <v>2.0</v>
      </c>
      <c r="U634" s="34"/>
      <c r="V634" s="34"/>
      <c r="W634" s="34"/>
      <c r="X634" s="34"/>
      <c r="Y634" s="34"/>
      <c r="Z634" s="34"/>
      <c r="AA634" s="25"/>
      <c r="AB634" s="25"/>
      <c r="AC634" s="25"/>
      <c r="AD634" s="25"/>
      <c r="AE634" s="25"/>
      <c r="AF634" s="25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25"/>
      <c r="AU634" s="34"/>
      <c r="AV634" s="34"/>
      <c r="AW634" s="34"/>
    </row>
    <row r="635" ht="15.0" customHeight="1">
      <c r="A635" s="32" t="s">
        <v>660</v>
      </c>
      <c r="B635" s="25"/>
      <c r="C635" s="25"/>
      <c r="D635" s="25"/>
      <c r="E635" s="25"/>
      <c r="F635" s="25"/>
      <c r="G635" s="35">
        <v>0.0</v>
      </c>
      <c r="H635" s="35">
        <v>1.0</v>
      </c>
      <c r="I635" s="25"/>
      <c r="J635" s="25"/>
      <c r="K635" s="25"/>
      <c r="L635" s="35"/>
      <c r="M635" s="35"/>
      <c r="N635" s="25"/>
      <c r="O635" s="25"/>
      <c r="P635" s="25"/>
      <c r="Q635" s="35">
        <v>2.0</v>
      </c>
      <c r="R635" s="35">
        <v>2.0</v>
      </c>
      <c r="S635" s="35">
        <v>2.0</v>
      </c>
      <c r="T635" s="35">
        <v>2.0</v>
      </c>
      <c r="U635" s="34"/>
      <c r="V635" s="34"/>
      <c r="W635" s="34"/>
      <c r="X635" s="34"/>
      <c r="Y635" s="34"/>
      <c r="Z635" s="34"/>
      <c r="AA635" s="25"/>
      <c r="AB635" s="25"/>
      <c r="AC635" s="25"/>
      <c r="AD635" s="25"/>
      <c r="AE635" s="25"/>
      <c r="AF635" s="25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25"/>
      <c r="AU635" s="34"/>
      <c r="AV635" s="34"/>
      <c r="AW635" s="34"/>
    </row>
    <row r="636" ht="15.0" customHeight="1">
      <c r="A636" s="32" t="s">
        <v>661</v>
      </c>
      <c r="B636" s="25"/>
      <c r="C636" s="25"/>
      <c r="D636" s="25"/>
      <c r="E636" s="25"/>
      <c r="F636" s="25"/>
      <c r="G636" s="35">
        <v>0.0</v>
      </c>
      <c r="H636" s="35">
        <v>1.0</v>
      </c>
      <c r="I636" s="25"/>
      <c r="J636" s="25"/>
      <c r="K636" s="25"/>
      <c r="L636" s="35"/>
      <c r="M636" s="35"/>
      <c r="N636" s="25"/>
      <c r="O636" s="25"/>
      <c r="P636" s="25"/>
      <c r="Q636" s="35">
        <v>2.0</v>
      </c>
      <c r="R636" s="35">
        <v>2.0</v>
      </c>
      <c r="S636" s="35">
        <v>2.0</v>
      </c>
      <c r="T636" s="35">
        <v>2.0</v>
      </c>
      <c r="U636" s="34"/>
      <c r="V636" s="34"/>
      <c r="W636" s="34"/>
      <c r="X636" s="34"/>
      <c r="Y636" s="34"/>
      <c r="Z636" s="34"/>
      <c r="AA636" s="25"/>
      <c r="AB636" s="25"/>
      <c r="AC636" s="25"/>
      <c r="AD636" s="25"/>
      <c r="AE636" s="25"/>
      <c r="AF636" s="25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25"/>
      <c r="AU636" s="34"/>
      <c r="AV636" s="34"/>
      <c r="AW636" s="34"/>
    </row>
    <row r="637" ht="15.0" customHeight="1">
      <c r="A637" s="32" t="s">
        <v>662</v>
      </c>
      <c r="B637" s="25"/>
      <c r="C637" s="25"/>
      <c r="D637" s="25"/>
      <c r="E637" s="25"/>
      <c r="F637" s="25"/>
      <c r="G637" s="35">
        <v>0.0</v>
      </c>
      <c r="H637" s="35">
        <v>1.0</v>
      </c>
      <c r="I637" s="25"/>
      <c r="J637" s="25"/>
      <c r="K637" s="25"/>
      <c r="L637" s="35"/>
      <c r="M637" s="35"/>
      <c r="N637" s="25"/>
      <c r="O637" s="25"/>
      <c r="P637" s="25"/>
      <c r="Q637" s="35">
        <v>2.0</v>
      </c>
      <c r="R637" s="35">
        <v>2.0</v>
      </c>
      <c r="S637" s="35">
        <v>2.0</v>
      </c>
      <c r="T637" s="35">
        <v>2.0</v>
      </c>
      <c r="U637" s="34"/>
      <c r="V637" s="34"/>
      <c r="W637" s="34"/>
      <c r="X637" s="34"/>
      <c r="Y637" s="34"/>
      <c r="Z637" s="34"/>
      <c r="AA637" s="25"/>
      <c r="AB637" s="25"/>
      <c r="AC637" s="25"/>
      <c r="AD637" s="25"/>
      <c r="AE637" s="25"/>
      <c r="AF637" s="25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25"/>
      <c r="AU637" s="34"/>
      <c r="AV637" s="34"/>
      <c r="AW637" s="34"/>
    </row>
    <row r="638" ht="15.0" customHeight="1">
      <c r="A638" s="32" t="s">
        <v>663</v>
      </c>
      <c r="B638" s="25"/>
      <c r="C638" s="25"/>
      <c r="D638" s="25"/>
      <c r="E638" s="25"/>
      <c r="F638" s="25"/>
      <c r="G638" s="35">
        <v>0.0</v>
      </c>
      <c r="H638" s="35">
        <v>1.0</v>
      </c>
      <c r="I638" s="25"/>
      <c r="J638" s="25"/>
      <c r="K638" s="25"/>
      <c r="L638" s="35"/>
      <c r="M638" s="35"/>
      <c r="N638" s="25"/>
      <c r="O638" s="25"/>
      <c r="P638" s="25"/>
      <c r="Q638" s="35">
        <v>2.0</v>
      </c>
      <c r="R638" s="35">
        <v>2.0</v>
      </c>
      <c r="S638" s="35">
        <v>2.0</v>
      </c>
      <c r="T638" s="35">
        <v>2.0</v>
      </c>
      <c r="U638" s="34"/>
      <c r="V638" s="34"/>
      <c r="W638" s="34"/>
      <c r="X638" s="34"/>
      <c r="Y638" s="34"/>
      <c r="Z638" s="34"/>
      <c r="AA638" s="25"/>
      <c r="AB638" s="25"/>
      <c r="AC638" s="25"/>
      <c r="AD638" s="25"/>
      <c r="AE638" s="25"/>
      <c r="AF638" s="25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25"/>
      <c r="AU638" s="34"/>
      <c r="AV638" s="34"/>
      <c r="AW638" s="34"/>
    </row>
    <row r="639" ht="15.0" customHeight="1">
      <c r="A639" s="32" t="s">
        <v>664</v>
      </c>
      <c r="B639" s="25"/>
      <c r="C639" s="25"/>
      <c r="D639" s="25"/>
      <c r="E639" s="25"/>
      <c r="F639" s="25"/>
      <c r="G639" s="35">
        <v>0.0</v>
      </c>
      <c r="H639" s="35">
        <v>1.0</v>
      </c>
      <c r="I639" s="25"/>
      <c r="J639" s="25"/>
      <c r="K639" s="25"/>
      <c r="L639" s="35"/>
      <c r="M639" s="35"/>
      <c r="N639" s="25"/>
      <c r="O639" s="25"/>
      <c r="P639" s="25"/>
      <c r="Q639" s="35">
        <v>2.0</v>
      </c>
      <c r="R639" s="35">
        <v>2.0</v>
      </c>
      <c r="S639" s="35">
        <v>2.0</v>
      </c>
      <c r="T639" s="35">
        <v>2.0</v>
      </c>
      <c r="U639" s="34"/>
      <c r="V639" s="34"/>
      <c r="W639" s="34"/>
      <c r="X639" s="34"/>
      <c r="Y639" s="34"/>
      <c r="Z639" s="34"/>
      <c r="AA639" s="25"/>
      <c r="AB639" s="25"/>
      <c r="AC639" s="25"/>
      <c r="AD639" s="25"/>
      <c r="AE639" s="25"/>
      <c r="AF639" s="25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25"/>
      <c r="AU639" s="34"/>
      <c r="AV639" s="34"/>
      <c r="AW639" s="34"/>
    </row>
    <row r="640" ht="15.0" customHeight="1">
      <c r="A640" s="32" t="s">
        <v>665</v>
      </c>
      <c r="B640" s="25"/>
      <c r="C640" s="25"/>
      <c r="D640" s="25"/>
      <c r="E640" s="25"/>
      <c r="F640" s="25"/>
      <c r="G640" s="35">
        <v>0.0</v>
      </c>
      <c r="H640" s="35">
        <v>1.0</v>
      </c>
      <c r="I640" s="25"/>
      <c r="J640" s="25"/>
      <c r="K640" s="25"/>
      <c r="L640" s="35"/>
      <c r="M640" s="35"/>
      <c r="N640" s="25"/>
      <c r="O640" s="25"/>
      <c r="P640" s="25"/>
      <c r="Q640" s="35">
        <v>2.0</v>
      </c>
      <c r="R640" s="35">
        <v>2.0</v>
      </c>
      <c r="S640" s="35">
        <v>2.0</v>
      </c>
      <c r="T640" s="35">
        <v>2.0</v>
      </c>
      <c r="U640" s="34"/>
      <c r="V640" s="34"/>
      <c r="W640" s="34"/>
      <c r="X640" s="34"/>
      <c r="Y640" s="34"/>
      <c r="Z640" s="34"/>
      <c r="AA640" s="25"/>
      <c r="AB640" s="25"/>
      <c r="AC640" s="25"/>
      <c r="AD640" s="25"/>
      <c r="AE640" s="25"/>
      <c r="AF640" s="25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25"/>
      <c r="AU640" s="34"/>
      <c r="AV640" s="34"/>
      <c r="AW640" s="34"/>
    </row>
    <row r="641" ht="15.0" customHeight="1">
      <c r="A641" s="32" t="s">
        <v>666</v>
      </c>
      <c r="B641" s="25"/>
      <c r="C641" s="25"/>
      <c r="D641" s="25"/>
      <c r="E641" s="25"/>
      <c r="F641" s="25"/>
      <c r="G641" s="35">
        <v>0.0</v>
      </c>
      <c r="H641" s="35">
        <v>1.0</v>
      </c>
      <c r="I641" s="25"/>
      <c r="J641" s="25"/>
      <c r="K641" s="25"/>
      <c r="L641" s="35"/>
      <c r="M641" s="35"/>
      <c r="N641" s="25"/>
      <c r="O641" s="25"/>
      <c r="P641" s="25"/>
      <c r="Q641" s="35">
        <v>2.0</v>
      </c>
      <c r="R641" s="35">
        <v>2.0</v>
      </c>
      <c r="S641" s="35">
        <v>2.0</v>
      </c>
      <c r="T641" s="35">
        <v>2.0</v>
      </c>
      <c r="U641" s="34"/>
      <c r="V641" s="34"/>
      <c r="W641" s="34"/>
      <c r="X641" s="34"/>
      <c r="Y641" s="34"/>
      <c r="Z641" s="34"/>
      <c r="AA641" s="25"/>
      <c r="AB641" s="25"/>
      <c r="AC641" s="25"/>
      <c r="AD641" s="25"/>
      <c r="AE641" s="25"/>
      <c r="AF641" s="25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25"/>
      <c r="AU641" s="34"/>
      <c r="AV641" s="34"/>
      <c r="AW641" s="34"/>
    </row>
    <row r="642" ht="15.0" customHeight="1">
      <c r="A642" s="32" t="s">
        <v>667</v>
      </c>
      <c r="B642" s="25"/>
      <c r="C642" s="25"/>
      <c r="D642" s="25"/>
      <c r="E642" s="25"/>
      <c r="F642" s="25"/>
      <c r="G642" s="35">
        <v>0.0</v>
      </c>
      <c r="H642" s="35">
        <v>1.0</v>
      </c>
      <c r="I642" s="25"/>
      <c r="J642" s="25"/>
      <c r="K642" s="25"/>
      <c r="L642" s="35"/>
      <c r="M642" s="35"/>
      <c r="N642" s="25"/>
      <c r="O642" s="25"/>
      <c r="P642" s="25"/>
      <c r="Q642" s="35">
        <v>2.0</v>
      </c>
      <c r="R642" s="35">
        <v>2.0</v>
      </c>
      <c r="S642" s="35">
        <v>2.0</v>
      </c>
      <c r="T642" s="35">
        <v>2.0</v>
      </c>
      <c r="U642" s="34"/>
      <c r="V642" s="34"/>
      <c r="W642" s="34"/>
      <c r="X642" s="34"/>
      <c r="Y642" s="34"/>
      <c r="Z642" s="34"/>
      <c r="AA642" s="25"/>
      <c r="AB642" s="25"/>
      <c r="AC642" s="25"/>
      <c r="AD642" s="25"/>
      <c r="AE642" s="25"/>
      <c r="AF642" s="25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25"/>
      <c r="AU642" s="34"/>
      <c r="AV642" s="34"/>
      <c r="AW642" s="34"/>
    </row>
    <row r="643" ht="15.0" customHeight="1">
      <c r="A643" s="32" t="s">
        <v>668</v>
      </c>
      <c r="B643" s="25"/>
      <c r="C643" s="25"/>
      <c r="D643" s="25"/>
      <c r="E643" s="25"/>
      <c r="F643" s="25"/>
      <c r="G643" s="35">
        <v>0.0</v>
      </c>
      <c r="H643" s="35">
        <v>1.0</v>
      </c>
      <c r="I643" s="25"/>
      <c r="J643" s="25"/>
      <c r="K643" s="25"/>
      <c r="L643" s="35"/>
      <c r="M643" s="35"/>
      <c r="N643" s="25"/>
      <c r="O643" s="25"/>
      <c r="P643" s="25"/>
      <c r="Q643" s="35">
        <v>2.0</v>
      </c>
      <c r="R643" s="35">
        <v>2.0</v>
      </c>
      <c r="S643" s="35">
        <v>2.0</v>
      </c>
      <c r="T643" s="35">
        <v>2.0</v>
      </c>
      <c r="U643" s="34"/>
      <c r="V643" s="34"/>
      <c r="W643" s="34"/>
      <c r="X643" s="34"/>
      <c r="Y643" s="34"/>
      <c r="Z643" s="34"/>
      <c r="AA643" s="25"/>
      <c r="AB643" s="25"/>
      <c r="AC643" s="25"/>
      <c r="AD643" s="25"/>
      <c r="AE643" s="25"/>
      <c r="AF643" s="25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25"/>
      <c r="AU643" s="34"/>
      <c r="AV643" s="34"/>
      <c r="AW643" s="34"/>
    </row>
    <row r="644" ht="15.0" customHeight="1">
      <c r="A644" s="32" t="s">
        <v>669</v>
      </c>
      <c r="B644" s="25"/>
      <c r="C644" s="25"/>
      <c r="D644" s="25"/>
      <c r="E644" s="25"/>
      <c r="F644" s="25"/>
      <c r="G644" s="35">
        <v>0.0</v>
      </c>
      <c r="H644" s="35">
        <v>1.0</v>
      </c>
      <c r="I644" s="25"/>
      <c r="J644" s="25"/>
      <c r="K644" s="25"/>
      <c r="L644" s="35"/>
      <c r="M644" s="35"/>
      <c r="N644" s="25"/>
      <c r="O644" s="25"/>
      <c r="P644" s="25"/>
      <c r="Q644" s="35">
        <v>2.0</v>
      </c>
      <c r="R644" s="35">
        <v>2.0</v>
      </c>
      <c r="S644" s="35">
        <v>2.0</v>
      </c>
      <c r="T644" s="35">
        <v>2.0</v>
      </c>
      <c r="U644" s="34"/>
      <c r="V644" s="34"/>
      <c r="W644" s="34"/>
      <c r="X644" s="34"/>
      <c r="Y644" s="34"/>
      <c r="Z644" s="34"/>
      <c r="AA644" s="25"/>
      <c r="AB644" s="25"/>
      <c r="AC644" s="25"/>
      <c r="AD644" s="25"/>
      <c r="AE644" s="25"/>
      <c r="AF644" s="25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25"/>
      <c r="AU644" s="34"/>
      <c r="AV644" s="34"/>
      <c r="AW644" s="34"/>
    </row>
    <row r="645" ht="15.0" customHeight="1">
      <c r="A645" s="32" t="s">
        <v>670</v>
      </c>
      <c r="B645" s="25"/>
      <c r="C645" s="25"/>
      <c r="D645" s="25"/>
      <c r="E645" s="25"/>
      <c r="F645" s="25"/>
      <c r="G645" s="35">
        <v>0.0</v>
      </c>
      <c r="H645" s="35">
        <v>1.0</v>
      </c>
      <c r="I645" s="25"/>
      <c r="J645" s="25"/>
      <c r="K645" s="25"/>
      <c r="L645" s="35"/>
      <c r="M645" s="35"/>
      <c r="N645" s="25"/>
      <c r="O645" s="25"/>
      <c r="P645" s="25"/>
      <c r="Q645" s="35">
        <v>2.0</v>
      </c>
      <c r="R645" s="35">
        <v>2.0</v>
      </c>
      <c r="S645" s="35">
        <v>2.0</v>
      </c>
      <c r="T645" s="35">
        <v>2.0</v>
      </c>
      <c r="U645" s="34"/>
      <c r="V645" s="34"/>
      <c r="W645" s="34"/>
      <c r="X645" s="34"/>
      <c r="Y645" s="34"/>
      <c r="Z645" s="34"/>
      <c r="AA645" s="25"/>
      <c r="AB645" s="25"/>
      <c r="AC645" s="25"/>
      <c r="AD645" s="25"/>
      <c r="AE645" s="25"/>
      <c r="AF645" s="25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25"/>
      <c r="AU645" s="34"/>
      <c r="AV645" s="34"/>
      <c r="AW645" s="34"/>
    </row>
    <row r="646" ht="15.0" customHeight="1">
      <c r="A646" s="32" t="s">
        <v>671</v>
      </c>
      <c r="B646" s="25"/>
      <c r="C646" s="25"/>
      <c r="D646" s="25"/>
      <c r="E646" s="25"/>
      <c r="F646" s="25"/>
      <c r="G646" s="35">
        <v>0.0</v>
      </c>
      <c r="H646" s="35">
        <v>1.0</v>
      </c>
      <c r="I646" s="25"/>
      <c r="J646" s="25"/>
      <c r="K646" s="25"/>
      <c r="L646" s="35"/>
      <c r="M646" s="35"/>
      <c r="N646" s="25"/>
      <c r="O646" s="25"/>
      <c r="P646" s="25"/>
      <c r="Q646" s="35">
        <v>2.0</v>
      </c>
      <c r="R646" s="35">
        <v>2.0</v>
      </c>
      <c r="S646" s="35">
        <v>2.0</v>
      </c>
      <c r="T646" s="35">
        <v>2.0</v>
      </c>
      <c r="U646" s="34"/>
      <c r="V646" s="34"/>
      <c r="W646" s="34"/>
      <c r="X646" s="34"/>
      <c r="Y646" s="34"/>
      <c r="Z646" s="34"/>
      <c r="AA646" s="25"/>
      <c r="AB646" s="25"/>
      <c r="AC646" s="25"/>
      <c r="AD646" s="25"/>
      <c r="AE646" s="25"/>
      <c r="AF646" s="25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25"/>
      <c r="AU646" s="34"/>
      <c r="AV646" s="34"/>
      <c r="AW646" s="34"/>
    </row>
    <row r="647" ht="15.0" customHeight="1">
      <c r="A647" s="32" t="s">
        <v>672</v>
      </c>
      <c r="B647" s="25"/>
      <c r="C647" s="25"/>
      <c r="D647" s="25"/>
      <c r="E647" s="25"/>
      <c r="F647" s="25"/>
      <c r="G647" s="35">
        <v>0.0</v>
      </c>
      <c r="H647" s="35">
        <v>1.0</v>
      </c>
      <c r="I647" s="25"/>
      <c r="J647" s="25"/>
      <c r="K647" s="25"/>
      <c r="L647" s="35"/>
      <c r="M647" s="35"/>
      <c r="N647" s="25"/>
      <c r="O647" s="25"/>
      <c r="P647" s="25"/>
      <c r="Q647" s="35">
        <v>2.0</v>
      </c>
      <c r="R647" s="35">
        <v>2.0</v>
      </c>
      <c r="S647" s="35">
        <v>2.0</v>
      </c>
      <c r="T647" s="35">
        <v>2.0</v>
      </c>
      <c r="U647" s="34"/>
      <c r="V647" s="34"/>
      <c r="W647" s="34"/>
      <c r="X647" s="34"/>
      <c r="Y647" s="34"/>
      <c r="Z647" s="34"/>
      <c r="AA647" s="25"/>
      <c r="AB647" s="25"/>
      <c r="AC647" s="25"/>
      <c r="AD647" s="25"/>
      <c r="AE647" s="25"/>
      <c r="AF647" s="25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25"/>
      <c r="AU647" s="34"/>
      <c r="AV647" s="34"/>
      <c r="AW647" s="34"/>
    </row>
    <row r="648" ht="15.0" customHeight="1">
      <c r="A648" s="32" t="s">
        <v>673</v>
      </c>
      <c r="B648" s="25"/>
      <c r="C648" s="25"/>
      <c r="D648" s="25"/>
      <c r="E648" s="25"/>
      <c r="F648" s="25"/>
      <c r="G648" s="35">
        <v>0.0</v>
      </c>
      <c r="H648" s="35">
        <v>1.0</v>
      </c>
      <c r="I648" s="25"/>
      <c r="J648" s="25"/>
      <c r="K648" s="25"/>
      <c r="L648" s="35"/>
      <c r="M648" s="35"/>
      <c r="N648" s="25"/>
      <c r="O648" s="25"/>
      <c r="P648" s="25"/>
      <c r="Q648" s="35">
        <v>2.0</v>
      </c>
      <c r="R648" s="35">
        <v>2.0</v>
      </c>
      <c r="S648" s="35">
        <v>2.0</v>
      </c>
      <c r="T648" s="35">
        <v>2.0</v>
      </c>
      <c r="U648" s="34"/>
      <c r="V648" s="34"/>
      <c r="W648" s="34"/>
      <c r="X648" s="34"/>
      <c r="Y648" s="34"/>
      <c r="Z648" s="34"/>
      <c r="AA648" s="25"/>
      <c r="AB648" s="25"/>
      <c r="AC648" s="25"/>
      <c r="AD648" s="25"/>
      <c r="AE648" s="25"/>
      <c r="AF648" s="25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25"/>
      <c r="AU648" s="34"/>
      <c r="AV648" s="34"/>
      <c r="AW648" s="34"/>
    </row>
    <row r="649" ht="15.0" customHeight="1">
      <c r="A649" s="32" t="s">
        <v>674</v>
      </c>
      <c r="B649" s="25"/>
      <c r="C649" s="25"/>
      <c r="D649" s="25"/>
      <c r="E649" s="25"/>
      <c r="F649" s="25"/>
      <c r="G649" s="35">
        <v>0.0</v>
      </c>
      <c r="H649" s="35">
        <v>1.0</v>
      </c>
      <c r="I649" s="25"/>
      <c r="J649" s="25"/>
      <c r="K649" s="25"/>
      <c r="L649" s="35"/>
      <c r="M649" s="35"/>
      <c r="N649" s="25"/>
      <c r="O649" s="25"/>
      <c r="P649" s="25"/>
      <c r="Q649" s="35">
        <v>2.0</v>
      </c>
      <c r="R649" s="35">
        <v>2.0</v>
      </c>
      <c r="S649" s="35">
        <v>2.0</v>
      </c>
      <c r="T649" s="35">
        <v>2.0</v>
      </c>
      <c r="U649" s="34"/>
      <c r="V649" s="34"/>
      <c r="W649" s="34"/>
      <c r="X649" s="34"/>
      <c r="Y649" s="34"/>
      <c r="Z649" s="34"/>
      <c r="AA649" s="25"/>
      <c r="AB649" s="25"/>
      <c r="AC649" s="25"/>
      <c r="AD649" s="25"/>
      <c r="AE649" s="25"/>
      <c r="AF649" s="25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25"/>
      <c r="AU649" s="34"/>
      <c r="AV649" s="34"/>
      <c r="AW649" s="34"/>
    </row>
    <row r="650" ht="15.0" customHeight="1">
      <c r="A650" s="32" t="s">
        <v>675</v>
      </c>
      <c r="B650" s="25"/>
      <c r="C650" s="25"/>
      <c r="D650" s="25"/>
      <c r="E650" s="25"/>
      <c r="F650" s="25"/>
      <c r="G650" s="35">
        <v>0.0</v>
      </c>
      <c r="H650" s="35">
        <v>1.0</v>
      </c>
      <c r="I650" s="25"/>
      <c r="J650" s="25"/>
      <c r="K650" s="25"/>
      <c r="L650" s="35"/>
      <c r="M650" s="35"/>
      <c r="N650" s="25"/>
      <c r="O650" s="25"/>
      <c r="P650" s="25"/>
      <c r="Q650" s="35">
        <v>2.0</v>
      </c>
      <c r="R650" s="35">
        <v>2.0</v>
      </c>
      <c r="S650" s="35">
        <v>2.0</v>
      </c>
      <c r="T650" s="35">
        <v>2.0</v>
      </c>
      <c r="U650" s="34"/>
      <c r="V650" s="34"/>
      <c r="W650" s="34"/>
      <c r="X650" s="34"/>
      <c r="Y650" s="34"/>
      <c r="Z650" s="34"/>
      <c r="AA650" s="25"/>
      <c r="AB650" s="25"/>
      <c r="AC650" s="25"/>
      <c r="AD650" s="25"/>
      <c r="AE650" s="25"/>
      <c r="AF650" s="25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25"/>
      <c r="AU650" s="34"/>
      <c r="AV650" s="34"/>
      <c r="AW650" s="34"/>
    </row>
    <row r="651" ht="15.0" customHeight="1">
      <c r="A651" s="32" t="s">
        <v>676</v>
      </c>
      <c r="B651" s="25"/>
      <c r="C651" s="25"/>
      <c r="D651" s="25"/>
      <c r="E651" s="25"/>
      <c r="F651" s="25"/>
      <c r="G651" s="35">
        <v>0.0</v>
      </c>
      <c r="H651" s="35">
        <v>1.0</v>
      </c>
      <c r="I651" s="25"/>
      <c r="J651" s="25"/>
      <c r="K651" s="25"/>
      <c r="L651" s="35"/>
      <c r="M651" s="35"/>
      <c r="N651" s="25"/>
      <c r="O651" s="25"/>
      <c r="P651" s="25"/>
      <c r="Q651" s="35">
        <v>2.0</v>
      </c>
      <c r="R651" s="35">
        <v>2.0</v>
      </c>
      <c r="S651" s="35">
        <v>2.0</v>
      </c>
      <c r="T651" s="35">
        <v>2.0</v>
      </c>
      <c r="U651" s="34"/>
      <c r="V651" s="34"/>
      <c r="W651" s="34"/>
      <c r="X651" s="34"/>
      <c r="Y651" s="34"/>
      <c r="Z651" s="34"/>
      <c r="AA651" s="25"/>
      <c r="AB651" s="25"/>
      <c r="AC651" s="25"/>
      <c r="AD651" s="25"/>
      <c r="AE651" s="25"/>
      <c r="AF651" s="25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25"/>
      <c r="AU651" s="34"/>
      <c r="AV651" s="34"/>
      <c r="AW651" s="34"/>
    </row>
    <row r="652" ht="15.0" customHeight="1">
      <c r="A652" s="32" t="s">
        <v>677</v>
      </c>
      <c r="B652" s="25"/>
      <c r="C652" s="25"/>
      <c r="D652" s="25"/>
      <c r="E652" s="25"/>
      <c r="F652" s="25"/>
      <c r="G652" s="35">
        <v>0.0</v>
      </c>
      <c r="H652" s="35">
        <v>1.0</v>
      </c>
      <c r="I652" s="25"/>
      <c r="J652" s="25"/>
      <c r="K652" s="25"/>
      <c r="L652" s="35"/>
      <c r="M652" s="35"/>
      <c r="N652" s="25"/>
      <c r="O652" s="25"/>
      <c r="P652" s="25"/>
      <c r="Q652" s="35">
        <v>2.0</v>
      </c>
      <c r="R652" s="35">
        <v>2.0</v>
      </c>
      <c r="S652" s="35">
        <v>2.0</v>
      </c>
      <c r="T652" s="35">
        <v>2.0</v>
      </c>
      <c r="U652" s="34"/>
      <c r="V652" s="34"/>
      <c r="W652" s="34"/>
      <c r="X652" s="34"/>
      <c r="Y652" s="34"/>
      <c r="Z652" s="34"/>
      <c r="AA652" s="25"/>
      <c r="AB652" s="25"/>
      <c r="AC652" s="25"/>
      <c r="AD652" s="25"/>
      <c r="AE652" s="25"/>
      <c r="AF652" s="25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25"/>
      <c r="AU652" s="34"/>
      <c r="AV652" s="34"/>
      <c r="AW652" s="34"/>
    </row>
    <row r="653" ht="15.0" customHeight="1">
      <c r="A653" s="32" t="s">
        <v>678</v>
      </c>
      <c r="B653" s="25"/>
      <c r="C653" s="25"/>
      <c r="D653" s="25"/>
      <c r="E653" s="25"/>
      <c r="F653" s="25"/>
      <c r="G653" s="35">
        <v>0.0</v>
      </c>
      <c r="H653" s="35">
        <v>1.0</v>
      </c>
      <c r="I653" s="25"/>
      <c r="J653" s="25"/>
      <c r="K653" s="25"/>
      <c r="L653" s="35"/>
      <c r="M653" s="35"/>
      <c r="N653" s="25"/>
      <c r="O653" s="25"/>
      <c r="P653" s="25"/>
      <c r="Q653" s="35">
        <v>2.0</v>
      </c>
      <c r="R653" s="35">
        <v>2.0</v>
      </c>
      <c r="S653" s="35">
        <v>2.0</v>
      </c>
      <c r="T653" s="35">
        <v>2.0</v>
      </c>
      <c r="U653" s="34"/>
      <c r="V653" s="34"/>
      <c r="W653" s="34"/>
      <c r="X653" s="34"/>
      <c r="Y653" s="34"/>
      <c r="Z653" s="34"/>
      <c r="AA653" s="25"/>
      <c r="AB653" s="25"/>
      <c r="AC653" s="25"/>
      <c r="AD653" s="25"/>
      <c r="AE653" s="25"/>
      <c r="AF653" s="25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25"/>
      <c r="AU653" s="34"/>
      <c r="AV653" s="34"/>
      <c r="AW653" s="34"/>
    </row>
    <row r="654" ht="15.0" customHeight="1">
      <c r="A654" s="32" t="s">
        <v>679</v>
      </c>
      <c r="B654" s="25"/>
      <c r="C654" s="25"/>
      <c r="D654" s="25"/>
      <c r="E654" s="25"/>
      <c r="F654" s="25"/>
      <c r="G654" s="35">
        <v>0.0</v>
      </c>
      <c r="H654" s="35">
        <v>1.0</v>
      </c>
      <c r="I654" s="25"/>
      <c r="J654" s="25"/>
      <c r="K654" s="25"/>
      <c r="L654" s="35"/>
      <c r="M654" s="35"/>
      <c r="N654" s="25"/>
      <c r="O654" s="25"/>
      <c r="P654" s="25"/>
      <c r="Q654" s="35">
        <v>2.0</v>
      </c>
      <c r="R654" s="35">
        <v>2.0</v>
      </c>
      <c r="S654" s="35">
        <v>2.0</v>
      </c>
      <c r="T654" s="35">
        <v>2.0</v>
      </c>
      <c r="U654" s="34"/>
      <c r="V654" s="34"/>
      <c r="W654" s="34"/>
      <c r="X654" s="34"/>
      <c r="Y654" s="34"/>
      <c r="Z654" s="34"/>
      <c r="AA654" s="25"/>
      <c r="AB654" s="25"/>
      <c r="AC654" s="25"/>
      <c r="AD654" s="25"/>
      <c r="AE654" s="25"/>
      <c r="AF654" s="25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25"/>
      <c r="AU654" s="34"/>
      <c r="AV654" s="34"/>
      <c r="AW654" s="34"/>
    </row>
    <row r="655" ht="15.0" customHeight="1">
      <c r="A655" s="32" t="s">
        <v>680</v>
      </c>
      <c r="B655" s="25"/>
      <c r="C655" s="25"/>
      <c r="D655" s="25"/>
      <c r="E655" s="25"/>
      <c r="F655" s="25"/>
      <c r="G655" s="35">
        <v>0.0</v>
      </c>
      <c r="H655" s="35">
        <v>1.0</v>
      </c>
      <c r="I655" s="25"/>
      <c r="J655" s="25"/>
      <c r="K655" s="25"/>
      <c r="L655" s="35"/>
      <c r="M655" s="35"/>
      <c r="N655" s="25"/>
      <c r="O655" s="25"/>
      <c r="P655" s="25"/>
      <c r="Q655" s="35">
        <v>2.0</v>
      </c>
      <c r="R655" s="35">
        <v>2.0</v>
      </c>
      <c r="S655" s="35">
        <v>2.0</v>
      </c>
      <c r="T655" s="35">
        <v>2.0</v>
      </c>
      <c r="U655" s="34"/>
      <c r="V655" s="34"/>
      <c r="W655" s="34"/>
      <c r="X655" s="34"/>
      <c r="Y655" s="34"/>
      <c r="Z655" s="34"/>
      <c r="AA655" s="25"/>
      <c r="AB655" s="25"/>
      <c r="AC655" s="25"/>
      <c r="AD655" s="25"/>
      <c r="AE655" s="25"/>
      <c r="AF655" s="25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25"/>
      <c r="AU655" s="34"/>
      <c r="AV655" s="34"/>
      <c r="AW655" s="34"/>
    </row>
    <row r="656" ht="15.0" customHeight="1">
      <c r="A656" s="32" t="s">
        <v>681</v>
      </c>
      <c r="B656" s="25"/>
      <c r="C656" s="25"/>
      <c r="D656" s="25"/>
      <c r="E656" s="25"/>
      <c r="F656" s="25"/>
      <c r="G656" s="35">
        <v>0.0</v>
      </c>
      <c r="H656" s="35">
        <v>1.0</v>
      </c>
      <c r="I656" s="25"/>
      <c r="J656" s="25"/>
      <c r="K656" s="25"/>
      <c r="L656" s="35"/>
      <c r="M656" s="35"/>
      <c r="N656" s="25"/>
      <c r="O656" s="25"/>
      <c r="P656" s="25"/>
      <c r="Q656" s="35">
        <v>2.0</v>
      </c>
      <c r="R656" s="35">
        <v>2.0</v>
      </c>
      <c r="S656" s="35">
        <v>2.0</v>
      </c>
      <c r="T656" s="35">
        <v>2.0</v>
      </c>
      <c r="U656" s="34"/>
      <c r="V656" s="34"/>
      <c r="W656" s="34"/>
      <c r="X656" s="34"/>
      <c r="Y656" s="34"/>
      <c r="Z656" s="34"/>
      <c r="AA656" s="25"/>
      <c r="AB656" s="25"/>
      <c r="AC656" s="25"/>
      <c r="AD656" s="25"/>
      <c r="AE656" s="25"/>
      <c r="AF656" s="25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25"/>
      <c r="AU656" s="34"/>
      <c r="AV656" s="34"/>
      <c r="AW656" s="34"/>
    </row>
    <row r="657" ht="15.0" customHeight="1">
      <c r="A657" s="32" t="s">
        <v>682</v>
      </c>
      <c r="B657" s="25"/>
      <c r="C657" s="25"/>
      <c r="D657" s="25"/>
      <c r="E657" s="25"/>
      <c r="F657" s="25"/>
      <c r="G657" s="35">
        <v>0.0</v>
      </c>
      <c r="H657" s="35">
        <v>1.0</v>
      </c>
      <c r="I657" s="25"/>
      <c r="J657" s="25"/>
      <c r="K657" s="25"/>
      <c r="L657" s="35"/>
      <c r="M657" s="35"/>
      <c r="N657" s="25"/>
      <c r="O657" s="25"/>
      <c r="P657" s="25"/>
      <c r="Q657" s="35">
        <v>2.0</v>
      </c>
      <c r="R657" s="35">
        <v>2.0</v>
      </c>
      <c r="S657" s="35">
        <v>2.0</v>
      </c>
      <c r="T657" s="35">
        <v>2.0</v>
      </c>
      <c r="U657" s="34"/>
      <c r="V657" s="34"/>
      <c r="W657" s="34"/>
      <c r="X657" s="34"/>
      <c r="Y657" s="34"/>
      <c r="Z657" s="34"/>
      <c r="AA657" s="25"/>
      <c r="AB657" s="25"/>
      <c r="AC657" s="25"/>
      <c r="AD657" s="25"/>
      <c r="AE657" s="25"/>
      <c r="AF657" s="25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25"/>
      <c r="AU657" s="34"/>
      <c r="AV657" s="34"/>
      <c r="AW657" s="34"/>
    </row>
    <row r="658" ht="15.0" customHeight="1">
      <c r="A658" s="32" t="s">
        <v>683</v>
      </c>
      <c r="B658" s="25"/>
      <c r="C658" s="25"/>
      <c r="D658" s="25"/>
      <c r="E658" s="25"/>
      <c r="F658" s="25"/>
      <c r="G658" s="35">
        <v>0.0</v>
      </c>
      <c r="H658" s="35">
        <v>1.0</v>
      </c>
      <c r="I658" s="25"/>
      <c r="J658" s="25"/>
      <c r="K658" s="25"/>
      <c r="L658" s="35"/>
      <c r="M658" s="35"/>
      <c r="N658" s="25"/>
      <c r="O658" s="25"/>
      <c r="P658" s="25"/>
      <c r="Q658" s="35">
        <v>2.0</v>
      </c>
      <c r="R658" s="35">
        <v>2.0</v>
      </c>
      <c r="S658" s="35">
        <v>2.0</v>
      </c>
      <c r="T658" s="35">
        <v>2.0</v>
      </c>
      <c r="U658" s="34"/>
      <c r="V658" s="34"/>
      <c r="W658" s="34"/>
      <c r="X658" s="34"/>
      <c r="Y658" s="34"/>
      <c r="Z658" s="34"/>
      <c r="AA658" s="25"/>
      <c r="AB658" s="25"/>
      <c r="AC658" s="25"/>
      <c r="AD658" s="25"/>
      <c r="AE658" s="25"/>
      <c r="AF658" s="25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25"/>
      <c r="AU658" s="34"/>
      <c r="AV658" s="34"/>
      <c r="AW658" s="34"/>
    </row>
    <row r="659" ht="15.0" customHeight="1">
      <c r="A659" s="32" t="s">
        <v>684</v>
      </c>
      <c r="B659" s="25"/>
      <c r="C659" s="25"/>
      <c r="D659" s="25"/>
      <c r="E659" s="25"/>
      <c r="F659" s="25"/>
      <c r="G659" s="35">
        <v>0.0</v>
      </c>
      <c r="H659" s="35">
        <v>1.0</v>
      </c>
      <c r="I659" s="25"/>
      <c r="J659" s="25"/>
      <c r="K659" s="25"/>
      <c r="L659" s="35"/>
      <c r="M659" s="35"/>
      <c r="N659" s="25"/>
      <c r="O659" s="25"/>
      <c r="P659" s="25"/>
      <c r="Q659" s="35">
        <v>2.0</v>
      </c>
      <c r="R659" s="35">
        <v>2.0</v>
      </c>
      <c r="S659" s="35">
        <v>2.0</v>
      </c>
      <c r="T659" s="35">
        <v>2.0</v>
      </c>
      <c r="U659" s="34"/>
      <c r="V659" s="34"/>
      <c r="W659" s="34"/>
      <c r="X659" s="34"/>
      <c r="Y659" s="34"/>
      <c r="Z659" s="34"/>
      <c r="AA659" s="25"/>
      <c r="AB659" s="25"/>
      <c r="AC659" s="25"/>
      <c r="AD659" s="25"/>
      <c r="AE659" s="25"/>
      <c r="AF659" s="25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25"/>
      <c r="AU659" s="34"/>
      <c r="AV659" s="34"/>
      <c r="AW659" s="34"/>
    </row>
    <row r="660" ht="15.0" customHeight="1">
      <c r="A660" s="32" t="s">
        <v>685</v>
      </c>
      <c r="B660" s="25"/>
      <c r="C660" s="25"/>
      <c r="D660" s="25"/>
      <c r="E660" s="25"/>
      <c r="F660" s="25"/>
      <c r="G660" s="35">
        <v>0.0</v>
      </c>
      <c r="H660" s="35">
        <v>1.0</v>
      </c>
      <c r="I660" s="25"/>
      <c r="J660" s="25"/>
      <c r="K660" s="25"/>
      <c r="L660" s="35"/>
      <c r="M660" s="35"/>
      <c r="N660" s="25"/>
      <c r="O660" s="25"/>
      <c r="P660" s="25"/>
      <c r="Q660" s="35">
        <v>2.0</v>
      </c>
      <c r="R660" s="35">
        <v>2.0</v>
      </c>
      <c r="S660" s="35">
        <v>2.0</v>
      </c>
      <c r="T660" s="35">
        <v>2.0</v>
      </c>
      <c r="U660" s="34"/>
      <c r="V660" s="34"/>
      <c r="W660" s="34"/>
      <c r="X660" s="34"/>
      <c r="Y660" s="34"/>
      <c r="Z660" s="34"/>
      <c r="AA660" s="25"/>
      <c r="AB660" s="25"/>
      <c r="AC660" s="25"/>
      <c r="AD660" s="25"/>
      <c r="AE660" s="25"/>
      <c r="AF660" s="25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25"/>
      <c r="AU660" s="34"/>
      <c r="AV660" s="34"/>
      <c r="AW660" s="34"/>
    </row>
    <row r="661" ht="15.0" customHeight="1">
      <c r="A661" s="32" t="s">
        <v>686</v>
      </c>
      <c r="B661" s="25"/>
      <c r="C661" s="25"/>
      <c r="D661" s="25"/>
      <c r="E661" s="25"/>
      <c r="F661" s="25"/>
      <c r="G661" s="35">
        <v>0.0</v>
      </c>
      <c r="H661" s="35">
        <v>1.0</v>
      </c>
      <c r="I661" s="25"/>
      <c r="J661" s="25"/>
      <c r="K661" s="25"/>
      <c r="L661" s="35"/>
      <c r="M661" s="35"/>
      <c r="N661" s="25"/>
      <c r="O661" s="25"/>
      <c r="P661" s="25"/>
      <c r="Q661" s="35">
        <v>2.0</v>
      </c>
      <c r="R661" s="35">
        <v>2.0</v>
      </c>
      <c r="S661" s="35">
        <v>2.0</v>
      </c>
      <c r="T661" s="35">
        <v>2.0</v>
      </c>
      <c r="U661" s="34"/>
      <c r="V661" s="34"/>
      <c r="W661" s="34"/>
      <c r="X661" s="34"/>
      <c r="Y661" s="34"/>
      <c r="Z661" s="34"/>
      <c r="AA661" s="25"/>
      <c r="AB661" s="25"/>
      <c r="AC661" s="25"/>
      <c r="AD661" s="25"/>
      <c r="AE661" s="25"/>
      <c r="AF661" s="25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25"/>
      <c r="AU661" s="34"/>
      <c r="AV661" s="34"/>
      <c r="AW661" s="34"/>
    </row>
    <row r="662" ht="15.0" customHeight="1">
      <c r="A662" s="32" t="s">
        <v>687</v>
      </c>
      <c r="B662" s="25"/>
      <c r="C662" s="25"/>
      <c r="D662" s="25"/>
      <c r="E662" s="25"/>
      <c r="F662" s="25"/>
      <c r="G662" s="35">
        <v>0.0</v>
      </c>
      <c r="H662" s="35">
        <v>1.0</v>
      </c>
      <c r="I662" s="25"/>
      <c r="J662" s="25"/>
      <c r="K662" s="25"/>
      <c r="L662" s="35"/>
      <c r="M662" s="35"/>
      <c r="N662" s="25"/>
      <c r="O662" s="25"/>
      <c r="P662" s="25"/>
      <c r="Q662" s="35">
        <v>2.0</v>
      </c>
      <c r="R662" s="35">
        <v>2.0</v>
      </c>
      <c r="S662" s="35">
        <v>2.0</v>
      </c>
      <c r="T662" s="35">
        <v>2.0</v>
      </c>
      <c r="U662" s="34"/>
      <c r="V662" s="34"/>
      <c r="W662" s="34"/>
      <c r="X662" s="34"/>
      <c r="Y662" s="34"/>
      <c r="Z662" s="34"/>
      <c r="AA662" s="25"/>
      <c r="AB662" s="25"/>
      <c r="AC662" s="25"/>
      <c r="AD662" s="25"/>
      <c r="AE662" s="25"/>
      <c r="AF662" s="25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25"/>
      <c r="AU662" s="34"/>
      <c r="AV662" s="34"/>
      <c r="AW662" s="34"/>
    </row>
    <row r="663" ht="15.0" customHeight="1">
      <c r="A663" s="32" t="s">
        <v>688</v>
      </c>
      <c r="B663" s="25"/>
      <c r="C663" s="25"/>
      <c r="D663" s="25"/>
      <c r="E663" s="25"/>
      <c r="F663" s="25"/>
      <c r="G663" s="35">
        <v>0.0</v>
      </c>
      <c r="H663" s="35">
        <v>1.0</v>
      </c>
      <c r="I663" s="25"/>
      <c r="J663" s="25"/>
      <c r="K663" s="25"/>
      <c r="L663" s="35"/>
      <c r="M663" s="35"/>
      <c r="N663" s="25"/>
      <c r="O663" s="25"/>
      <c r="P663" s="25"/>
      <c r="Q663" s="35">
        <v>2.0</v>
      </c>
      <c r="R663" s="35">
        <v>2.0</v>
      </c>
      <c r="S663" s="35">
        <v>2.0</v>
      </c>
      <c r="T663" s="35">
        <v>2.0</v>
      </c>
      <c r="U663" s="34"/>
      <c r="V663" s="34"/>
      <c r="W663" s="34"/>
      <c r="X663" s="34"/>
      <c r="Y663" s="34"/>
      <c r="Z663" s="34"/>
      <c r="AA663" s="25"/>
      <c r="AB663" s="25"/>
      <c r="AC663" s="25"/>
      <c r="AD663" s="25"/>
      <c r="AE663" s="25"/>
      <c r="AF663" s="25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25"/>
      <c r="AU663" s="34"/>
      <c r="AV663" s="34"/>
      <c r="AW663" s="34"/>
    </row>
    <row r="664" ht="15.0" customHeight="1">
      <c r="A664" s="32" t="s">
        <v>689</v>
      </c>
      <c r="B664" s="25"/>
      <c r="C664" s="25"/>
      <c r="D664" s="25"/>
      <c r="E664" s="25"/>
      <c r="F664" s="25"/>
      <c r="G664" s="35">
        <v>0.0</v>
      </c>
      <c r="H664" s="35">
        <v>1.0</v>
      </c>
      <c r="I664" s="25"/>
      <c r="J664" s="25"/>
      <c r="K664" s="25"/>
      <c r="L664" s="35"/>
      <c r="M664" s="35"/>
      <c r="N664" s="25"/>
      <c r="O664" s="25"/>
      <c r="P664" s="25"/>
      <c r="Q664" s="35">
        <v>2.0</v>
      </c>
      <c r="R664" s="35">
        <v>2.0</v>
      </c>
      <c r="S664" s="35">
        <v>2.0</v>
      </c>
      <c r="T664" s="35">
        <v>2.0</v>
      </c>
      <c r="U664" s="34"/>
      <c r="V664" s="34"/>
      <c r="W664" s="34"/>
      <c r="X664" s="34"/>
      <c r="Y664" s="34"/>
      <c r="Z664" s="34"/>
      <c r="AA664" s="25"/>
      <c r="AB664" s="25"/>
      <c r="AC664" s="25"/>
      <c r="AD664" s="25"/>
      <c r="AE664" s="25"/>
      <c r="AF664" s="25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25"/>
      <c r="AU664" s="34"/>
      <c r="AV664" s="34"/>
      <c r="AW664" s="34"/>
    </row>
    <row r="665" ht="15.0" customHeight="1">
      <c r="A665" s="32" t="s">
        <v>690</v>
      </c>
      <c r="B665" s="25"/>
      <c r="C665" s="25"/>
      <c r="D665" s="25"/>
      <c r="E665" s="25"/>
      <c r="F665" s="25"/>
      <c r="G665" s="35">
        <v>0.0</v>
      </c>
      <c r="H665" s="35">
        <v>1.0</v>
      </c>
      <c r="I665" s="25"/>
      <c r="J665" s="25"/>
      <c r="K665" s="25"/>
      <c r="L665" s="35"/>
      <c r="M665" s="35"/>
      <c r="N665" s="25"/>
      <c r="O665" s="25"/>
      <c r="P665" s="25"/>
      <c r="Q665" s="35">
        <v>2.0</v>
      </c>
      <c r="R665" s="35">
        <v>2.0</v>
      </c>
      <c r="S665" s="35">
        <v>2.0</v>
      </c>
      <c r="T665" s="35">
        <v>2.0</v>
      </c>
      <c r="U665" s="34"/>
      <c r="V665" s="34"/>
      <c r="W665" s="34"/>
      <c r="X665" s="34"/>
      <c r="Y665" s="34"/>
      <c r="Z665" s="34"/>
      <c r="AA665" s="25"/>
      <c r="AB665" s="25"/>
      <c r="AC665" s="25"/>
      <c r="AD665" s="25"/>
      <c r="AE665" s="25"/>
      <c r="AF665" s="25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25"/>
      <c r="AU665" s="34"/>
      <c r="AV665" s="34"/>
      <c r="AW665" s="34"/>
    </row>
    <row r="666" ht="15.0" customHeight="1">
      <c r="A666" s="32" t="s">
        <v>691</v>
      </c>
      <c r="B666" s="25"/>
      <c r="C666" s="25"/>
      <c r="D666" s="25"/>
      <c r="E666" s="25"/>
      <c r="F666" s="25"/>
      <c r="G666" s="35">
        <v>0.0</v>
      </c>
      <c r="H666" s="35">
        <v>1.0</v>
      </c>
      <c r="I666" s="25"/>
      <c r="J666" s="25"/>
      <c r="K666" s="25"/>
      <c r="L666" s="35"/>
      <c r="M666" s="35"/>
      <c r="N666" s="25"/>
      <c r="O666" s="25"/>
      <c r="P666" s="25"/>
      <c r="Q666" s="35">
        <v>2.0</v>
      </c>
      <c r="R666" s="35">
        <v>2.0</v>
      </c>
      <c r="S666" s="35">
        <v>2.0</v>
      </c>
      <c r="T666" s="35">
        <v>2.0</v>
      </c>
      <c r="U666" s="34"/>
      <c r="V666" s="34"/>
      <c r="W666" s="34"/>
      <c r="X666" s="34"/>
      <c r="Y666" s="34"/>
      <c r="Z666" s="34"/>
      <c r="AA666" s="25"/>
      <c r="AB666" s="25"/>
      <c r="AC666" s="25"/>
      <c r="AD666" s="25"/>
      <c r="AE666" s="25"/>
      <c r="AF666" s="25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25"/>
      <c r="AU666" s="34"/>
      <c r="AV666" s="34"/>
      <c r="AW666" s="34"/>
    </row>
    <row r="667" ht="15.0" customHeight="1">
      <c r="A667" s="32" t="s">
        <v>692</v>
      </c>
      <c r="B667" s="25"/>
      <c r="C667" s="25"/>
      <c r="D667" s="25"/>
      <c r="E667" s="25"/>
      <c r="F667" s="25"/>
      <c r="G667" s="35">
        <v>0.0</v>
      </c>
      <c r="H667" s="35">
        <v>1.0</v>
      </c>
      <c r="I667" s="25"/>
      <c r="J667" s="25"/>
      <c r="K667" s="25"/>
      <c r="L667" s="35"/>
      <c r="M667" s="35"/>
      <c r="N667" s="25"/>
      <c r="O667" s="25"/>
      <c r="P667" s="25"/>
      <c r="Q667" s="35">
        <v>2.0</v>
      </c>
      <c r="R667" s="35">
        <v>2.0</v>
      </c>
      <c r="S667" s="35">
        <v>2.0</v>
      </c>
      <c r="T667" s="35">
        <v>2.0</v>
      </c>
      <c r="U667" s="34"/>
      <c r="V667" s="34"/>
      <c r="W667" s="34"/>
      <c r="X667" s="34"/>
      <c r="Y667" s="34"/>
      <c r="Z667" s="34"/>
      <c r="AA667" s="25"/>
      <c r="AB667" s="25"/>
      <c r="AC667" s="25"/>
      <c r="AD667" s="25"/>
      <c r="AE667" s="25"/>
      <c r="AF667" s="25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25"/>
      <c r="AU667" s="34"/>
      <c r="AV667" s="34"/>
      <c r="AW667" s="34"/>
    </row>
    <row r="668" ht="15.0" customHeight="1">
      <c r="A668" s="32" t="s">
        <v>693</v>
      </c>
      <c r="B668" s="25"/>
      <c r="C668" s="25"/>
      <c r="D668" s="25"/>
      <c r="E668" s="25"/>
      <c r="F668" s="25"/>
      <c r="G668" s="35">
        <v>0.0</v>
      </c>
      <c r="H668" s="35">
        <v>1.0</v>
      </c>
      <c r="I668" s="25"/>
      <c r="J668" s="25"/>
      <c r="K668" s="25"/>
      <c r="L668" s="35"/>
      <c r="M668" s="35"/>
      <c r="N668" s="25"/>
      <c r="O668" s="25"/>
      <c r="P668" s="25"/>
      <c r="Q668" s="35">
        <v>2.0</v>
      </c>
      <c r="R668" s="35">
        <v>2.0</v>
      </c>
      <c r="S668" s="35">
        <v>2.0</v>
      </c>
      <c r="T668" s="35">
        <v>2.0</v>
      </c>
      <c r="U668" s="34"/>
      <c r="V668" s="34"/>
      <c r="W668" s="34"/>
      <c r="X668" s="34"/>
      <c r="Y668" s="34"/>
      <c r="Z668" s="34"/>
      <c r="AA668" s="25"/>
      <c r="AB668" s="25"/>
      <c r="AC668" s="25"/>
      <c r="AD668" s="25"/>
      <c r="AE668" s="25"/>
      <c r="AF668" s="25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25"/>
      <c r="AU668" s="34"/>
      <c r="AV668" s="34"/>
      <c r="AW668" s="34"/>
    </row>
    <row r="669" ht="15.0" customHeight="1">
      <c r="A669" s="32" t="s">
        <v>694</v>
      </c>
      <c r="B669" s="25"/>
      <c r="C669" s="25"/>
      <c r="D669" s="25"/>
      <c r="E669" s="25"/>
      <c r="F669" s="25"/>
      <c r="G669" s="35">
        <v>0.0</v>
      </c>
      <c r="H669" s="35">
        <v>1.0</v>
      </c>
      <c r="I669" s="25"/>
      <c r="J669" s="25"/>
      <c r="K669" s="25"/>
      <c r="L669" s="35"/>
      <c r="M669" s="35"/>
      <c r="N669" s="25"/>
      <c r="O669" s="25"/>
      <c r="P669" s="25"/>
      <c r="Q669" s="35">
        <v>2.0</v>
      </c>
      <c r="R669" s="35">
        <v>2.0</v>
      </c>
      <c r="S669" s="35">
        <v>2.0</v>
      </c>
      <c r="T669" s="35">
        <v>2.0</v>
      </c>
      <c r="U669" s="34"/>
      <c r="V669" s="34"/>
      <c r="W669" s="34"/>
      <c r="X669" s="34"/>
      <c r="Y669" s="34"/>
      <c r="Z669" s="34"/>
      <c r="AA669" s="25"/>
      <c r="AB669" s="25"/>
      <c r="AC669" s="25"/>
      <c r="AD669" s="25"/>
      <c r="AE669" s="25"/>
      <c r="AF669" s="25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25"/>
      <c r="AU669" s="34"/>
      <c r="AV669" s="34"/>
      <c r="AW669" s="34"/>
    </row>
    <row r="670" ht="15.0" customHeight="1">
      <c r="A670" s="32" t="s">
        <v>695</v>
      </c>
      <c r="B670" s="25"/>
      <c r="C670" s="25"/>
      <c r="D670" s="25"/>
      <c r="E670" s="25"/>
      <c r="F670" s="25"/>
      <c r="G670" s="35">
        <v>0.0</v>
      </c>
      <c r="H670" s="35">
        <v>1.0</v>
      </c>
      <c r="I670" s="25"/>
      <c r="J670" s="25"/>
      <c r="K670" s="25"/>
      <c r="L670" s="35"/>
      <c r="M670" s="35"/>
      <c r="N670" s="25"/>
      <c r="O670" s="25"/>
      <c r="P670" s="25"/>
      <c r="Q670" s="35">
        <v>2.0</v>
      </c>
      <c r="R670" s="35">
        <v>2.0</v>
      </c>
      <c r="S670" s="35">
        <v>2.0</v>
      </c>
      <c r="T670" s="35">
        <v>2.0</v>
      </c>
      <c r="U670" s="34"/>
      <c r="V670" s="34"/>
      <c r="W670" s="34"/>
      <c r="X670" s="34"/>
      <c r="Y670" s="34"/>
      <c r="Z670" s="34"/>
      <c r="AA670" s="25"/>
      <c r="AB670" s="25"/>
      <c r="AC670" s="25"/>
      <c r="AD670" s="25"/>
      <c r="AE670" s="25"/>
      <c r="AF670" s="25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25"/>
      <c r="AU670" s="34"/>
      <c r="AV670" s="34"/>
      <c r="AW670" s="34"/>
    </row>
    <row r="671" ht="15.0" customHeight="1">
      <c r="A671" s="32" t="s">
        <v>696</v>
      </c>
      <c r="B671" s="25"/>
      <c r="C671" s="25"/>
      <c r="D671" s="25"/>
      <c r="E671" s="25"/>
      <c r="F671" s="25"/>
      <c r="G671" s="35">
        <v>0.0</v>
      </c>
      <c r="H671" s="35">
        <v>1.0</v>
      </c>
      <c r="I671" s="25"/>
      <c r="J671" s="25"/>
      <c r="K671" s="25"/>
      <c r="L671" s="35"/>
      <c r="M671" s="35"/>
      <c r="N671" s="25"/>
      <c r="O671" s="25"/>
      <c r="P671" s="25"/>
      <c r="Q671" s="35">
        <v>2.0</v>
      </c>
      <c r="R671" s="35">
        <v>2.0</v>
      </c>
      <c r="S671" s="35">
        <v>2.0</v>
      </c>
      <c r="T671" s="35">
        <v>2.0</v>
      </c>
      <c r="U671" s="34"/>
      <c r="V671" s="34"/>
      <c r="W671" s="34"/>
      <c r="X671" s="34"/>
      <c r="Y671" s="34"/>
      <c r="Z671" s="34"/>
      <c r="AA671" s="25"/>
      <c r="AB671" s="25"/>
      <c r="AC671" s="25"/>
      <c r="AD671" s="25"/>
      <c r="AE671" s="25"/>
      <c r="AF671" s="25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25"/>
      <c r="AU671" s="34"/>
      <c r="AV671" s="34"/>
      <c r="AW671" s="34"/>
    </row>
    <row r="672" ht="15.0" customHeight="1">
      <c r="A672" s="32" t="s">
        <v>697</v>
      </c>
      <c r="B672" s="25"/>
      <c r="C672" s="25"/>
      <c r="D672" s="25"/>
      <c r="E672" s="25"/>
      <c r="F672" s="25"/>
      <c r="G672" s="35">
        <v>0.0</v>
      </c>
      <c r="H672" s="35">
        <v>1.0</v>
      </c>
      <c r="I672" s="25"/>
      <c r="J672" s="25"/>
      <c r="K672" s="25"/>
      <c r="L672" s="35"/>
      <c r="M672" s="35"/>
      <c r="N672" s="25"/>
      <c r="O672" s="25"/>
      <c r="P672" s="25"/>
      <c r="Q672" s="35">
        <v>2.0</v>
      </c>
      <c r="R672" s="35">
        <v>2.0</v>
      </c>
      <c r="S672" s="35">
        <v>2.0</v>
      </c>
      <c r="T672" s="35">
        <v>2.0</v>
      </c>
      <c r="U672" s="34"/>
      <c r="V672" s="34"/>
      <c r="W672" s="34"/>
      <c r="X672" s="34"/>
      <c r="Y672" s="34"/>
      <c r="Z672" s="34"/>
      <c r="AA672" s="25"/>
      <c r="AB672" s="25"/>
      <c r="AC672" s="25"/>
      <c r="AD672" s="25"/>
      <c r="AE672" s="25"/>
      <c r="AF672" s="25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25"/>
      <c r="AU672" s="34"/>
      <c r="AV672" s="34"/>
      <c r="AW672" s="34"/>
    </row>
    <row r="673" ht="15.0" customHeight="1">
      <c r="A673" s="32" t="s">
        <v>698</v>
      </c>
      <c r="B673" s="25"/>
      <c r="C673" s="25"/>
      <c r="D673" s="25"/>
      <c r="E673" s="25"/>
      <c r="F673" s="25"/>
      <c r="G673" s="35">
        <v>0.0</v>
      </c>
      <c r="H673" s="35">
        <v>1.0</v>
      </c>
      <c r="I673" s="25"/>
      <c r="J673" s="25"/>
      <c r="K673" s="25"/>
      <c r="L673" s="35"/>
      <c r="M673" s="35"/>
      <c r="N673" s="25"/>
      <c r="O673" s="25"/>
      <c r="P673" s="25"/>
      <c r="Q673" s="35">
        <v>2.0</v>
      </c>
      <c r="R673" s="35">
        <v>2.0</v>
      </c>
      <c r="S673" s="35">
        <v>2.0</v>
      </c>
      <c r="T673" s="35">
        <v>2.0</v>
      </c>
      <c r="U673" s="34"/>
      <c r="V673" s="34"/>
      <c r="W673" s="34"/>
      <c r="X673" s="34"/>
      <c r="Y673" s="34"/>
      <c r="Z673" s="34"/>
      <c r="AA673" s="25"/>
      <c r="AB673" s="25"/>
      <c r="AC673" s="25"/>
      <c r="AD673" s="25"/>
      <c r="AE673" s="25"/>
      <c r="AF673" s="25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25"/>
      <c r="AU673" s="34"/>
      <c r="AV673" s="34"/>
      <c r="AW673" s="34"/>
    </row>
    <row r="674" ht="15.0" customHeight="1">
      <c r="A674" s="32" t="s">
        <v>699</v>
      </c>
      <c r="B674" s="25"/>
      <c r="C674" s="25"/>
      <c r="D674" s="25"/>
      <c r="E674" s="25"/>
      <c r="F674" s="25"/>
      <c r="G674" s="35">
        <v>0.0</v>
      </c>
      <c r="H674" s="35">
        <v>1.0</v>
      </c>
      <c r="I674" s="25"/>
      <c r="J674" s="25"/>
      <c r="K674" s="25"/>
      <c r="L674" s="35"/>
      <c r="M674" s="35"/>
      <c r="N674" s="25"/>
      <c r="O674" s="25"/>
      <c r="P674" s="25"/>
      <c r="Q674" s="35">
        <v>2.0</v>
      </c>
      <c r="R674" s="35">
        <v>2.0</v>
      </c>
      <c r="S674" s="35">
        <v>2.0</v>
      </c>
      <c r="T674" s="35">
        <v>2.0</v>
      </c>
      <c r="U674" s="34"/>
      <c r="V674" s="34"/>
      <c r="W674" s="34"/>
      <c r="X674" s="34"/>
      <c r="Y674" s="34"/>
      <c r="Z674" s="34"/>
      <c r="AA674" s="25"/>
      <c r="AB674" s="25"/>
      <c r="AC674" s="25"/>
      <c r="AD674" s="25"/>
      <c r="AE674" s="25"/>
      <c r="AF674" s="25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25"/>
      <c r="AU674" s="34"/>
      <c r="AV674" s="34"/>
      <c r="AW674" s="34"/>
    </row>
    <row r="675" ht="15.0" customHeight="1">
      <c r="A675" s="32" t="s">
        <v>700</v>
      </c>
      <c r="B675" s="25"/>
      <c r="C675" s="25"/>
      <c r="D675" s="25"/>
      <c r="E675" s="25"/>
      <c r="F675" s="25"/>
      <c r="G675" s="35">
        <v>0.0</v>
      </c>
      <c r="H675" s="35">
        <v>1.0</v>
      </c>
      <c r="I675" s="25"/>
      <c r="J675" s="25"/>
      <c r="K675" s="25"/>
      <c r="L675" s="35"/>
      <c r="M675" s="35"/>
      <c r="N675" s="25"/>
      <c r="O675" s="25"/>
      <c r="P675" s="25"/>
      <c r="Q675" s="35">
        <v>2.0</v>
      </c>
      <c r="R675" s="35">
        <v>2.0</v>
      </c>
      <c r="S675" s="35">
        <v>2.0</v>
      </c>
      <c r="T675" s="35">
        <v>2.0</v>
      </c>
      <c r="U675" s="34"/>
      <c r="V675" s="34"/>
      <c r="W675" s="34"/>
      <c r="X675" s="34"/>
      <c r="Y675" s="34"/>
      <c r="Z675" s="34"/>
      <c r="AA675" s="25"/>
      <c r="AB675" s="25"/>
      <c r="AC675" s="25"/>
      <c r="AD675" s="25"/>
      <c r="AE675" s="25"/>
      <c r="AF675" s="25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25"/>
      <c r="AU675" s="34"/>
      <c r="AV675" s="34"/>
      <c r="AW675" s="34"/>
    </row>
    <row r="676" ht="15.0" customHeight="1">
      <c r="A676" s="32" t="s">
        <v>701</v>
      </c>
      <c r="B676" s="25"/>
      <c r="C676" s="25"/>
      <c r="D676" s="25"/>
      <c r="E676" s="25"/>
      <c r="F676" s="25"/>
      <c r="G676" s="35">
        <v>0.0</v>
      </c>
      <c r="H676" s="35">
        <v>1.0</v>
      </c>
      <c r="I676" s="25"/>
      <c r="J676" s="25"/>
      <c r="K676" s="25"/>
      <c r="L676" s="35"/>
      <c r="M676" s="35"/>
      <c r="N676" s="25"/>
      <c r="O676" s="25"/>
      <c r="P676" s="25"/>
      <c r="Q676" s="35">
        <v>2.0</v>
      </c>
      <c r="R676" s="35">
        <v>2.0</v>
      </c>
      <c r="S676" s="35">
        <v>2.0</v>
      </c>
      <c r="T676" s="35">
        <v>2.0</v>
      </c>
      <c r="U676" s="34"/>
      <c r="V676" s="34"/>
      <c r="W676" s="34"/>
      <c r="X676" s="34"/>
      <c r="Y676" s="34"/>
      <c r="Z676" s="34"/>
      <c r="AA676" s="25"/>
      <c r="AB676" s="25"/>
      <c r="AC676" s="25"/>
      <c r="AD676" s="25"/>
      <c r="AE676" s="25"/>
      <c r="AF676" s="25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25"/>
      <c r="AU676" s="34"/>
      <c r="AV676" s="34"/>
      <c r="AW676" s="34"/>
    </row>
    <row r="677" ht="15.0" customHeight="1">
      <c r="A677" s="32" t="s">
        <v>702</v>
      </c>
      <c r="B677" s="25"/>
      <c r="C677" s="25"/>
      <c r="D677" s="25"/>
      <c r="E677" s="25"/>
      <c r="F677" s="25"/>
      <c r="G677" s="35">
        <v>0.0</v>
      </c>
      <c r="H677" s="35">
        <v>1.0</v>
      </c>
      <c r="I677" s="25"/>
      <c r="J677" s="25"/>
      <c r="K677" s="25"/>
      <c r="L677" s="35"/>
      <c r="M677" s="35"/>
      <c r="N677" s="25"/>
      <c r="O677" s="25"/>
      <c r="P677" s="25"/>
      <c r="Q677" s="35">
        <v>2.0</v>
      </c>
      <c r="R677" s="35">
        <v>2.0</v>
      </c>
      <c r="S677" s="35">
        <v>2.0</v>
      </c>
      <c r="T677" s="35">
        <v>2.0</v>
      </c>
      <c r="U677" s="34"/>
      <c r="V677" s="34"/>
      <c r="W677" s="34"/>
      <c r="X677" s="34"/>
      <c r="Y677" s="34"/>
      <c r="Z677" s="34"/>
      <c r="AA677" s="25"/>
      <c r="AB677" s="25"/>
      <c r="AC677" s="25"/>
      <c r="AD677" s="25"/>
      <c r="AE677" s="25"/>
      <c r="AF677" s="25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25"/>
      <c r="AU677" s="34"/>
      <c r="AV677" s="34"/>
      <c r="AW677" s="34"/>
    </row>
    <row r="678" ht="15.0" customHeight="1">
      <c r="A678" s="32" t="s">
        <v>703</v>
      </c>
      <c r="B678" s="25"/>
      <c r="C678" s="25"/>
      <c r="D678" s="25"/>
      <c r="E678" s="25"/>
      <c r="F678" s="25"/>
      <c r="G678" s="35">
        <v>0.0</v>
      </c>
      <c r="H678" s="35">
        <v>1.0</v>
      </c>
      <c r="I678" s="25"/>
      <c r="J678" s="25"/>
      <c r="K678" s="25"/>
      <c r="L678" s="35"/>
      <c r="M678" s="35"/>
      <c r="N678" s="25"/>
      <c r="O678" s="25"/>
      <c r="P678" s="25"/>
      <c r="Q678" s="35">
        <v>2.0</v>
      </c>
      <c r="R678" s="35">
        <v>2.0</v>
      </c>
      <c r="S678" s="35">
        <v>2.0</v>
      </c>
      <c r="T678" s="35">
        <v>2.0</v>
      </c>
      <c r="U678" s="34"/>
      <c r="V678" s="34"/>
      <c r="W678" s="34"/>
      <c r="X678" s="34"/>
      <c r="Y678" s="34"/>
      <c r="Z678" s="34"/>
      <c r="AA678" s="25"/>
      <c r="AB678" s="25"/>
      <c r="AC678" s="25"/>
      <c r="AD678" s="25"/>
      <c r="AE678" s="25"/>
      <c r="AF678" s="25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25"/>
      <c r="AU678" s="34"/>
      <c r="AV678" s="34"/>
      <c r="AW678" s="34"/>
    </row>
    <row r="679" ht="15.0" customHeight="1">
      <c r="A679" s="32" t="s">
        <v>704</v>
      </c>
      <c r="B679" s="25"/>
      <c r="C679" s="25"/>
      <c r="D679" s="25"/>
      <c r="E679" s="25"/>
      <c r="F679" s="25"/>
      <c r="G679" s="35">
        <v>0.0</v>
      </c>
      <c r="H679" s="35">
        <v>1.0</v>
      </c>
      <c r="I679" s="25"/>
      <c r="J679" s="25"/>
      <c r="K679" s="25"/>
      <c r="L679" s="35"/>
      <c r="M679" s="35"/>
      <c r="N679" s="25"/>
      <c r="O679" s="25"/>
      <c r="P679" s="25"/>
      <c r="Q679" s="35">
        <v>2.0</v>
      </c>
      <c r="R679" s="35">
        <v>2.0</v>
      </c>
      <c r="S679" s="35">
        <v>2.0</v>
      </c>
      <c r="T679" s="35">
        <v>2.0</v>
      </c>
      <c r="U679" s="34"/>
      <c r="V679" s="34"/>
      <c r="W679" s="34"/>
      <c r="X679" s="34"/>
      <c r="Y679" s="34"/>
      <c r="Z679" s="34"/>
      <c r="AA679" s="25"/>
      <c r="AB679" s="25"/>
      <c r="AC679" s="25"/>
      <c r="AD679" s="25"/>
      <c r="AE679" s="25"/>
      <c r="AF679" s="25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25"/>
      <c r="AU679" s="34"/>
      <c r="AV679" s="34"/>
      <c r="AW679" s="34"/>
    </row>
    <row r="680" ht="15.0" customHeight="1">
      <c r="A680" s="32" t="s">
        <v>705</v>
      </c>
      <c r="B680" s="25"/>
      <c r="C680" s="25"/>
      <c r="D680" s="25"/>
      <c r="E680" s="25"/>
      <c r="F680" s="25"/>
      <c r="G680" s="35">
        <v>0.0</v>
      </c>
      <c r="H680" s="35">
        <v>1.0</v>
      </c>
      <c r="I680" s="25"/>
      <c r="J680" s="25"/>
      <c r="K680" s="25"/>
      <c r="L680" s="35"/>
      <c r="M680" s="35"/>
      <c r="N680" s="25"/>
      <c r="O680" s="25"/>
      <c r="P680" s="25"/>
      <c r="Q680" s="35">
        <v>2.0</v>
      </c>
      <c r="R680" s="35">
        <v>2.0</v>
      </c>
      <c r="S680" s="35">
        <v>2.0</v>
      </c>
      <c r="T680" s="35">
        <v>2.0</v>
      </c>
      <c r="U680" s="34"/>
      <c r="V680" s="34"/>
      <c r="W680" s="34"/>
      <c r="X680" s="34"/>
      <c r="Y680" s="34"/>
      <c r="Z680" s="34"/>
      <c r="AA680" s="25"/>
      <c r="AB680" s="25"/>
      <c r="AC680" s="25"/>
      <c r="AD680" s="25"/>
      <c r="AE680" s="25"/>
      <c r="AF680" s="25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25"/>
      <c r="AU680" s="34"/>
      <c r="AV680" s="34"/>
      <c r="AW680" s="34"/>
    </row>
    <row r="681" ht="15.0" customHeight="1">
      <c r="A681" s="32" t="s">
        <v>706</v>
      </c>
      <c r="B681" s="25"/>
      <c r="C681" s="25"/>
      <c r="D681" s="25"/>
      <c r="E681" s="25"/>
      <c r="F681" s="25"/>
      <c r="G681" s="35">
        <v>0.0</v>
      </c>
      <c r="H681" s="35">
        <v>1.0</v>
      </c>
      <c r="I681" s="25"/>
      <c r="J681" s="25"/>
      <c r="K681" s="25"/>
      <c r="L681" s="35"/>
      <c r="M681" s="35"/>
      <c r="N681" s="25"/>
      <c r="O681" s="25"/>
      <c r="P681" s="25"/>
      <c r="Q681" s="35">
        <v>2.0</v>
      </c>
      <c r="R681" s="35">
        <v>2.0</v>
      </c>
      <c r="S681" s="35">
        <v>2.0</v>
      </c>
      <c r="T681" s="35">
        <v>2.0</v>
      </c>
      <c r="U681" s="34"/>
      <c r="V681" s="34"/>
      <c r="W681" s="34"/>
      <c r="X681" s="34"/>
      <c r="Y681" s="34"/>
      <c r="Z681" s="34"/>
      <c r="AA681" s="25"/>
      <c r="AB681" s="25"/>
      <c r="AC681" s="25"/>
      <c r="AD681" s="25"/>
      <c r="AE681" s="25"/>
      <c r="AF681" s="25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25"/>
      <c r="AU681" s="34"/>
      <c r="AV681" s="34"/>
      <c r="AW681" s="34"/>
    </row>
    <row r="682" ht="15.0" customHeight="1">
      <c r="A682" s="32" t="s">
        <v>707</v>
      </c>
      <c r="B682" s="25"/>
      <c r="C682" s="25"/>
      <c r="D682" s="25"/>
      <c r="E682" s="25"/>
      <c r="F682" s="25"/>
      <c r="G682" s="35">
        <v>0.0</v>
      </c>
      <c r="H682" s="35">
        <v>1.0</v>
      </c>
      <c r="I682" s="25"/>
      <c r="J682" s="25"/>
      <c r="K682" s="25"/>
      <c r="L682" s="35"/>
      <c r="M682" s="35"/>
      <c r="N682" s="25"/>
      <c r="O682" s="25"/>
      <c r="P682" s="25"/>
      <c r="Q682" s="35">
        <v>2.0</v>
      </c>
      <c r="R682" s="35">
        <v>2.0</v>
      </c>
      <c r="S682" s="35">
        <v>2.0</v>
      </c>
      <c r="T682" s="35">
        <v>2.0</v>
      </c>
      <c r="U682" s="34"/>
      <c r="V682" s="34"/>
      <c r="W682" s="34"/>
      <c r="X682" s="34"/>
      <c r="Y682" s="34"/>
      <c r="Z682" s="34"/>
      <c r="AA682" s="25"/>
      <c r="AB682" s="25"/>
      <c r="AC682" s="25"/>
      <c r="AD682" s="25"/>
      <c r="AE682" s="25"/>
      <c r="AF682" s="25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25"/>
      <c r="AU682" s="34"/>
      <c r="AV682" s="34"/>
      <c r="AW682" s="34"/>
    </row>
    <row r="683" ht="15.0" customHeight="1">
      <c r="A683" s="32" t="s">
        <v>708</v>
      </c>
      <c r="B683" s="25"/>
      <c r="C683" s="25"/>
      <c r="D683" s="25"/>
      <c r="E683" s="25"/>
      <c r="F683" s="25"/>
      <c r="G683" s="35">
        <v>0.0</v>
      </c>
      <c r="H683" s="35">
        <v>1.0</v>
      </c>
      <c r="I683" s="25"/>
      <c r="J683" s="25"/>
      <c r="K683" s="25"/>
      <c r="L683" s="35"/>
      <c r="M683" s="35"/>
      <c r="N683" s="25"/>
      <c r="O683" s="25"/>
      <c r="P683" s="25"/>
      <c r="Q683" s="35">
        <v>2.0</v>
      </c>
      <c r="R683" s="35">
        <v>2.0</v>
      </c>
      <c r="S683" s="35">
        <v>2.0</v>
      </c>
      <c r="T683" s="35">
        <v>2.0</v>
      </c>
      <c r="U683" s="34"/>
      <c r="V683" s="34"/>
      <c r="W683" s="34"/>
      <c r="X683" s="34"/>
      <c r="Y683" s="34"/>
      <c r="Z683" s="34"/>
      <c r="AA683" s="25"/>
      <c r="AB683" s="25"/>
      <c r="AC683" s="25"/>
      <c r="AD683" s="25"/>
      <c r="AE683" s="25"/>
      <c r="AF683" s="25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25"/>
      <c r="AU683" s="34"/>
      <c r="AV683" s="34"/>
      <c r="AW683" s="34"/>
    </row>
    <row r="684" ht="15.0" customHeight="1">
      <c r="A684" s="32" t="s">
        <v>709</v>
      </c>
      <c r="B684" s="25"/>
      <c r="C684" s="25"/>
      <c r="D684" s="25"/>
      <c r="E684" s="25"/>
      <c r="F684" s="25"/>
      <c r="G684" s="35">
        <v>0.0</v>
      </c>
      <c r="H684" s="35">
        <v>1.0</v>
      </c>
      <c r="I684" s="25"/>
      <c r="J684" s="25"/>
      <c r="K684" s="25"/>
      <c r="L684" s="35"/>
      <c r="M684" s="35"/>
      <c r="N684" s="25"/>
      <c r="O684" s="25"/>
      <c r="P684" s="25"/>
      <c r="Q684" s="35">
        <v>2.0</v>
      </c>
      <c r="R684" s="35">
        <v>2.0</v>
      </c>
      <c r="S684" s="35">
        <v>2.0</v>
      </c>
      <c r="T684" s="35">
        <v>2.0</v>
      </c>
      <c r="U684" s="34"/>
      <c r="V684" s="34"/>
      <c r="W684" s="34"/>
      <c r="X684" s="34"/>
      <c r="Y684" s="34"/>
      <c r="Z684" s="34"/>
      <c r="AA684" s="25"/>
      <c r="AB684" s="25"/>
      <c r="AC684" s="25"/>
      <c r="AD684" s="25"/>
      <c r="AE684" s="25"/>
      <c r="AF684" s="25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25"/>
      <c r="AU684" s="34"/>
      <c r="AV684" s="34"/>
      <c r="AW684" s="34"/>
    </row>
    <row r="685" ht="15.0" customHeight="1">
      <c r="A685" s="32" t="s">
        <v>710</v>
      </c>
      <c r="B685" s="25"/>
      <c r="C685" s="25"/>
      <c r="D685" s="25"/>
      <c r="E685" s="25"/>
      <c r="F685" s="25"/>
      <c r="G685" s="35">
        <v>0.0</v>
      </c>
      <c r="H685" s="35">
        <v>1.0</v>
      </c>
      <c r="I685" s="25"/>
      <c r="J685" s="25"/>
      <c r="K685" s="25"/>
      <c r="L685" s="35"/>
      <c r="M685" s="35"/>
      <c r="N685" s="25"/>
      <c r="O685" s="25"/>
      <c r="P685" s="25"/>
      <c r="Q685" s="35">
        <v>2.0</v>
      </c>
      <c r="R685" s="35">
        <v>2.0</v>
      </c>
      <c r="S685" s="35">
        <v>2.0</v>
      </c>
      <c r="T685" s="35">
        <v>2.0</v>
      </c>
      <c r="U685" s="34"/>
      <c r="V685" s="34"/>
      <c r="W685" s="34"/>
      <c r="X685" s="34"/>
      <c r="Y685" s="34"/>
      <c r="Z685" s="34"/>
      <c r="AA685" s="25"/>
      <c r="AB685" s="25"/>
      <c r="AC685" s="25"/>
      <c r="AD685" s="25"/>
      <c r="AE685" s="25"/>
      <c r="AF685" s="25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25"/>
      <c r="AU685" s="34"/>
      <c r="AV685" s="34"/>
      <c r="AW685" s="34"/>
    </row>
    <row r="686" ht="15.0" customHeight="1">
      <c r="A686" s="32" t="s">
        <v>711</v>
      </c>
      <c r="B686" s="25"/>
      <c r="C686" s="25"/>
      <c r="D686" s="25"/>
      <c r="E686" s="25"/>
      <c r="F686" s="25"/>
      <c r="G686" s="35">
        <v>0.0</v>
      </c>
      <c r="H686" s="35">
        <v>1.0</v>
      </c>
      <c r="I686" s="25"/>
      <c r="J686" s="25"/>
      <c r="K686" s="25"/>
      <c r="L686" s="35"/>
      <c r="M686" s="35"/>
      <c r="N686" s="25"/>
      <c r="O686" s="25"/>
      <c r="P686" s="25"/>
      <c r="Q686" s="35">
        <v>2.0</v>
      </c>
      <c r="R686" s="35">
        <v>2.0</v>
      </c>
      <c r="S686" s="35">
        <v>2.0</v>
      </c>
      <c r="T686" s="35">
        <v>2.0</v>
      </c>
      <c r="U686" s="34"/>
      <c r="V686" s="34"/>
      <c r="W686" s="34"/>
      <c r="X686" s="34"/>
      <c r="Y686" s="34"/>
      <c r="Z686" s="34"/>
      <c r="AA686" s="25"/>
      <c r="AB686" s="25"/>
      <c r="AC686" s="25"/>
      <c r="AD686" s="25"/>
      <c r="AE686" s="25"/>
      <c r="AF686" s="25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25"/>
      <c r="AU686" s="34"/>
      <c r="AV686" s="34"/>
      <c r="AW686" s="34"/>
    </row>
    <row r="687" ht="15.0" customHeight="1">
      <c r="A687" s="32" t="s">
        <v>712</v>
      </c>
      <c r="B687" s="25"/>
      <c r="C687" s="25"/>
      <c r="D687" s="25"/>
      <c r="E687" s="25"/>
      <c r="F687" s="25"/>
      <c r="G687" s="35">
        <v>0.0</v>
      </c>
      <c r="H687" s="35">
        <v>1.0</v>
      </c>
      <c r="I687" s="25"/>
      <c r="J687" s="25"/>
      <c r="K687" s="25"/>
      <c r="L687" s="35"/>
      <c r="M687" s="35"/>
      <c r="N687" s="25"/>
      <c r="O687" s="25"/>
      <c r="P687" s="25"/>
      <c r="Q687" s="35">
        <v>2.0</v>
      </c>
      <c r="R687" s="35">
        <v>2.0</v>
      </c>
      <c r="S687" s="35">
        <v>2.0</v>
      </c>
      <c r="T687" s="35">
        <v>2.0</v>
      </c>
      <c r="U687" s="34"/>
      <c r="V687" s="34"/>
      <c r="W687" s="34"/>
      <c r="X687" s="34"/>
      <c r="Y687" s="34"/>
      <c r="Z687" s="34"/>
      <c r="AA687" s="25"/>
      <c r="AB687" s="25"/>
      <c r="AC687" s="25"/>
      <c r="AD687" s="25"/>
      <c r="AE687" s="25"/>
      <c r="AF687" s="25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25"/>
      <c r="AU687" s="34"/>
      <c r="AV687" s="34"/>
      <c r="AW687" s="34"/>
    </row>
    <row r="688" ht="15.0" customHeight="1">
      <c r="A688" s="32" t="s">
        <v>713</v>
      </c>
      <c r="B688" s="25"/>
      <c r="C688" s="25"/>
      <c r="D688" s="25"/>
      <c r="E688" s="25"/>
      <c r="F688" s="25"/>
      <c r="G688" s="35">
        <v>0.0</v>
      </c>
      <c r="H688" s="35">
        <v>1.0</v>
      </c>
      <c r="I688" s="25"/>
      <c r="J688" s="25"/>
      <c r="K688" s="25"/>
      <c r="L688" s="35"/>
      <c r="M688" s="35"/>
      <c r="N688" s="25"/>
      <c r="O688" s="25"/>
      <c r="P688" s="25"/>
      <c r="Q688" s="35">
        <v>2.0</v>
      </c>
      <c r="R688" s="35">
        <v>2.0</v>
      </c>
      <c r="S688" s="35">
        <v>2.0</v>
      </c>
      <c r="T688" s="35">
        <v>2.0</v>
      </c>
      <c r="U688" s="34"/>
      <c r="V688" s="34"/>
      <c r="W688" s="34"/>
      <c r="X688" s="34"/>
      <c r="Y688" s="34"/>
      <c r="Z688" s="34"/>
      <c r="AA688" s="25"/>
      <c r="AB688" s="25"/>
      <c r="AC688" s="25"/>
      <c r="AD688" s="25"/>
      <c r="AE688" s="25"/>
      <c r="AF688" s="25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25"/>
      <c r="AU688" s="34"/>
      <c r="AV688" s="34"/>
      <c r="AW688" s="34"/>
    </row>
    <row r="689" ht="15.0" customHeight="1">
      <c r="A689" s="32" t="s">
        <v>714</v>
      </c>
      <c r="B689" s="25"/>
      <c r="C689" s="25"/>
      <c r="D689" s="25"/>
      <c r="E689" s="25"/>
      <c r="F689" s="25"/>
      <c r="G689" s="35">
        <v>0.0</v>
      </c>
      <c r="H689" s="35">
        <v>1.0</v>
      </c>
      <c r="I689" s="25"/>
      <c r="J689" s="25"/>
      <c r="K689" s="25"/>
      <c r="L689" s="35"/>
      <c r="M689" s="35"/>
      <c r="N689" s="25"/>
      <c r="O689" s="25"/>
      <c r="P689" s="25"/>
      <c r="Q689" s="35">
        <v>2.0</v>
      </c>
      <c r="R689" s="35">
        <v>2.0</v>
      </c>
      <c r="S689" s="35">
        <v>2.0</v>
      </c>
      <c r="T689" s="35">
        <v>2.0</v>
      </c>
      <c r="U689" s="34"/>
      <c r="V689" s="34"/>
      <c r="W689" s="34"/>
      <c r="X689" s="34"/>
      <c r="Y689" s="34"/>
      <c r="Z689" s="34"/>
      <c r="AA689" s="25"/>
      <c r="AB689" s="25"/>
      <c r="AC689" s="25"/>
      <c r="AD689" s="25"/>
      <c r="AE689" s="25"/>
      <c r="AF689" s="25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25"/>
      <c r="AU689" s="34"/>
      <c r="AV689" s="34"/>
      <c r="AW689" s="34"/>
    </row>
    <row r="690" ht="15.0" customHeight="1">
      <c r="A690" s="32" t="s">
        <v>715</v>
      </c>
      <c r="B690" s="25"/>
      <c r="C690" s="25"/>
      <c r="D690" s="25"/>
      <c r="E690" s="25"/>
      <c r="F690" s="25"/>
      <c r="G690" s="35">
        <v>0.0</v>
      </c>
      <c r="H690" s="35">
        <v>1.0</v>
      </c>
      <c r="I690" s="25"/>
      <c r="J690" s="25"/>
      <c r="K690" s="25"/>
      <c r="L690" s="35"/>
      <c r="M690" s="35"/>
      <c r="N690" s="25"/>
      <c r="O690" s="25"/>
      <c r="P690" s="25"/>
      <c r="Q690" s="35">
        <v>2.0</v>
      </c>
      <c r="R690" s="35">
        <v>2.0</v>
      </c>
      <c r="S690" s="35">
        <v>2.0</v>
      </c>
      <c r="T690" s="35">
        <v>2.0</v>
      </c>
      <c r="U690" s="34"/>
      <c r="V690" s="34"/>
      <c r="W690" s="34"/>
      <c r="X690" s="34"/>
      <c r="Y690" s="34"/>
      <c r="Z690" s="34"/>
      <c r="AA690" s="25"/>
      <c r="AB690" s="25"/>
      <c r="AC690" s="25"/>
      <c r="AD690" s="25"/>
      <c r="AE690" s="25"/>
      <c r="AF690" s="25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25"/>
      <c r="AU690" s="34"/>
      <c r="AV690" s="34"/>
      <c r="AW690" s="34"/>
    </row>
    <row r="691" ht="15.0" customHeight="1">
      <c r="A691" s="32" t="s">
        <v>716</v>
      </c>
      <c r="B691" s="25"/>
      <c r="C691" s="25"/>
      <c r="D691" s="25"/>
      <c r="E691" s="25"/>
      <c r="F691" s="25"/>
      <c r="G691" s="35">
        <v>0.0</v>
      </c>
      <c r="H691" s="35">
        <v>1.0</v>
      </c>
      <c r="I691" s="25"/>
      <c r="J691" s="25"/>
      <c r="K691" s="25"/>
      <c r="L691" s="35"/>
      <c r="M691" s="35"/>
      <c r="N691" s="25"/>
      <c r="O691" s="25"/>
      <c r="P691" s="25"/>
      <c r="Q691" s="35">
        <v>2.0</v>
      </c>
      <c r="R691" s="35">
        <v>2.0</v>
      </c>
      <c r="S691" s="35">
        <v>2.0</v>
      </c>
      <c r="T691" s="35">
        <v>2.0</v>
      </c>
      <c r="U691" s="34"/>
      <c r="V691" s="34"/>
      <c r="W691" s="34"/>
      <c r="X691" s="34"/>
      <c r="Y691" s="34"/>
      <c r="Z691" s="34"/>
      <c r="AA691" s="25"/>
      <c r="AB691" s="25"/>
      <c r="AC691" s="25"/>
      <c r="AD691" s="25"/>
      <c r="AE691" s="25"/>
      <c r="AF691" s="25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25"/>
      <c r="AU691" s="34"/>
      <c r="AV691" s="34"/>
      <c r="AW691" s="34"/>
    </row>
    <row r="692" ht="15.0" customHeight="1">
      <c r="A692" s="32" t="s">
        <v>717</v>
      </c>
      <c r="B692" s="25"/>
      <c r="C692" s="25"/>
      <c r="D692" s="25"/>
      <c r="E692" s="25"/>
      <c r="F692" s="25"/>
      <c r="G692" s="35">
        <v>0.0</v>
      </c>
      <c r="H692" s="35">
        <v>1.0</v>
      </c>
      <c r="I692" s="25"/>
      <c r="J692" s="25"/>
      <c r="K692" s="25"/>
      <c r="L692" s="35"/>
      <c r="M692" s="35"/>
      <c r="N692" s="25"/>
      <c r="O692" s="25"/>
      <c r="P692" s="25"/>
      <c r="Q692" s="35">
        <v>2.0</v>
      </c>
      <c r="R692" s="35">
        <v>2.0</v>
      </c>
      <c r="S692" s="35">
        <v>2.0</v>
      </c>
      <c r="T692" s="35">
        <v>2.0</v>
      </c>
      <c r="U692" s="34"/>
      <c r="V692" s="34"/>
      <c r="W692" s="34"/>
      <c r="X692" s="34"/>
      <c r="Y692" s="34"/>
      <c r="Z692" s="34"/>
      <c r="AA692" s="25"/>
      <c r="AB692" s="25"/>
      <c r="AC692" s="25"/>
      <c r="AD692" s="25"/>
      <c r="AE692" s="25"/>
      <c r="AF692" s="25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25"/>
      <c r="AU692" s="34"/>
      <c r="AV692" s="34"/>
      <c r="AW692" s="34"/>
    </row>
    <row r="693" ht="15.0" customHeight="1">
      <c r="A693" s="32" t="s">
        <v>718</v>
      </c>
      <c r="B693" s="25"/>
      <c r="C693" s="25"/>
      <c r="D693" s="25"/>
      <c r="E693" s="25"/>
      <c r="F693" s="25"/>
      <c r="G693" s="35">
        <v>0.0</v>
      </c>
      <c r="H693" s="35">
        <v>1.0</v>
      </c>
      <c r="I693" s="25"/>
      <c r="J693" s="25"/>
      <c r="K693" s="25"/>
      <c r="L693" s="35"/>
      <c r="M693" s="35"/>
      <c r="N693" s="25"/>
      <c r="O693" s="25"/>
      <c r="P693" s="25"/>
      <c r="Q693" s="35">
        <v>2.0</v>
      </c>
      <c r="R693" s="35">
        <v>2.0</v>
      </c>
      <c r="S693" s="35">
        <v>2.0</v>
      </c>
      <c r="T693" s="35">
        <v>2.0</v>
      </c>
      <c r="U693" s="34"/>
      <c r="V693" s="34"/>
      <c r="W693" s="34"/>
      <c r="X693" s="34"/>
      <c r="Y693" s="34"/>
      <c r="Z693" s="34"/>
      <c r="AA693" s="25"/>
      <c r="AB693" s="25"/>
      <c r="AC693" s="25"/>
      <c r="AD693" s="25"/>
      <c r="AE693" s="25"/>
      <c r="AF693" s="25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25"/>
      <c r="AU693" s="34"/>
      <c r="AV693" s="34"/>
      <c r="AW693" s="34"/>
    </row>
    <row r="694" ht="15.0" customHeight="1">
      <c r="A694" s="32" t="s">
        <v>719</v>
      </c>
      <c r="B694" s="25"/>
      <c r="C694" s="25"/>
      <c r="D694" s="25"/>
      <c r="E694" s="25"/>
      <c r="F694" s="25"/>
      <c r="G694" s="35">
        <v>0.0</v>
      </c>
      <c r="H694" s="35">
        <v>1.0</v>
      </c>
      <c r="I694" s="25"/>
      <c r="J694" s="25"/>
      <c r="K694" s="25"/>
      <c r="L694" s="35"/>
      <c r="M694" s="35"/>
      <c r="N694" s="25"/>
      <c r="O694" s="25"/>
      <c r="P694" s="25"/>
      <c r="Q694" s="35">
        <v>2.0</v>
      </c>
      <c r="R694" s="35">
        <v>2.0</v>
      </c>
      <c r="S694" s="35">
        <v>2.0</v>
      </c>
      <c r="T694" s="35">
        <v>2.0</v>
      </c>
      <c r="U694" s="34"/>
      <c r="V694" s="34"/>
      <c r="W694" s="34"/>
      <c r="X694" s="34"/>
      <c r="Y694" s="34"/>
      <c r="Z694" s="34"/>
      <c r="AA694" s="25"/>
      <c r="AB694" s="25"/>
      <c r="AC694" s="25"/>
      <c r="AD694" s="25"/>
      <c r="AE694" s="25"/>
      <c r="AF694" s="25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25"/>
      <c r="AU694" s="34"/>
      <c r="AV694" s="34"/>
      <c r="AW694" s="34"/>
    </row>
    <row r="695" ht="15.0" customHeight="1">
      <c r="A695" s="32" t="s">
        <v>720</v>
      </c>
      <c r="B695" s="25"/>
      <c r="C695" s="25"/>
      <c r="D695" s="25"/>
      <c r="E695" s="25"/>
      <c r="F695" s="25"/>
      <c r="G695" s="35">
        <v>0.0</v>
      </c>
      <c r="H695" s="35">
        <v>1.0</v>
      </c>
      <c r="I695" s="25"/>
      <c r="J695" s="25"/>
      <c r="K695" s="25"/>
      <c r="L695" s="35"/>
      <c r="M695" s="35"/>
      <c r="N695" s="25"/>
      <c r="O695" s="25"/>
      <c r="P695" s="25"/>
      <c r="Q695" s="35">
        <v>2.0</v>
      </c>
      <c r="R695" s="35">
        <v>2.0</v>
      </c>
      <c r="S695" s="35">
        <v>2.0</v>
      </c>
      <c r="T695" s="35">
        <v>2.0</v>
      </c>
      <c r="U695" s="34"/>
      <c r="V695" s="34"/>
      <c r="W695" s="34"/>
      <c r="X695" s="34"/>
      <c r="Y695" s="34"/>
      <c r="Z695" s="34"/>
      <c r="AA695" s="25"/>
      <c r="AB695" s="25"/>
      <c r="AC695" s="25"/>
      <c r="AD695" s="25"/>
      <c r="AE695" s="25"/>
      <c r="AF695" s="25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25"/>
      <c r="AU695" s="34"/>
      <c r="AV695" s="34"/>
      <c r="AW695" s="34"/>
    </row>
    <row r="696" ht="15.0" customHeight="1">
      <c r="A696" s="32" t="s">
        <v>721</v>
      </c>
      <c r="B696" s="25"/>
      <c r="C696" s="25"/>
      <c r="D696" s="25"/>
      <c r="E696" s="25"/>
      <c r="F696" s="25"/>
      <c r="G696" s="35">
        <v>0.0</v>
      </c>
      <c r="H696" s="35">
        <v>1.0</v>
      </c>
      <c r="I696" s="25"/>
      <c r="J696" s="25"/>
      <c r="K696" s="25"/>
      <c r="L696" s="35"/>
      <c r="M696" s="35"/>
      <c r="N696" s="25"/>
      <c r="O696" s="25"/>
      <c r="P696" s="25"/>
      <c r="Q696" s="35">
        <v>2.0</v>
      </c>
      <c r="R696" s="35">
        <v>2.0</v>
      </c>
      <c r="S696" s="35">
        <v>2.0</v>
      </c>
      <c r="T696" s="35">
        <v>2.0</v>
      </c>
      <c r="U696" s="34"/>
      <c r="V696" s="34"/>
      <c r="W696" s="34"/>
      <c r="X696" s="34"/>
      <c r="Y696" s="34"/>
      <c r="Z696" s="34"/>
      <c r="AA696" s="25"/>
      <c r="AB696" s="25"/>
      <c r="AC696" s="25"/>
      <c r="AD696" s="25"/>
      <c r="AE696" s="25"/>
      <c r="AF696" s="25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25"/>
      <c r="AU696" s="34"/>
      <c r="AV696" s="34"/>
      <c r="AW696" s="34"/>
    </row>
    <row r="697" ht="15.0" customHeight="1">
      <c r="A697" s="32" t="s">
        <v>722</v>
      </c>
      <c r="B697" s="25"/>
      <c r="C697" s="25"/>
      <c r="D697" s="25"/>
      <c r="E697" s="25"/>
      <c r="F697" s="25"/>
      <c r="G697" s="35">
        <v>0.0</v>
      </c>
      <c r="H697" s="35">
        <v>1.0</v>
      </c>
      <c r="I697" s="25"/>
      <c r="J697" s="25"/>
      <c r="K697" s="25"/>
      <c r="L697" s="35"/>
      <c r="M697" s="35"/>
      <c r="N697" s="25"/>
      <c r="O697" s="25"/>
      <c r="P697" s="25"/>
      <c r="Q697" s="35">
        <v>2.0</v>
      </c>
      <c r="R697" s="35">
        <v>2.0</v>
      </c>
      <c r="S697" s="35">
        <v>2.0</v>
      </c>
      <c r="T697" s="35">
        <v>2.0</v>
      </c>
      <c r="U697" s="34"/>
      <c r="V697" s="34"/>
      <c r="W697" s="34"/>
      <c r="X697" s="34"/>
      <c r="Y697" s="34"/>
      <c r="Z697" s="34"/>
      <c r="AA697" s="25"/>
      <c r="AB697" s="25"/>
      <c r="AC697" s="25"/>
      <c r="AD697" s="25"/>
      <c r="AE697" s="25"/>
      <c r="AF697" s="25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25"/>
      <c r="AU697" s="34"/>
      <c r="AV697" s="34"/>
      <c r="AW697" s="34"/>
    </row>
    <row r="698" ht="15.0" customHeight="1">
      <c r="A698" s="32" t="s">
        <v>723</v>
      </c>
      <c r="B698" s="25"/>
      <c r="C698" s="25"/>
      <c r="D698" s="25"/>
      <c r="E698" s="25"/>
      <c r="F698" s="25"/>
      <c r="G698" s="35">
        <v>0.0</v>
      </c>
      <c r="H698" s="35">
        <v>1.0</v>
      </c>
      <c r="I698" s="25"/>
      <c r="J698" s="25"/>
      <c r="K698" s="25"/>
      <c r="L698" s="35"/>
      <c r="M698" s="35"/>
      <c r="N698" s="25"/>
      <c r="O698" s="25"/>
      <c r="P698" s="25"/>
      <c r="Q698" s="35">
        <v>2.0</v>
      </c>
      <c r="R698" s="35">
        <v>2.0</v>
      </c>
      <c r="S698" s="35">
        <v>2.0</v>
      </c>
      <c r="T698" s="35">
        <v>2.0</v>
      </c>
      <c r="U698" s="34"/>
      <c r="V698" s="34"/>
      <c r="W698" s="34"/>
      <c r="X698" s="34"/>
      <c r="Y698" s="34"/>
      <c r="Z698" s="34"/>
      <c r="AA698" s="25"/>
      <c r="AB698" s="25"/>
      <c r="AC698" s="25"/>
      <c r="AD698" s="25"/>
      <c r="AE698" s="25"/>
      <c r="AF698" s="25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25"/>
      <c r="AU698" s="34"/>
      <c r="AV698" s="34"/>
      <c r="AW698" s="34"/>
    </row>
    <row r="699" ht="15.0" customHeight="1">
      <c r="A699" s="32" t="s">
        <v>724</v>
      </c>
      <c r="B699" s="25"/>
      <c r="C699" s="25"/>
      <c r="D699" s="25"/>
      <c r="E699" s="25"/>
      <c r="F699" s="25"/>
      <c r="G699" s="35">
        <v>0.0</v>
      </c>
      <c r="H699" s="35">
        <v>1.0</v>
      </c>
      <c r="I699" s="25"/>
      <c r="J699" s="25"/>
      <c r="K699" s="25"/>
      <c r="L699" s="35"/>
      <c r="M699" s="35"/>
      <c r="N699" s="25"/>
      <c r="O699" s="25"/>
      <c r="P699" s="25"/>
      <c r="Q699" s="35">
        <v>2.0</v>
      </c>
      <c r="R699" s="35">
        <v>2.0</v>
      </c>
      <c r="S699" s="35">
        <v>2.0</v>
      </c>
      <c r="T699" s="35">
        <v>2.0</v>
      </c>
      <c r="U699" s="34"/>
      <c r="V699" s="34"/>
      <c r="W699" s="34"/>
      <c r="X699" s="34"/>
      <c r="Y699" s="34"/>
      <c r="Z699" s="34"/>
      <c r="AA699" s="25"/>
      <c r="AB699" s="25"/>
      <c r="AC699" s="25"/>
      <c r="AD699" s="25"/>
      <c r="AE699" s="25"/>
      <c r="AF699" s="25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25"/>
      <c r="AU699" s="34"/>
      <c r="AV699" s="34"/>
      <c r="AW699" s="34"/>
    </row>
    <row r="700" ht="15.0" customHeight="1">
      <c r="A700" s="32" t="s">
        <v>725</v>
      </c>
      <c r="B700" s="25"/>
      <c r="C700" s="25"/>
      <c r="D700" s="25"/>
      <c r="E700" s="25"/>
      <c r="F700" s="25"/>
      <c r="G700" s="35">
        <v>0.0</v>
      </c>
      <c r="H700" s="35">
        <v>1.0</v>
      </c>
      <c r="I700" s="25"/>
      <c r="J700" s="25"/>
      <c r="K700" s="25"/>
      <c r="L700" s="35"/>
      <c r="M700" s="35"/>
      <c r="N700" s="25"/>
      <c r="O700" s="25"/>
      <c r="P700" s="25"/>
      <c r="Q700" s="35">
        <v>2.0</v>
      </c>
      <c r="R700" s="35">
        <v>2.0</v>
      </c>
      <c r="S700" s="35">
        <v>2.0</v>
      </c>
      <c r="T700" s="35">
        <v>2.0</v>
      </c>
      <c r="U700" s="34"/>
      <c r="V700" s="34"/>
      <c r="W700" s="34"/>
      <c r="X700" s="34"/>
      <c r="Y700" s="34"/>
      <c r="Z700" s="34"/>
      <c r="AA700" s="25"/>
      <c r="AB700" s="25"/>
      <c r="AC700" s="25"/>
      <c r="AD700" s="25"/>
      <c r="AE700" s="25"/>
      <c r="AF700" s="25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25"/>
      <c r="AU700" s="34"/>
      <c r="AV700" s="34"/>
      <c r="AW700" s="34"/>
    </row>
    <row r="701" ht="15.0" customHeight="1">
      <c r="A701" s="32" t="s">
        <v>726</v>
      </c>
      <c r="B701" s="25"/>
      <c r="C701" s="25"/>
      <c r="D701" s="25"/>
      <c r="E701" s="25"/>
      <c r="F701" s="25"/>
      <c r="G701" s="35">
        <v>0.0</v>
      </c>
      <c r="H701" s="35">
        <v>1.0</v>
      </c>
      <c r="I701" s="25"/>
      <c r="J701" s="25"/>
      <c r="K701" s="25"/>
      <c r="L701" s="35"/>
      <c r="M701" s="35"/>
      <c r="N701" s="25"/>
      <c r="O701" s="25"/>
      <c r="P701" s="25"/>
      <c r="Q701" s="35">
        <v>2.0</v>
      </c>
      <c r="R701" s="35">
        <v>2.0</v>
      </c>
      <c r="S701" s="35">
        <v>2.0</v>
      </c>
      <c r="T701" s="35">
        <v>2.0</v>
      </c>
      <c r="U701" s="34"/>
      <c r="V701" s="34"/>
      <c r="W701" s="34"/>
      <c r="X701" s="34"/>
      <c r="Y701" s="34"/>
      <c r="Z701" s="34"/>
      <c r="AA701" s="25"/>
      <c r="AB701" s="25"/>
      <c r="AC701" s="25"/>
      <c r="AD701" s="25"/>
      <c r="AE701" s="25"/>
      <c r="AF701" s="25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25"/>
      <c r="AU701" s="34"/>
      <c r="AV701" s="34"/>
      <c r="AW701" s="34"/>
    </row>
    <row r="702" ht="15.0" customHeight="1">
      <c r="A702" s="32" t="s">
        <v>727</v>
      </c>
      <c r="B702" s="25"/>
      <c r="C702" s="25"/>
      <c r="D702" s="25"/>
      <c r="E702" s="25"/>
      <c r="F702" s="25"/>
      <c r="G702" s="35">
        <v>0.0</v>
      </c>
      <c r="H702" s="35">
        <v>1.0</v>
      </c>
      <c r="I702" s="25"/>
      <c r="J702" s="25"/>
      <c r="K702" s="25"/>
      <c r="L702" s="35"/>
      <c r="M702" s="35"/>
      <c r="N702" s="25"/>
      <c r="O702" s="25"/>
      <c r="P702" s="25"/>
      <c r="Q702" s="35">
        <v>2.0</v>
      </c>
      <c r="R702" s="35">
        <v>2.0</v>
      </c>
      <c r="S702" s="35">
        <v>2.0</v>
      </c>
      <c r="T702" s="35">
        <v>2.0</v>
      </c>
      <c r="U702" s="34"/>
      <c r="V702" s="34"/>
      <c r="W702" s="34"/>
      <c r="X702" s="34"/>
      <c r="Y702" s="34"/>
      <c r="Z702" s="34"/>
      <c r="AA702" s="25"/>
      <c r="AB702" s="25"/>
      <c r="AC702" s="25"/>
      <c r="AD702" s="25"/>
      <c r="AE702" s="25"/>
      <c r="AF702" s="25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25"/>
      <c r="AU702" s="34"/>
      <c r="AV702" s="34"/>
      <c r="AW702" s="34"/>
    </row>
    <row r="703" ht="15.0" customHeight="1">
      <c r="A703" s="32" t="s">
        <v>728</v>
      </c>
      <c r="B703" s="25"/>
      <c r="C703" s="25"/>
      <c r="D703" s="25"/>
      <c r="E703" s="25"/>
      <c r="F703" s="25"/>
      <c r="G703" s="35">
        <v>0.0</v>
      </c>
      <c r="H703" s="35">
        <v>1.0</v>
      </c>
      <c r="I703" s="25"/>
      <c r="J703" s="25"/>
      <c r="K703" s="25"/>
      <c r="L703" s="35"/>
      <c r="M703" s="35"/>
      <c r="N703" s="25"/>
      <c r="O703" s="25"/>
      <c r="P703" s="25"/>
      <c r="Q703" s="35">
        <v>2.0</v>
      </c>
      <c r="R703" s="35">
        <v>2.0</v>
      </c>
      <c r="S703" s="35">
        <v>2.0</v>
      </c>
      <c r="T703" s="35">
        <v>2.0</v>
      </c>
      <c r="U703" s="34"/>
      <c r="V703" s="34"/>
      <c r="W703" s="34"/>
      <c r="X703" s="34"/>
      <c r="Y703" s="34"/>
      <c r="Z703" s="34"/>
      <c r="AA703" s="25"/>
      <c r="AB703" s="25"/>
      <c r="AC703" s="25"/>
      <c r="AD703" s="25"/>
      <c r="AE703" s="25"/>
      <c r="AF703" s="25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25"/>
      <c r="AU703" s="34"/>
      <c r="AV703" s="34"/>
      <c r="AW703" s="34"/>
    </row>
    <row r="704" ht="15.0" customHeight="1">
      <c r="A704" s="32" t="s">
        <v>729</v>
      </c>
      <c r="B704" s="25"/>
      <c r="C704" s="25"/>
      <c r="D704" s="25"/>
      <c r="E704" s="25"/>
      <c r="F704" s="25"/>
      <c r="G704" s="35">
        <v>0.0</v>
      </c>
      <c r="H704" s="35">
        <v>1.0</v>
      </c>
      <c r="I704" s="25"/>
      <c r="J704" s="25"/>
      <c r="K704" s="25"/>
      <c r="L704" s="35"/>
      <c r="M704" s="35"/>
      <c r="N704" s="25"/>
      <c r="O704" s="25"/>
      <c r="P704" s="25"/>
      <c r="Q704" s="35">
        <v>2.0</v>
      </c>
      <c r="R704" s="35">
        <v>2.0</v>
      </c>
      <c r="S704" s="35">
        <v>2.0</v>
      </c>
      <c r="T704" s="35">
        <v>2.0</v>
      </c>
      <c r="U704" s="34"/>
      <c r="V704" s="34"/>
      <c r="W704" s="34"/>
      <c r="X704" s="34"/>
      <c r="Y704" s="34"/>
      <c r="Z704" s="34"/>
      <c r="AA704" s="25"/>
      <c r="AB704" s="25"/>
      <c r="AC704" s="25"/>
      <c r="AD704" s="25"/>
      <c r="AE704" s="25"/>
      <c r="AF704" s="25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25"/>
      <c r="AU704" s="34"/>
      <c r="AV704" s="34"/>
      <c r="AW704" s="34"/>
    </row>
    <row r="705" ht="15.0" customHeight="1">
      <c r="A705" s="32" t="s">
        <v>730</v>
      </c>
      <c r="B705" s="25"/>
      <c r="C705" s="25"/>
      <c r="D705" s="25"/>
      <c r="E705" s="25"/>
      <c r="F705" s="25"/>
      <c r="G705" s="35">
        <v>0.0</v>
      </c>
      <c r="H705" s="35">
        <v>1.0</v>
      </c>
      <c r="I705" s="25"/>
      <c r="J705" s="25"/>
      <c r="K705" s="25"/>
      <c r="L705" s="35"/>
      <c r="M705" s="35"/>
      <c r="N705" s="25"/>
      <c r="O705" s="25"/>
      <c r="P705" s="25"/>
      <c r="Q705" s="35">
        <v>2.0</v>
      </c>
      <c r="R705" s="35">
        <v>2.0</v>
      </c>
      <c r="S705" s="35">
        <v>2.0</v>
      </c>
      <c r="T705" s="35">
        <v>2.0</v>
      </c>
      <c r="U705" s="34"/>
      <c r="V705" s="34"/>
      <c r="W705" s="34"/>
      <c r="X705" s="34"/>
      <c r="Y705" s="34"/>
      <c r="Z705" s="34"/>
      <c r="AA705" s="25"/>
      <c r="AB705" s="25"/>
      <c r="AC705" s="25"/>
      <c r="AD705" s="25"/>
      <c r="AE705" s="25"/>
      <c r="AF705" s="25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25"/>
      <c r="AU705" s="34"/>
      <c r="AV705" s="34"/>
      <c r="AW705" s="34"/>
    </row>
    <row r="706" ht="15.0" customHeight="1">
      <c r="A706" s="32" t="s">
        <v>731</v>
      </c>
      <c r="B706" s="25"/>
      <c r="C706" s="25"/>
      <c r="D706" s="25"/>
      <c r="E706" s="25"/>
      <c r="F706" s="25"/>
      <c r="G706" s="35">
        <v>0.0</v>
      </c>
      <c r="H706" s="35">
        <v>1.0</v>
      </c>
      <c r="I706" s="25"/>
      <c r="J706" s="25"/>
      <c r="K706" s="25"/>
      <c r="L706" s="35"/>
      <c r="M706" s="35"/>
      <c r="N706" s="25"/>
      <c r="O706" s="25"/>
      <c r="P706" s="25"/>
      <c r="Q706" s="35">
        <v>2.0</v>
      </c>
      <c r="R706" s="35">
        <v>2.0</v>
      </c>
      <c r="S706" s="35">
        <v>2.0</v>
      </c>
      <c r="T706" s="35">
        <v>2.0</v>
      </c>
      <c r="U706" s="34"/>
      <c r="V706" s="34"/>
      <c r="W706" s="34"/>
      <c r="X706" s="34"/>
      <c r="Y706" s="34"/>
      <c r="Z706" s="34"/>
      <c r="AA706" s="25"/>
      <c r="AB706" s="25"/>
      <c r="AC706" s="25"/>
      <c r="AD706" s="25"/>
      <c r="AE706" s="25"/>
      <c r="AF706" s="25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25"/>
      <c r="AU706" s="34"/>
      <c r="AV706" s="34"/>
      <c r="AW706" s="34"/>
    </row>
    <row r="707" ht="15.0" customHeight="1">
      <c r="A707" s="32" t="s">
        <v>732</v>
      </c>
      <c r="B707" s="25"/>
      <c r="C707" s="25"/>
      <c r="D707" s="25"/>
      <c r="E707" s="25"/>
      <c r="F707" s="25"/>
      <c r="G707" s="35">
        <v>0.0</v>
      </c>
      <c r="H707" s="35">
        <v>1.0</v>
      </c>
      <c r="I707" s="25"/>
      <c r="J707" s="25"/>
      <c r="K707" s="25"/>
      <c r="L707" s="35"/>
      <c r="M707" s="35"/>
      <c r="N707" s="25"/>
      <c r="O707" s="25"/>
      <c r="P707" s="25"/>
      <c r="Q707" s="35">
        <v>2.0</v>
      </c>
      <c r="R707" s="35">
        <v>2.0</v>
      </c>
      <c r="S707" s="35">
        <v>2.0</v>
      </c>
      <c r="T707" s="35">
        <v>2.0</v>
      </c>
      <c r="U707" s="34"/>
      <c r="V707" s="34"/>
      <c r="W707" s="34"/>
      <c r="X707" s="34"/>
      <c r="Y707" s="34"/>
      <c r="Z707" s="34"/>
      <c r="AA707" s="25"/>
      <c r="AB707" s="25"/>
      <c r="AC707" s="25"/>
      <c r="AD707" s="25"/>
      <c r="AE707" s="25"/>
      <c r="AF707" s="25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25"/>
      <c r="AU707" s="34"/>
      <c r="AV707" s="34"/>
      <c r="AW707" s="34"/>
    </row>
    <row r="708" ht="15.0" customHeight="1">
      <c r="A708" s="32" t="s">
        <v>733</v>
      </c>
      <c r="B708" s="25"/>
      <c r="C708" s="25"/>
      <c r="D708" s="25"/>
      <c r="E708" s="25"/>
      <c r="F708" s="25"/>
      <c r="G708" s="35">
        <v>0.0</v>
      </c>
      <c r="H708" s="35">
        <v>1.0</v>
      </c>
      <c r="I708" s="25"/>
      <c r="J708" s="25"/>
      <c r="K708" s="25"/>
      <c r="L708" s="35"/>
      <c r="M708" s="35"/>
      <c r="N708" s="25"/>
      <c r="O708" s="25"/>
      <c r="P708" s="25"/>
      <c r="Q708" s="35">
        <v>2.0</v>
      </c>
      <c r="R708" s="35">
        <v>2.0</v>
      </c>
      <c r="S708" s="35">
        <v>2.0</v>
      </c>
      <c r="T708" s="35">
        <v>2.0</v>
      </c>
      <c r="U708" s="34"/>
      <c r="V708" s="34"/>
      <c r="W708" s="34"/>
      <c r="X708" s="34"/>
      <c r="Y708" s="34"/>
      <c r="Z708" s="34"/>
      <c r="AA708" s="25"/>
      <c r="AB708" s="25"/>
      <c r="AC708" s="25"/>
      <c r="AD708" s="25"/>
      <c r="AE708" s="25"/>
      <c r="AF708" s="25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25"/>
      <c r="AU708" s="34"/>
      <c r="AV708" s="34"/>
      <c r="AW708" s="34"/>
    </row>
    <row r="709" ht="15.0" customHeight="1">
      <c r="A709" s="32" t="s">
        <v>734</v>
      </c>
      <c r="B709" s="25"/>
      <c r="C709" s="25"/>
      <c r="D709" s="25"/>
      <c r="E709" s="25"/>
      <c r="F709" s="25"/>
      <c r="G709" s="35">
        <v>0.0</v>
      </c>
      <c r="H709" s="35">
        <v>1.0</v>
      </c>
      <c r="I709" s="25"/>
      <c r="J709" s="25"/>
      <c r="K709" s="25"/>
      <c r="L709" s="35"/>
      <c r="M709" s="35"/>
      <c r="N709" s="25"/>
      <c r="O709" s="25"/>
      <c r="P709" s="25"/>
      <c r="Q709" s="35">
        <v>2.0</v>
      </c>
      <c r="R709" s="35">
        <v>2.0</v>
      </c>
      <c r="S709" s="35">
        <v>2.0</v>
      </c>
      <c r="T709" s="35">
        <v>2.0</v>
      </c>
      <c r="U709" s="34"/>
      <c r="V709" s="34"/>
      <c r="W709" s="34"/>
      <c r="X709" s="34"/>
      <c r="Y709" s="34"/>
      <c r="Z709" s="34"/>
      <c r="AA709" s="25"/>
      <c r="AB709" s="25"/>
      <c r="AC709" s="25"/>
      <c r="AD709" s="25"/>
      <c r="AE709" s="25"/>
      <c r="AF709" s="25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25"/>
      <c r="AU709" s="34"/>
      <c r="AV709" s="34"/>
      <c r="AW709" s="34"/>
    </row>
    <row r="710" ht="15.0" customHeight="1">
      <c r="A710" s="32" t="s">
        <v>735</v>
      </c>
      <c r="B710" s="25"/>
      <c r="C710" s="25"/>
      <c r="D710" s="25"/>
      <c r="E710" s="25"/>
      <c r="F710" s="25"/>
      <c r="G710" s="35">
        <v>0.0</v>
      </c>
      <c r="H710" s="35">
        <v>1.0</v>
      </c>
      <c r="I710" s="25"/>
      <c r="J710" s="25"/>
      <c r="K710" s="25"/>
      <c r="L710" s="35"/>
      <c r="M710" s="35"/>
      <c r="N710" s="25"/>
      <c r="O710" s="25"/>
      <c r="P710" s="25"/>
      <c r="Q710" s="35">
        <v>2.0</v>
      </c>
      <c r="R710" s="35">
        <v>2.0</v>
      </c>
      <c r="S710" s="35">
        <v>2.0</v>
      </c>
      <c r="T710" s="35">
        <v>2.0</v>
      </c>
      <c r="U710" s="34"/>
      <c r="V710" s="34"/>
      <c r="W710" s="34"/>
      <c r="X710" s="34"/>
      <c r="Y710" s="34"/>
      <c r="Z710" s="34"/>
      <c r="AA710" s="25"/>
      <c r="AB710" s="25"/>
      <c r="AC710" s="25"/>
      <c r="AD710" s="25"/>
      <c r="AE710" s="25"/>
      <c r="AF710" s="25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25"/>
      <c r="AU710" s="34"/>
      <c r="AV710" s="34"/>
      <c r="AW710" s="34"/>
    </row>
    <row r="711" ht="15.0" customHeight="1">
      <c r="A711" s="32" t="s">
        <v>736</v>
      </c>
      <c r="B711" s="25"/>
      <c r="C711" s="25"/>
      <c r="D711" s="25"/>
      <c r="E711" s="25"/>
      <c r="F711" s="25"/>
      <c r="G711" s="35">
        <v>0.0</v>
      </c>
      <c r="H711" s="35">
        <v>1.0</v>
      </c>
      <c r="I711" s="25"/>
      <c r="J711" s="25"/>
      <c r="K711" s="25"/>
      <c r="L711" s="35"/>
      <c r="M711" s="35"/>
      <c r="N711" s="25"/>
      <c r="O711" s="25"/>
      <c r="P711" s="25"/>
      <c r="Q711" s="35">
        <v>2.0</v>
      </c>
      <c r="R711" s="35">
        <v>2.0</v>
      </c>
      <c r="S711" s="35">
        <v>2.0</v>
      </c>
      <c r="T711" s="35">
        <v>2.0</v>
      </c>
      <c r="U711" s="34"/>
      <c r="V711" s="34"/>
      <c r="W711" s="34"/>
      <c r="X711" s="34"/>
      <c r="Y711" s="34"/>
      <c r="Z711" s="34"/>
      <c r="AA711" s="25"/>
      <c r="AB711" s="25"/>
      <c r="AC711" s="25"/>
      <c r="AD711" s="25"/>
      <c r="AE711" s="25"/>
      <c r="AF711" s="25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25"/>
      <c r="AU711" s="34"/>
      <c r="AV711" s="34"/>
      <c r="AW711" s="34"/>
    </row>
    <row r="712" ht="15.0" customHeight="1">
      <c r="A712" s="32" t="s">
        <v>737</v>
      </c>
      <c r="B712" s="25"/>
      <c r="C712" s="25"/>
      <c r="D712" s="25"/>
      <c r="E712" s="25"/>
      <c r="F712" s="25"/>
      <c r="G712" s="35">
        <v>0.0</v>
      </c>
      <c r="H712" s="35">
        <v>1.0</v>
      </c>
      <c r="I712" s="25"/>
      <c r="J712" s="25"/>
      <c r="K712" s="25"/>
      <c r="L712" s="35"/>
      <c r="M712" s="35"/>
      <c r="N712" s="25"/>
      <c r="O712" s="25"/>
      <c r="P712" s="25"/>
      <c r="Q712" s="35">
        <v>2.0</v>
      </c>
      <c r="R712" s="35">
        <v>2.0</v>
      </c>
      <c r="S712" s="35">
        <v>2.0</v>
      </c>
      <c r="T712" s="35">
        <v>2.0</v>
      </c>
      <c r="U712" s="34"/>
      <c r="V712" s="34"/>
      <c r="W712" s="34"/>
      <c r="X712" s="34"/>
      <c r="Y712" s="34"/>
      <c r="Z712" s="34"/>
      <c r="AA712" s="25"/>
      <c r="AB712" s="25"/>
      <c r="AC712" s="25"/>
      <c r="AD712" s="25"/>
      <c r="AE712" s="25"/>
      <c r="AF712" s="25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25"/>
      <c r="AU712" s="34"/>
      <c r="AV712" s="34"/>
      <c r="AW712" s="34"/>
    </row>
    <row r="713" ht="15.0" customHeight="1">
      <c r="A713" s="32" t="s">
        <v>738</v>
      </c>
      <c r="B713" s="25"/>
      <c r="C713" s="25"/>
      <c r="D713" s="25"/>
      <c r="E713" s="25"/>
      <c r="F713" s="25"/>
      <c r="G713" s="35">
        <v>0.0</v>
      </c>
      <c r="H713" s="35">
        <v>1.0</v>
      </c>
      <c r="I713" s="25"/>
      <c r="J713" s="25"/>
      <c r="K713" s="25"/>
      <c r="L713" s="35"/>
      <c r="M713" s="35"/>
      <c r="N713" s="25"/>
      <c r="O713" s="25"/>
      <c r="P713" s="25"/>
      <c r="Q713" s="35">
        <v>2.0</v>
      </c>
      <c r="R713" s="35">
        <v>2.0</v>
      </c>
      <c r="S713" s="35">
        <v>2.0</v>
      </c>
      <c r="T713" s="35">
        <v>2.0</v>
      </c>
      <c r="U713" s="34"/>
      <c r="V713" s="34"/>
      <c r="W713" s="34"/>
      <c r="X713" s="34"/>
      <c r="Y713" s="34"/>
      <c r="Z713" s="34"/>
      <c r="AA713" s="25"/>
      <c r="AB713" s="25"/>
      <c r="AC713" s="25"/>
      <c r="AD713" s="25"/>
      <c r="AE713" s="25"/>
      <c r="AF713" s="25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25"/>
      <c r="AU713" s="34"/>
      <c r="AV713" s="34"/>
      <c r="AW713" s="34"/>
    </row>
    <row r="714" ht="15.0" customHeight="1">
      <c r="A714" s="32" t="s">
        <v>739</v>
      </c>
      <c r="B714" s="25"/>
      <c r="C714" s="25"/>
      <c r="D714" s="25"/>
      <c r="E714" s="25"/>
      <c r="F714" s="25"/>
      <c r="G714" s="35">
        <v>0.0</v>
      </c>
      <c r="H714" s="35">
        <v>1.0</v>
      </c>
      <c r="I714" s="25"/>
      <c r="J714" s="25"/>
      <c r="K714" s="25"/>
      <c r="L714" s="35"/>
      <c r="M714" s="35"/>
      <c r="N714" s="25"/>
      <c r="O714" s="25"/>
      <c r="P714" s="25"/>
      <c r="Q714" s="35">
        <v>2.0</v>
      </c>
      <c r="R714" s="35">
        <v>2.0</v>
      </c>
      <c r="S714" s="35">
        <v>2.0</v>
      </c>
      <c r="T714" s="35">
        <v>2.0</v>
      </c>
      <c r="U714" s="34"/>
      <c r="V714" s="34"/>
      <c r="W714" s="34"/>
      <c r="X714" s="34"/>
      <c r="Y714" s="34"/>
      <c r="Z714" s="34"/>
      <c r="AA714" s="25"/>
      <c r="AB714" s="25"/>
      <c r="AC714" s="25"/>
      <c r="AD714" s="25"/>
      <c r="AE714" s="25"/>
      <c r="AF714" s="25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25"/>
      <c r="AU714" s="34"/>
      <c r="AV714" s="34"/>
      <c r="AW714" s="34"/>
    </row>
    <row r="715" ht="15.0" customHeight="1">
      <c r="A715" s="32" t="s">
        <v>740</v>
      </c>
      <c r="B715" s="25"/>
      <c r="C715" s="25"/>
      <c r="D715" s="25"/>
      <c r="E715" s="25"/>
      <c r="F715" s="25"/>
      <c r="G715" s="35">
        <v>0.0</v>
      </c>
      <c r="H715" s="35">
        <v>1.0</v>
      </c>
      <c r="I715" s="25"/>
      <c r="J715" s="25"/>
      <c r="K715" s="25"/>
      <c r="L715" s="35"/>
      <c r="M715" s="35"/>
      <c r="N715" s="25"/>
      <c r="O715" s="25"/>
      <c r="P715" s="25"/>
      <c r="Q715" s="35">
        <v>2.0</v>
      </c>
      <c r="R715" s="35">
        <v>2.0</v>
      </c>
      <c r="S715" s="35">
        <v>2.0</v>
      </c>
      <c r="T715" s="35">
        <v>2.0</v>
      </c>
      <c r="U715" s="34"/>
      <c r="V715" s="34"/>
      <c r="W715" s="34"/>
      <c r="X715" s="34"/>
      <c r="Y715" s="34"/>
      <c r="Z715" s="34"/>
      <c r="AA715" s="25"/>
      <c r="AB715" s="25"/>
      <c r="AC715" s="25"/>
      <c r="AD715" s="25"/>
      <c r="AE715" s="25"/>
      <c r="AF715" s="25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25"/>
      <c r="AU715" s="34"/>
      <c r="AV715" s="34"/>
      <c r="AW715" s="34"/>
    </row>
    <row r="716" ht="15.0" customHeight="1">
      <c r="A716" s="32" t="s">
        <v>741</v>
      </c>
      <c r="B716" s="25"/>
      <c r="C716" s="25"/>
      <c r="D716" s="25"/>
      <c r="E716" s="25"/>
      <c r="F716" s="25"/>
      <c r="G716" s="35">
        <v>0.0</v>
      </c>
      <c r="H716" s="35">
        <v>1.0</v>
      </c>
      <c r="I716" s="25"/>
      <c r="J716" s="25"/>
      <c r="K716" s="25"/>
      <c r="L716" s="35"/>
      <c r="M716" s="35"/>
      <c r="N716" s="25"/>
      <c r="O716" s="25"/>
      <c r="P716" s="25"/>
      <c r="Q716" s="35">
        <v>2.0</v>
      </c>
      <c r="R716" s="35">
        <v>2.0</v>
      </c>
      <c r="S716" s="35">
        <v>2.0</v>
      </c>
      <c r="T716" s="35">
        <v>2.0</v>
      </c>
      <c r="U716" s="34"/>
      <c r="V716" s="34"/>
      <c r="W716" s="34"/>
      <c r="X716" s="34"/>
      <c r="Y716" s="34"/>
      <c r="Z716" s="34"/>
      <c r="AA716" s="25"/>
      <c r="AB716" s="25"/>
      <c r="AC716" s="25"/>
      <c r="AD716" s="25"/>
      <c r="AE716" s="25"/>
      <c r="AF716" s="25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25"/>
      <c r="AU716" s="34"/>
      <c r="AV716" s="34"/>
      <c r="AW716" s="34"/>
    </row>
    <row r="717" ht="15.0" customHeight="1">
      <c r="A717" s="32" t="s">
        <v>742</v>
      </c>
      <c r="B717" s="25"/>
      <c r="C717" s="25"/>
      <c r="D717" s="25"/>
      <c r="E717" s="25"/>
      <c r="F717" s="25"/>
      <c r="G717" s="35">
        <v>0.0</v>
      </c>
      <c r="H717" s="35">
        <v>1.0</v>
      </c>
      <c r="I717" s="25"/>
      <c r="J717" s="25"/>
      <c r="K717" s="25"/>
      <c r="L717" s="35"/>
      <c r="M717" s="35"/>
      <c r="N717" s="25"/>
      <c r="O717" s="25"/>
      <c r="P717" s="25"/>
      <c r="Q717" s="35">
        <v>2.0</v>
      </c>
      <c r="R717" s="35">
        <v>2.0</v>
      </c>
      <c r="S717" s="35">
        <v>2.0</v>
      </c>
      <c r="T717" s="35">
        <v>2.0</v>
      </c>
      <c r="U717" s="34"/>
      <c r="V717" s="34"/>
      <c r="W717" s="34"/>
      <c r="X717" s="34"/>
      <c r="Y717" s="34"/>
      <c r="Z717" s="34"/>
      <c r="AA717" s="25"/>
      <c r="AB717" s="25"/>
      <c r="AC717" s="25"/>
      <c r="AD717" s="25"/>
      <c r="AE717" s="25"/>
      <c r="AF717" s="25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25"/>
      <c r="AU717" s="34"/>
      <c r="AV717" s="34"/>
      <c r="AW717" s="34"/>
    </row>
    <row r="718" ht="15.0" customHeight="1">
      <c r="A718" s="32" t="s">
        <v>743</v>
      </c>
      <c r="B718" s="25"/>
      <c r="C718" s="25"/>
      <c r="D718" s="25"/>
      <c r="E718" s="25"/>
      <c r="F718" s="25"/>
      <c r="G718" s="35">
        <v>0.0</v>
      </c>
      <c r="H718" s="35">
        <v>1.0</v>
      </c>
      <c r="I718" s="25"/>
      <c r="J718" s="25"/>
      <c r="K718" s="25"/>
      <c r="L718" s="35"/>
      <c r="M718" s="35"/>
      <c r="N718" s="25"/>
      <c r="O718" s="25"/>
      <c r="P718" s="25"/>
      <c r="Q718" s="35">
        <v>2.0</v>
      </c>
      <c r="R718" s="35">
        <v>2.0</v>
      </c>
      <c r="S718" s="35">
        <v>2.0</v>
      </c>
      <c r="T718" s="35">
        <v>2.0</v>
      </c>
      <c r="U718" s="34"/>
      <c r="V718" s="34"/>
      <c r="W718" s="34"/>
      <c r="X718" s="34"/>
      <c r="Y718" s="34"/>
      <c r="Z718" s="34"/>
      <c r="AA718" s="25"/>
      <c r="AB718" s="25"/>
      <c r="AC718" s="25"/>
      <c r="AD718" s="25"/>
      <c r="AE718" s="25"/>
      <c r="AF718" s="25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25"/>
      <c r="AU718" s="34"/>
      <c r="AV718" s="34"/>
      <c r="AW718" s="34"/>
    </row>
    <row r="719" ht="15.0" customHeight="1">
      <c r="A719" s="32" t="s">
        <v>744</v>
      </c>
      <c r="B719" s="25"/>
      <c r="C719" s="25"/>
      <c r="D719" s="25"/>
      <c r="E719" s="25"/>
      <c r="F719" s="25"/>
      <c r="G719" s="35">
        <v>0.0</v>
      </c>
      <c r="H719" s="35">
        <v>1.0</v>
      </c>
      <c r="I719" s="25"/>
      <c r="J719" s="25"/>
      <c r="K719" s="25"/>
      <c r="L719" s="35"/>
      <c r="M719" s="35"/>
      <c r="N719" s="25"/>
      <c r="O719" s="25"/>
      <c r="P719" s="25"/>
      <c r="Q719" s="35">
        <v>2.0</v>
      </c>
      <c r="R719" s="35">
        <v>2.0</v>
      </c>
      <c r="S719" s="35">
        <v>2.0</v>
      </c>
      <c r="T719" s="35">
        <v>2.0</v>
      </c>
      <c r="U719" s="34"/>
      <c r="V719" s="34"/>
      <c r="W719" s="34"/>
      <c r="X719" s="34"/>
      <c r="Y719" s="34"/>
      <c r="Z719" s="34"/>
      <c r="AA719" s="25"/>
      <c r="AB719" s="25"/>
      <c r="AC719" s="25"/>
      <c r="AD719" s="25"/>
      <c r="AE719" s="25"/>
      <c r="AF719" s="25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25"/>
      <c r="AU719" s="34"/>
      <c r="AV719" s="34"/>
      <c r="AW719" s="34"/>
    </row>
    <row r="720" ht="15.0" customHeight="1">
      <c r="A720" s="32" t="s">
        <v>745</v>
      </c>
      <c r="B720" s="25"/>
      <c r="C720" s="25"/>
      <c r="D720" s="25"/>
      <c r="E720" s="25"/>
      <c r="F720" s="25"/>
      <c r="G720" s="35">
        <v>0.0</v>
      </c>
      <c r="H720" s="35">
        <v>1.0</v>
      </c>
      <c r="I720" s="25"/>
      <c r="J720" s="25"/>
      <c r="K720" s="25"/>
      <c r="L720" s="35"/>
      <c r="M720" s="35"/>
      <c r="N720" s="25"/>
      <c r="O720" s="25"/>
      <c r="P720" s="25"/>
      <c r="Q720" s="35">
        <v>2.0</v>
      </c>
      <c r="R720" s="35">
        <v>2.0</v>
      </c>
      <c r="S720" s="35">
        <v>2.0</v>
      </c>
      <c r="T720" s="35">
        <v>2.0</v>
      </c>
      <c r="U720" s="34"/>
      <c r="V720" s="34"/>
      <c r="W720" s="34"/>
      <c r="X720" s="34"/>
      <c r="Y720" s="34"/>
      <c r="Z720" s="34"/>
      <c r="AA720" s="25"/>
      <c r="AB720" s="25"/>
      <c r="AC720" s="25"/>
      <c r="AD720" s="25"/>
      <c r="AE720" s="25"/>
      <c r="AF720" s="25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25"/>
      <c r="AU720" s="34"/>
      <c r="AV720" s="34"/>
      <c r="AW720" s="34"/>
    </row>
    <row r="721" ht="15.0" customHeight="1">
      <c r="A721" s="32" t="s">
        <v>746</v>
      </c>
      <c r="B721" s="25"/>
      <c r="C721" s="25"/>
      <c r="D721" s="25"/>
      <c r="E721" s="25"/>
      <c r="F721" s="25"/>
      <c r="G721" s="35">
        <v>0.0</v>
      </c>
      <c r="H721" s="35">
        <v>1.0</v>
      </c>
      <c r="I721" s="25"/>
      <c r="J721" s="25"/>
      <c r="K721" s="25"/>
      <c r="L721" s="35"/>
      <c r="M721" s="35"/>
      <c r="N721" s="25"/>
      <c r="O721" s="25"/>
      <c r="P721" s="25"/>
      <c r="Q721" s="35">
        <v>2.0</v>
      </c>
      <c r="R721" s="35">
        <v>2.0</v>
      </c>
      <c r="S721" s="35">
        <v>2.0</v>
      </c>
      <c r="T721" s="35">
        <v>2.0</v>
      </c>
      <c r="U721" s="34"/>
      <c r="V721" s="34"/>
      <c r="W721" s="34"/>
      <c r="X721" s="34"/>
      <c r="Y721" s="34"/>
      <c r="Z721" s="34"/>
      <c r="AA721" s="25"/>
      <c r="AB721" s="25"/>
      <c r="AC721" s="25"/>
      <c r="AD721" s="25"/>
      <c r="AE721" s="25"/>
      <c r="AF721" s="25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25"/>
      <c r="AU721" s="34"/>
      <c r="AV721" s="34"/>
      <c r="AW721" s="34"/>
    </row>
    <row r="722" ht="15.0" customHeight="1">
      <c r="A722" s="32" t="s">
        <v>747</v>
      </c>
      <c r="B722" s="25"/>
      <c r="C722" s="25"/>
      <c r="D722" s="25"/>
      <c r="E722" s="25"/>
      <c r="F722" s="25"/>
      <c r="G722" s="35">
        <v>0.0</v>
      </c>
      <c r="H722" s="35">
        <v>1.0</v>
      </c>
      <c r="I722" s="25"/>
      <c r="J722" s="25"/>
      <c r="K722" s="25"/>
      <c r="L722" s="35"/>
      <c r="M722" s="35"/>
      <c r="N722" s="25"/>
      <c r="O722" s="25"/>
      <c r="P722" s="25"/>
      <c r="Q722" s="35">
        <v>2.0</v>
      </c>
      <c r="R722" s="35">
        <v>2.0</v>
      </c>
      <c r="S722" s="35">
        <v>2.0</v>
      </c>
      <c r="T722" s="35">
        <v>2.0</v>
      </c>
      <c r="U722" s="34"/>
      <c r="V722" s="34"/>
      <c r="W722" s="34"/>
      <c r="X722" s="34"/>
      <c r="Y722" s="34"/>
      <c r="Z722" s="34"/>
      <c r="AA722" s="25"/>
      <c r="AB722" s="25"/>
      <c r="AC722" s="25"/>
      <c r="AD722" s="25"/>
      <c r="AE722" s="25"/>
      <c r="AF722" s="25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25"/>
      <c r="AU722" s="34"/>
      <c r="AV722" s="34"/>
      <c r="AW722" s="34"/>
    </row>
    <row r="723" ht="15.0" customHeight="1">
      <c r="A723" s="32" t="s">
        <v>748</v>
      </c>
      <c r="B723" s="25"/>
      <c r="C723" s="25"/>
      <c r="D723" s="25"/>
      <c r="E723" s="25"/>
      <c r="F723" s="25"/>
      <c r="G723" s="35">
        <v>0.0</v>
      </c>
      <c r="H723" s="35">
        <v>1.0</v>
      </c>
      <c r="I723" s="25"/>
      <c r="J723" s="25"/>
      <c r="K723" s="25"/>
      <c r="L723" s="35"/>
      <c r="M723" s="35"/>
      <c r="N723" s="25"/>
      <c r="O723" s="25"/>
      <c r="P723" s="25"/>
      <c r="Q723" s="35">
        <v>2.0</v>
      </c>
      <c r="R723" s="35">
        <v>2.0</v>
      </c>
      <c r="S723" s="35">
        <v>2.0</v>
      </c>
      <c r="T723" s="35">
        <v>2.0</v>
      </c>
      <c r="U723" s="34"/>
      <c r="V723" s="34"/>
      <c r="W723" s="34"/>
      <c r="X723" s="34"/>
      <c r="Y723" s="34"/>
      <c r="Z723" s="34"/>
      <c r="AA723" s="25"/>
      <c r="AB723" s="25"/>
      <c r="AC723" s="25"/>
      <c r="AD723" s="25"/>
      <c r="AE723" s="25"/>
      <c r="AF723" s="25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25"/>
      <c r="AU723" s="34"/>
      <c r="AV723" s="34"/>
      <c r="AW723" s="34"/>
    </row>
    <row r="724" ht="15.0" customHeight="1">
      <c r="A724" s="32" t="s">
        <v>749</v>
      </c>
      <c r="B724" s="25"/>
      <c r="C724" s="25"/>
      <c r="D724" s="25"/>
      <c r="E724" s="25"/>
      <c r="F724" s="25"/>
      <c r="G724" s="35">
        <v>0.0</v>
      </c>
      <c r="H724" s="35">
        <v>1.0</v>
      </c>
      <c r="I724" s="25"/>
      <c r="J724" s="25"/>
      <c r="K724" s="25"/>
      <c r="L724" s="35"/>
      <c r="M724" s="35"/>
      <c r="N724" s="25"/>
      <c r="O724" s="25"/>
      <c r="P724" s="25"/>
      <c r="Q724" s="35">
        <v>2.0</v>
      </c>
      <c r="R724" s="35">
        <v>2.0</v>
      </c>
      <c r="S724" s="35">
        <v>2.0</v>
      </c>
      <c r="T724" s="35">
        <v>2.0</v>
      </c>
      <c r="U724" s="34"/>
      <c r="V724" s="34"/>
      <c r="W724" s="34"/>
      <c r="X724" s="34"/>
      <c r="Y724" s="34"/>
      <c r="Z724" s="34"/>
      <c r="AA724" s="25"/>
      <c r="AB724" s="25"/>
      <c r="AC724" s="25"/>
      <c r="AD724" s="25"/>
      <c r="AE724" s="25"/>
      <c r="AF724" s="25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25"/>
      <c r="AU724" s="34"/>
      <c r="AV724" s="34"/>
      <c r="AW724" s="34"/>
    </row>
    <row r="725" ht="15.0" customHeight="1">
      <c r="A725" s="32" t="s">
        <v>750</v>
      </c>
      <c r="B725" s="25"/>
      <c r="C725" s="25"/>
      <c r="D725" s="25"/>
      <c r="E725" s="25"/>
      <c r="F725" s="25"/>
      <c r="G725" s="35">
        <v>0.0</v>
      </c>
      <c r="H725" s="35">
        <v>1.0</v>
      </c>
      <c r="I725" s="25"/>
      <c r="J725" s="25"/>
      <c r="K725" s="25"/>
      <c r="L725" s="35"/>
      <c r="M725" s="35"/>
      <c r="N725" s="25"/>
      <c r="O725" s="25"/>
      <c r="P725" s="25"/>
      <c r="Q725" s="35">
        <v>2.0</v>
      </c>
      <c r="R725" s="35">
        <v>2.0</v>
      </c>
      <c r="S725" s="35">
        <v>2.0</v>
      </c>
      <c r="T725" s="35">
        <v>2.0</v>
      </c>
      <c r="U725" s="34"/>
      <c r="V725" s="34"/>
      <c r="W725" s="34"/>
      <c r="X725" s="34"/>
      <c r="Y725" s="34"/>
      <c r="Z725" s="34"/>
      <c r="AA725" s="25"/>
      <c r="AB725" s="25"/>
      <c r="AC725" s="25"/>
      <c r="AD725" s="25"/>
      <c r="AE725" s="25"/>
      <c r="AF725" s="25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25"/>
      <c r="AU725" s="34"/>
      <c r="AV725" s="34"/>
      <c r="AW725" s="34"/>
    </row>
    <row r="726" ht="15.0" customHeight="1">
      <c r="A726" s="32" t="s">
        <v>751</v>
      </c>
      <c r="B726" s="25"/>
      <c r="C726" s="25"/>
      <c r="D726" s="25"/>
      <c r="E726" s="25"/>
      <c r="F726" s="25"/>
      <c r="G726" s="35">
        <v>0.0</v>
      </c>
      <c r="H726" s="35">
        <v>1.0</v>
      </c>
      <c r="I726" s="25"/>
      <c r="J726" s="25"/>
      <c r="K726" s="25"/>
      <c r="L726" s="35"/>
      <c r="M726" s="35"/>
      <c r="N726" s="25"/>
      <c r="O726" s="25"/>
      <c r="P726" s="25"/>
      <c r="Q726" s="35">
        <v>2.0</v>
      </c>
      <c r="R726" s="35">
        <v>2.0</v>
      </c>
      <c r="S726" s="35">
        <v>2.0</v>
      </c>
      <c r="T726" s="35">
        <v>2.0</v>
      </c>
      <c r="U726" s="34"/>
      <c r="V726" s="34"/>
      <c r="W726" s="34"/>
      <c r="X726" s="34"/>
      <c r="Y726" s="34"/>
      <c r="Z726" s="34"/>
      <c r="AA726" s="25"/>
      <c r="AB726" s="25"/>
      <c r="AC726" s="25"/>
      <c r="AD726" s="25"/>
      <c r="AE726" s="25"/>
      <c r="AF726" s="25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25"/>
      <c r="AU726" s="34"/>
      <c r="AV726" s="34"/>
      <c r="AW726" s="34"/>
    </row>
    <row r="727" ht="15.0" customHeight="1">
      <c r="A727" s="32" t="s">
        <v>752</v>
      </c>
      <c r="B727" s="25"/>
      <c r="C727" s="25"/>
      <c r="D727" s="25"/>
      <c r="E727" s="25"/>
      <c r="F727" s="25"/>
      <c r="G727" s="35">
        <v>0.0</v>
      </c>
      <c r="H727" s="35">
        <v>1.0</v>
      </c>
      <c r="I727" s="25"/>
      <c r="J727" s="25"/>
      <c r="K727" s="25"/>
      <c r="L727" s="35"/>
      <c r="M727" s="35"/>
      <c r="N727" s="25"/>
      <c r="O727" s="25"/>
      <c r="P727" s="25"/>
      <c r="Q727" s="35">
        <v>2.0</v>
      </c>
      <c r="R727" s="35">
        <v>2.0</v>
      </c>
      <c r="S727" s="35">
        <v>2.0</v>
      </c>
      <c r="T727" s="35">
        <v>2.0</v>
      </c>
      <c r="U727" s="34"/>
      <c r="V727" s="34"/>
      <c r="W727" s="34"/>
      <c r="X727" s="34"/>
      <c r="Y727" s="34"/>
      <c r="Z727" s="34"/>
      <c r="AA727" s="25"/>
      <c r="AB727" s="25"/>
      <c r="AC727" s="25"/>
      <c r="AD727" s="25"/>
      <c r="AE727" s="25"/>
      <c r="AF727" s="25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25"/>
      <c r="AU727" s="34"/>
      <c r="AV727" s="34"/>
      <c r="AW727" s="34"/>
    </row>
    <row r="728" ht="15.0" customHeight="1">
      <c r="A728" s="32" t="s">
        <v>753</v>
      </c>
      <c r="B728" s="25"/>
      <c r="C728" s="25"/>
      <c r="D728" s="25"/>
      <c r="E728" s="25"/>
      <c r="F728" s="25"/>
      <c r="G728" s="35">
        <v>0.0</v>
      </c>
      <c r="H728" s="35">
        <v>1.0</v>
      </c>
      <c r="I728" s="25"/>
      <c r="J728" s="25"/>
      <c r="K728" s="25"/>
      <c r="L728" s="35"/>
      <c r="M728" s="35"/>
      <c r="N728" s="25"/>
      <c r="O728" s="25"/>
      <c r="P728" s="25"/>
      <c r="Q728" s="35">
        <v>2.0</v>
      </c>
      <c r="R728" s="35">
        <v>2.0</v>
      </c>
      <c r="S728" s="35">
        <v>2.0</v>
      </c>
      <c r="T728" s="35">
        <v>2.0</v>
      </c>
      <c r="U728" s="34"/>
      <c r="V728" s="34"/>
      <c r="W728" s="34"/>
      <c r="X728" s="34"/>
      <c r="Y728" s="34"/>
      <c r="Z728" s="34"/>
      <c r="AA728" s="25"/>
      <c r="AB728" s="25"/>
      <c r="AC728" s="25"/>
      <c r="AD728" s="25"/>
      <c r="AE728" s="25"/>
      <c r="AF728" s="25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25"/>
      <c r="AU728" s="34"/>
      <c r="AV728" s="34"/>
      <c r="AW728" s="34"/>
    </row>
    <row r="729" ht="15.0" customHeight="1">
      <c r="A729" s="32" t="s">
        <v>754</v>
      </c>
      <c r="B729" s="25"/>
      <c r="C729" s="25"/>
      <c r="D729" s="25"/>
      <c r="E729" s="25"/>
      <c r="F729" s="25"/>
      <c r="G729" s="35">
        <v>0.0</v>
      </c>
      <c r="H729" s="35">
        <v>1.0</v>
      </c>
      <c r="I729" s="25"/>
      <c r="J729" s="25"/>
      <c r="K729" s="25"/>
      <c r="L729" s="35"/>
      <c r="M729" s="35"/>
      <c r="N729" s="25"/>
      <c r="O729" s="25"/>
      <c r="P729" s="25"/>
      <c r="Q729" s="35">
        <v>2.0</v>
      </c>
      <c r="R729" s="35">
        <v>2.0</v>
      </c>
      <c r="S729" s="35">
        <v>2.0</v>
      </c>
      <c r="T729" s="35">
        <v>2.0</v>
      </c>
      <c r="U729" s="34"/>
      <c r="V729" s="34"/>
      <c r="W729" s="34"/>
      <c r="X729" s="34"/>
      <c r="Y729" s="34"/>
      <c r="Z729" s="34"/>
      <c r="AA729" s="25"/>
      <c r="AB729" s="25"/>
      <c r="AC729" s="25"/>
      <c r="AD729" s="25"/>
      <c r="AE729" s="25"/>
      <c r="AF729" s="25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25"/>
      <c r="AU729" s="34"/>
      <c r="AV729" s="34"/>
      <c r="AW729" s="34"/>
    </row>
    <row r="730" ht="15.0" customHeight="1">
      <c r="A730" s="32" t="s">
        <v>755</v>
      </c>
      <c r="B730" s="25"/>
      <c r="C730" s="25"/>
      <c r="D730" s="25"/>
      <c r="E730" s="25"/>
      <c r="F730" s="25"/>
      <c r="G730" s="35">
        <v>0.0</v>
      </c>
      <c r="H730" s="35">
        <v>1.0</v>
      </c>
      <c r="I730" s="25"/>
      <c r="J730" s="25"/>
      <c r="K730" s="25"/>
      <c r="L730" s="35"/>
      <c r="M730" s="35"/>
      <c r="N730" s="25"/>
      <c r="O730" s="25"/>
      <c r="P730" s="25"/>
      <c r="Q730" s="35">
        <v>2.0</v>
      </c>
      <c r="R730" s="35">
        <v>2.0</v>
      </c>
      <c r="S730" s="35">
        <v>2.0</v>
      </c>
      <c r="T730" s="35">
        <v>2.0</v>
      </c>
      <c r="U730" s="34"/>
      <c r="V730" s="34"/>
      <c r="W730" s="34"/>
      <c r="X730" s="34"/>
      <c r="Y730" s="34"/>
      <c r="Z730" s="34"/>
      <c r="AA730" s="25"/>
      <c r="AB730" s="25"/>
      <c r="AC730" s="25"/>
      <c r="AD730" s="25"/>
      <c r="AE730" s="25"/>
      <c r="AF730" s="25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25"/>
      <c r="AU730" s="34"/>
      <c r="AV730" s="34"/>
      <c r="AW730" s="34"/>
    </row>
    <row r="731" ht="15.0" customHeight="1">
      <c r="A731" s="32" t="s">
        <v>756</v>
      </c>
      <c r="B731" s="25"/>
      <c r="C731" s="25"/>
      <c r="D731" s="25"/>
      <c r="E731" s="25"/>
      <c r="F731" s="25"/>
      <c r="G731" s="35">
        <v>0.0</v>
      </c>
      <c r="H731" s="35">
        <v>1.0</v>
      </c>
      <c r="I731" s="25"/>
      <c r="J731" s="25"/>
      <c r="K731" s="25"/>
      <c r="L731" s="35"/>
      <c r="M731" s="35"/>
      <c r="N731" s="25"/>
      <c r="O731" s="25"/>
      <c r="P731" s="25"/>
      <c r="Q731" s="35">
        <v>2.0</v>
      </c>
      <c r="R731" s="35">
        <v>2.0</v>
      </c>
      <c r="S731" s="35">
        <v>2.0</v>
      </c>
      <c r="T731" s="35">
        <v>2.0</v>
      </c>
      <c r="U731" s="34"/>
      <c r="V731" s="34"/>
      <c r="W731" s="34"/>
      <c r="X731" s="34"/>
      <c r="Y731" s="34"/>
      <c r="Z731" s="34"/>
      <c r="AA731" s="25"/>
      <c r="AB731" s="25"/>
      <c r="AC731" s="25"/>
      <c r="AD731" s="25"/>
      <c r="AE731" s="25"/>
      <c r="AF731" s="25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25"/>
      <c r="AU731" s="34"/>
      <c r="AV731" s="34"/>
      <c r="AW731" s="34"/>
    </row>
    <row r="732" ht="15.0" customHeight="1">
      <c r="A732" s="32" t="s">
        <v>757</v>
      </c>
      <c r="B732" s="25"/>
      <c r="C732" s="25"/>
      <c r="D732" s="25"/>
      <c r="E732" s="25"/>
      <c r="F732" s="25"/>
      <c r="G732" s="35">
        <v>0.0</v>
      </c>
      <c r="H732" s="35">
        <v>1.0</v>
      </c>
      <c r="I732" s="25"/>
      <c r="J732" s="25"/>
      <c r="K732" s="25"/>
      <c r="L732" s="35"/>
      <c r="M732" s="35"/>
      <c r="N732" s="25"/>
      <c r="O732" s="25"/>
      <c r="P732" s="25"/>
      <c r="Q732" s="35">
        <v>2.0</v>
      </c>
      <c r="R732" s="35">
        <v>2.0</v>
      </c>
      <c r="S732" s="35">
        <v>2.0</v>
      </c>
      <c r="T732" s="35">
        <v>2.0</v>
      </c>
      <c r="U732" s="34"/>
      <c r="V732" s="34"/>
      <c r="W732" s="34"/>
      <c r="X732" s="34"/>
      <c r="Y732" s="34"/>
      <c r="Z732" s="34"/>
      <c r="AA732" s="25"/>
      <c r="AB732" s="25"/>
      <c r="AC732" s="25"/>
      <c r="AD732" s="25"/>
      <c r="AE732" s="25"/>
      <c r="AF732" s="25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25"/>
      <c r="AU732" s="34"/>
      <c r="AV732" s="34"/>
      <c r="AW732" s="34"/>
    </row>
    <row r="733" ht="15.0" customHeight="1">
      <c r="A733" s="32" t="s">
        <v>758</v>
      </c>
      <c r="B733" s="25"/>
      <c r="C733" s="25"/>
      <c r="D733" s="25"/>
      <c r="E733" s="25"/>
      <c r="F733" s="25"/>
      <c r="G733" s="35">
        <v>0.0</v>
      </c>
      <c r="H733" s="35">
        <v>1.0</v>
      </c>
      <c r="I733" s="25"/>
      <c r="J733" s="25"/>
      <c r="K733" s="25"/>
      <c r="L733" s="35"/>
      <c r="M733" s="35"/>
      <c r="N733" s="25"/>
      <c r="O733" s="25"/>
      <c r="P733" s="25"/>
      <c r="Q733" s="35">
        <v>2.0</v>
      </c>
      <c r="R733" s="35">
        <v>2.0</v>
      </c>
      <c r="S733" s="35">
        <v>2.0</v>
      </c>
      <c r="T733" s="35">
        <v>2.0</v>
      </c>
      <c r="U733" s="34"/>
      <c r="V733" s="34"/>
      <c r="W733" s="34"/>
      <c r="X733" s="34"/>
      <c r="Y733" s="34"/>
      <c r="Z733" s="34"/>
      <c r="AA733" s="25"/>
      <c r="AB733" s="25"/>
      <c r="AC733" s="25"/>
      <c r="AD733" s="25"/>
      <c r="AE733" s="25"/>
      <c r="AF733" s="25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25"/>
      <c r="AU733" s="34"/>
      <c r="AV733" s="34"/>
      <c r="AW733" s="34"/>
    </row>
    <row r="734" ht="15.0" customHeight="1">
      <c r="A734" s="32" t="s">
        <v>759</v>
      </c>
      <c r="B734" s="25"/>
      <c r="C734" s="25"/>
      <c r="D734" s="25"/>
      <c r="E734" s="25"/>
      <c r="F734" s="25"/>
      <c r="G734" s="35">
        <v>0.0</v>
      </c>
      <c r="H734" s="35">
        <v>1.0</v>
      </c>
      <c r="I734" s="25"/>
      <c r="J734" s="25"/>
      <c r="K734" s="25"/>
      <c r="L734" s="35"/>
      <c r="M734" s="35"/>
      <c r="N734" s="25"/>
      <c r="O734" s="25"/>
      <c r="P734" s="25"/>
      <c r="Q734" s="35">
        <v>2.0</v>
      </c>
      <c r="R734" s="35">
        <v>2.0</v>
      </c>
      <c r="S734" s="35">
        <v>2.0</v>
      </c>
      <c r="T734" s="35">
        <v>2.0</v>
      </c>
      <c r="U734" s="34"/>
      <c r="V734" s="34"/>
      <c r="W734" s="34"/>
      <c r="X734" s="34"/>
      <c r="Y734" s="34"/>
      <c r="Z734" s="34"/>
      <c r="AA734" s="25"/>
      <c r="AB734" s="25"/>
      <c r="AC734" s="25"/>
      <c r="AD734" s="25"/>
      <c r="AE734" s="25"/>
      <c r="AF734" s="25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25"/>
      <c r="AU734" s="34"/>
      <c r="AV734" s="34"/>
      <c r="AW734" s="34"/>
    </row>
    <row r="735" ht="15.0" customHeight="1">
      <c r="A735" s="32" t="s">
        <v>760</v>
      </c>
      <c r="B735" s="25"/>
      <c r="C735" s="25"/>
      <c r="D735" s="25"/>
      <c r="E735" s="25"/>
      <c r="F735" s="25"/>
      <c r="G735" s="35">
        <v>0.0</v>
      </c>
      <c r="H735" s="35">
        <v>1.0</v>
      </c>
      <c r="I735" s="25"/>
      <c r="J735" s="25"/>
      <c r="K735" s="25"/>
      <c r="L735" s="35"/>
      <c r="M735" s="35"/>
      <c r="N735" s="25"/>
      <c r="O735" s="25"/>
      <c r="P735" s="25"/>
      <c r="Q735" s="35">
        <v>2.0</v>
      </c>
      <c r="R735" s="35">
        <v>2.0</v>
      </c>
      <c r="S735" s="35">
        <v>2.0</v>
      </c>
      <c r="T735" s="35">
        <v>2.0</v>
      </c>
      <c r="U735" s="34"/>
      <c r="V735" s="34"/>
      <c r="W735" s="34"/>
      <c r="X735" s="34"/>
      <c r="Y735" s="34"/>
      <c r="Z735" s="34"/>
      <c r="AA735" s="25"/>
      <c r="AB735" s="25"/>
      <c r="AC735" s="25"/>
      <c r="AD735" s="25"/>
      <c r="AE735" s="25"/>
      <c r="AF735" s="25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25"/>
      <c r="AU735" s="34"/>
      <c r="AV735" s="34"/>
      <c r="AW735" s="34"/>
    </row>
    <row r="736" ht="15.0" customHeight="1">
      <c r="A736" s="32" t="s">
        <v>761</v>
      </c>
      <c r="B736" s="25"/>
      <c r="C736" s="25"/>
      <c r="D736" s="25"/>
      <c r="E736" s="25"/>
      <c r="F736" s="25"/>
      <c r="G736" s="35">
        <v>0.0</v>
      </c>
      <c r="H736" s="35">
        <v>1.0</v>
      </c>
      <c r="I736" s="25"/>
      <c r="J736" s="25"/>
      <c r="K736" s="25"/>
      <c r="L736" s="35"/>
      <c r="M736" s="35"/>
      <c r="N736" s="25"/>
      <c r="O736" s="25"/>
      <c r="P736" s="25"/>
      <c r="Q736" s="35">
        <v>2.0</v>
      </c>
      <c r="R736" s="35">
        <v>2.0</v>
      </c>
      <c r="S736" s="35">
        <v>2.0</v>
      </c>
      <c r="T736" s="35">
        <v>2.0</v>
      </c>
      <c r="U736" s="34"/>
      <c r="V736" s="34"/>
      <c r="W736" s="34"/>
      <c r="X736" s="34"/>
      <c r="Y736" s="34"/>
      <c r="Z736" s="34"/>
      <c r="AA736" s="25"/>
      <c r="AB736" s="25"/>
      <c r="AC736" s="25"/>
      <c r="AD736" s="25"/>
      <c r="AE736" s="25"/>
      <c r="AF736" s="25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25"/>
      <c r="AU736" s="34"/>
      <c r="AV736" s="34"/>
      <c r="AW736" s="34"/>
    </row>
    <row r="737" ht="15.0" customHeight="1">
      <c r="A737" s="32" t="s">
        <v>762</v>
      </c>
      <c r="B737" s="25"/>
      <c r="C737" s="25"/>
      <c r="D737" s="25"/>
      <c r="E737" s="25"/>
      <c r="F737" s="25"/>
      <c r="G737" s="35">
        <v>0.0</v>
      </c>
      <c r="H737" s="35">
        <v>1.0</v>
      </c>
      <c r="I737" s="25"/>
      <c r="J737" s="25"/>
      <c r="K737" s="25"/>
      <c r="L737" s="35"/>
      <c r="M737" s="35"/>
      <c r="N737" s="25"/>
      <c r="O737" s="25"/>
      <c r="P737" s="25"/>
      <c r="Q737" s="35">
        <v>2.0</v>
      </c>
      <c r="R737" s="35">
        <v>2.0</v>
      </c>
      <c r="S737" s="35">
        <v>2.0</v>
      </c>
      <c r="T737" s="35">
        <v>2.0</v>
      </c>
      <c r="U737" s="34"/>
      <c r="V737" s="34"/>
      <c r="W737" s="34"/>
      <c r="X737" s="34"/>
      <c r="Y737" s="34"/>
      <c r="Z737" s="34"/>
      <c r="AA737" s="25"/>
      <c r="AB737" s="25"/>
      <c r="AC737" s="25"/>
      <c r="AD737" s="25"/>
      <c r="AE737" s="25"/>
      <c r="AF737" s="25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25"/>
      <c r="AU737" s="34"/>
      <c r="AV737" s="34"/>
      <c r="AW737" s="34"/>
    </row>
    <row r="738" ht="15.0" customHeight="1">
      <c r="A738" s="32" t="s">
        <v>763</v>
      </c>
      <c r="B738" s="25"/>
      <c r="C738" s="25"/>
      <c r="D738" s="25"/>
      <c r="E738" s="25"/>
      <c r="F738" s="25"/>
      <c r="G738" s="35">
        <v>0.0</v>
      </c>
      <c r="H738" s="35">
        <v>1.0</v>
      </c>
      <c r="I738" s="25"/>
      <c r="J738" s="25"/>
      <c r="K738" s="25"/>
      <c r="L738" s="35"/>
      <c r="M738" s="35"/>
      <c r="N738" s="25"/>
      <c r="O738" s="25"/>
      <c r="P738" s="25"/>
      <c r="Q738" s="35">
        <v>2.0</v>
      </c>
      <c r="R738" s="35">
        <v>2.0</v>
      </c>
      <c r="S738" s="35">
        <v>2.0</v>
      </c>
      <c r="T738" s="35">
        <v>2.0</v>
      </c>
      <c r="U738" s="34"/>
      <c r="V738" s="34"/>
      <c r="W738" s="34"/>
      <c r="X738" s="34"/>
      <c r="Y738" s="34"/>
      <c r="Z738" s="34"/>
      <c r="AA738" s="25"/>
      <c r="AB738" s="25"/>
      <c r="AC738" s="25"/>
      <c r="AD738" s="25"/>
      <c r="AE738" s="25"/>
      <c r="AF738" s="25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25"/>
      <c r="AU738" s="34"/>
      <c r="AV738" s="34"/>
      <c r="AW738" s="34"/>
    </row>
    <row r="739" ht="15.0" customHeight="1">
      <c r="A739" s="32" t="s">
        <v>764</v>
      </c>
      <c r="B739" s="25"/>
      <c r="C739" s="25"/>
      <c r="D739" s="25"/>
      <c r="E739" s="25"/>
      <c r="F739" s="25"/>
      <c r="G739" s="35">
        <v>0.0</v>
      </c>
      <c r="H739" s="35">
        <v>1.0</v>
      </c>
      <c r="I739" s="25"/>
      <c r="J739" s="25"/>
      <c r="K739" s="25"/>
      <c r="L739" s="35"/>
      <c r="M739" s="35"/>
      <c r="N739" s="25"/>
      <c r="O739" s="25"/>
      <c r="P739" s="25"/>
      <c r="Q739" s="35">
        <v>2.0</v>
      </c>
      <c r="R739" s="35">
        <v>2.0</v>
      </c>
      <c r="S739" s="35">
        <v>2.0</v>
      </c>
      <c r="T739" s="35">
        <v>2.0</v>
      </c>
      <c r="U739" s="34"/>
      <c r="V739" s="34"/>
      <c r="W739" s="34"/>
      <c r="X739" s="34"/>
      <c r="Y739" s="34"/>
      <c r="Z739" s="34"/>
      <c r="AA739" s="25"/>
      <c r="AB739" s="25"/>
      <c r="AC739" s="25"/>
      <c r="AD739" s="25"/>
      <c r="AE739" s="25"/>
      <c r="AF739" s="25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25"/>
      <c r="AU739" s="34"/>
      <c r="AV739" s="34"/>
      <c r="AW739" s="34"/>
    </row>
    <row r="740" ht="15.0" customHeight="1">
      <c r="A740" s="32" t="s">
        <v>765</v>
      </c>
      <c r="B740" s="25"/>
      <c r="C740" s="25"/>
      <c r="D740" s="25"/>
      <c r="E740" s="25"/>
      <c r="F740" s="25"/>
      <c r="G740" s="35">
        <v>0.0</v>
      </c>
      <c r="H740" s="35">
        <v>1.0</v>
      </c>
      <c r="I740" s="25"/>
      <c r="J740" s="25"/>
      <c r="K740" s="25"/>
      <c r="L740" s="35"/>
      <c r="M740" s="35"/>
      <c r="N740" s="25"/>
      <c r="O740" s="25"/>
      <c r="P740" s="25"/>
      <c r="Q740" s="35">
        <v>2.0</v>
      </c>
      <c r="R740" s="35">
        <v>2.0</v>
      </c>
      <c r="S740" s="35">
        <v>2.0</v>
      </c>
      <c r="T740" s="35">
        <v>2.0</v>
      </c>
      <c r="U740" s="34"/>
      <c r="V740" s="34"/>
      <c r="W740" s="34"/>
      <c r="X740" s="34"/>
      <c r="Y740" s="34"/>
      <c r="Z740" s="34"/>
      <c r="AA740" s="25"/>
      <c r="AB740" s="25"/>
      <c r="AC740" s="25"/>
      <c r="AD740" s="25"/>
      <c r="AE740" s="25"/>
      <c r="AF740" s="25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25"/>
      <c r="AU740" s="34"/>
      <c r="AV740" s="34"/>
      <c r="AW740" s="34"/>
    </row>
    <row r="741" ht="15.0" customHeight="1">
      <c r="A741" s="32" t="s">
        <v>766</v>
      </c>
      <c r="B741" s="25"/>
      <c r="C741" s="25"/>
      <c r="D741" s="25"/>
      <c r="E741" s="25"/>
      <c r="F741" s="25"/>
      <c r="G741" s="35">
        <v>0.0</v>
      </c>
      <c r="H741" s="35">
        <v>1.0</v>
      </c>
      <c r="I741" s="25"/>
      <c r="J741" s="25"/>
      <c r="K741" s="25"/>
      <c r="L741" s="35"/>
      <c r="M741" s="35"/>
      <c r="N741" s="25"/>
      <c r="O741" s="25"/>
      <c r="P741" s="25"/>
      <c r="Q741" s="35">
        <v>2.0</v>
      </c>
      <c r="R741" s="35">
        <v>2.0</v>
      </c>
      <c r="S741" s="35">
        <v>2.0</v>
      </c>
      <c r="T741" s="35">
        <v>2.0</v>
      </c>
      <c r="U741" s="34"/>
      <c r="V741" s="34"/>
      <c r="W741" s="34"/>
      <c r="X741" s="34"/>
      <c r="Y741" s="34"/>
      <c r="Z741" s="34"/>
      <c r="AA741" s="25"/>
      <c r="AB741" s="25"/>
      <c r="AC741" s="25"/>
      <c r="AD741" s="25"/>
      <c r="AE741" s="25"/>
      <c r="AF741" s="25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25"/>
      <c r="AU741" s="34"/>
      <c r="AV741" s="34"/>
      <c r="AW741" s="34"/>
    </row>
    <row r="742" ht="15.0" customHeight="1">
      <c r="A742" s="32" t="s">
        <v>767</v>
      </c>
      <c r="B742" s="25"/>
      <c r="C742" s="25"/>
      <c r="D742" s="25"/>
      <c r="E742" s="25"/>
      <c r="F742" s="25"/>
      <c r="G742" s="35">
        <v>0.0</v>
      </c>
      <c r="H742" s="35">
        <v>1.0</v>
      </c>
      <c r="I742" s="25"/>
      <c r="J742" s="25"/>
      <c r="K742" s="25"/>
      <c r="L742" s="35"/>
      <c r="M742" s="35"/>
      <c r="N742" s="25"/>
      <c r="O742" s="25"/>
      <c r="P742" s="25"/>
      <c r="Q742" s="35">
        <v>2.0</v>
      </c>
      <c r="R742" s="35">
        <v>2.0</v>
      </c>
      <c r="S742" s="35">
        <v>2.0</v>
      </c>
      <c r="T742" s="35">
        <v>2.0</v>
      </c>
      <c r="U742" s="34"/>
      <c r="V742" s="34"/>
      <c r="W742" s="34"/>
      <c r="X742" s="34"/>
      <c r="Y742" s="34"/>
      <c r="Z742" s="34"/>
      <c r="AA742" s="25"/>
      <c r="AB742" s="25"/>
      <c r="AC742" s="25"/>
      <c r="AD742" s="25"/>
      <c r="AE742" s="25"/>
      <c r="AF742" s="25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25"/>
      <c r="AU742" s="34"/>
      <c r="AV742" s="34"/>
      <c r="AW742" s="34"/>
    </row>
    <row r="743" ht="15.0" customHeight="1">
      <c r="A743" s="32" t="s">
        <v>768</v>
      </c>
      <c r="B743" s="25"/>
      <c r="C743" s="25"/>
      <c r="D743" s="25"/>
      <c r="E743" s="25"/>
      <c r="F743" s="25"/>
      <c r="G743" s="35">
        <v>0.0</v>
      </c>
      <c r="H743" s="35">
        <v>1.0</v>
      </c>
      <c r="I743" s="25"/>
      <c r="J743" s="25"/>
      <c r="K743" s="25"/>
      <c r="L743" s="35"/>
      <c r="M743" s="35"/>
      <c r="N743" s="25"/>
      <c r="O743" s="25"/>
      <c r="P743" s="25"/>
      <c r="Q743" s="35">
        <v>2.0</v>
      </c>
      <c r="R743" s="35">
        <v>2.0</v>
      </c>
      <c r="S743" s="35">
        <v>2.0</v>
      </c>
      <c r="T743" s="35">
        <v>2.0</v>
      </c>
      <c r="U743" s="34"/>
      <c r="V743" s="34"/>
      <c r="W743" s="34"/>
      <c r="X743" s="34"/>
      <c r="Y743" s="34"/>
      <c r="Z743" s="34"/>
      <c r="AA743" s="25"/>
      <c r="AB743" s="25"/>
      <c r="AC743" s="25"/>
      <c r="AD743" s="25"/>
      <c r="AE743" s="25"/>
      <c r="AF743" s="25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25"/>
      <c r="AU743" s="34"/>
      <c r="AV743" s="34"/>
      <c r="AW743" s="34"/>
    </row>
    <row r="744" ht="15.0" customHeight="1">
      <c r="A744" s="32" t="s">
        <v>769</v>
      </c>
      <c r="B744" s="25"/>
      <c r="C744" s="25"/>
      <c r="D744" s="25"/>
      <c r="E744" s="25"/>
      <c r="F744" s="25"/>
      <c r="G744" s="35">
        <v>0.0</v>
      </c>
      <c r="H744" s="35">
        <v>1.0</v>
      </c>
      <c r="I744" s="25"/>
      <c r="J744" s="25"/>
      <c r="K744" s="25"/>
      <c r="L744" s="35"/>
      <c r="M744" s="35"/>
      <c r="N744" s="25"/>
      <c r="O744" s="25"/>
      <c r="P744" s="25"/>
      <c r="Q744" s="35">
        <v>2.0</v>
      </c>
      <c r="R744" s="35">
        <v>2.0</v>
      </c>
      <c r="S744" s="35">
        <v>2.0</v>
      </c>
      <c r="T744" s="35">
        <v>2.0</v>
      </c>
      <c r="U744" s="34"/>
      <c r="V744" s="34"/>
      <c r="W744" s="34"/>
      <c r="X744" s="34"/>
      <c r="Y744" s="34"/>
      <c r="Z744" s="34"/>
      <c r="AA744" s="25"/>
      <c r="AB744" s="25"/>
      <c r="AC744" s="25"/>
      <c r="AD744" s="25"/>
      <c r="AE744" s="25"/>
      <c r="AF744" s="25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25"/>
      <c r="AU744" s="34"/>
      <c r="AV744" s="34"/>
      <c r="AW744" s="34"/>
    </row>
    <row r="745" ht="15.0" customHeight="1">
      <c r="A745" s="32" t="s">
        <v>770</v>
      </c>
      <c r="B745" s="25"/>
      <c r="C745" s="25"/>
      <c r="D745" s="25"/>
      <c r="E745" s="25"/>
      <c r="F745" s="25"/>
      <c r="G745" s="35">
        <v>0.0</v>
      </c>
      <c r="H745" s="35">
        <v>1.0</v>
      </c>
      <c r="I745" s="25"/>
      <c r="J745" s="25"/>
      <c r="K745" s="25"/>
      <c r="L745" s="35"/>
      <c r="M745" s="35"/>
      <c r="N745" s="25"/>
      <c r="O745" s="25"/>
      <c r="P745" s="25"/>
      <c r="Q745" s="35">
        <v>2.0</v>
      </c>
      <c r="R745" s="35">
        <v>2.0</v>
      </c>
      <c r="S745" s="35">
        <v>2.0</v>
      </c>
      <c r="T745" s="35">
        <v>2.0</v>
      </c>
      <c r="U745" s="34"/>
      <c r="V745" s="34"/>
      <c r="W745" s="34"/>
      <c r="X745" s="34"/>
      <c r="Y745" s="34"/>
      <c r="Z745" s="34"/>
      <c r="AA745" s="25"/>
      <c r="AB745" s="25"/>
      <c r="AC745" s="25"/>
      <c r="AD745" s="25"/>
      <c r="AE745" s="25"/>
      <c r="AF745" s="25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25"/>
      <c r="AU745" s="34"/>
      <c r="AV745" s="34"/>
      <c r="AW745" s="34"/>
    </row>
    <row r="746" ht="15.0" customHeight="1">
      <c r="A746" s="32" t="s">
        <v>771</v>
      </c>
      <c r="B746" s="25"/>
      <c r="C746" s="25"/>
      <c r="D746" s="25"/>
      <c r="E746" s="25"/>
      <c r="F746" s="25"/>
      <c r="G746" s="35">
        <v>0.0</v>
      </c>
      <c r="H746" s="35">
        <v>1.0</v>
      </c>
      <c r="I746" s="25"/>
      <c r="J746" s="25"/>
      <c r="K746" s="25"/>
      <c r="L746" s="35"/>
      <c r="M746" s="35"/>
      <c r="N746" s="25"/>
      <c r="O746" s="25"/>
      <c r="P746" s="25"/>
      <c r="Q746" s="35">
        <v>2.0</v>
      </c>
      <c r="R746" s="35">
        <v>2.0</v>
      </c>
      <c r="S746" s="35">
        <v>2.0</v>
      </c>
      <c r="T746" s="35">
        <v>2.0</v>
      </c>
      <c r="U746" s="34"/>
      <c r="V746" s="34"/>
      <c r="W746" s="34"/>
      <c r="X746" s="34"/>
      <c r="Y746" s="34"/>
      <c r="Z746" s="34"/>
      <c r="AA746" s="25"/>
      <c r="AB746" s="25"/>
      <c r="AC746" s="25"/>
      <c r="AD746" s="25"/>
      <c r="AE746" s="25"/>
      <c r="AF746" s="25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25"/>
      <c r="AU746" s="34"/>
      <c r="AV746" s="34"/>
      <c r="AW746" s="34"/>
    </row>
    <row r="747" ht="15.0" customHeight="1">
      <c r="A747" s="32" t="s">
        <v>772</v>
      </c>
      <c r="B747" s="25"/>
      <c r="C747" s="25"/>
      <c r="D747" s="25"/>
      <c r="E747" s="25"/>
      <c r="F747" s="25"/>
      <c r="G747" s="35">
        <v>0.0</v>
      </c>
      <c r="H747" s="35">
        <v>1.0</v>
      </c>
      <c r="I747" s="25"/>
      <c r="J747" s="25"/>
      <c r="K747" s="25"/>
      <c r="L747" s="35"/>
      <c r="M747" s="35"/>
      <c r="N747" s="25"/>
      <c r="O747" s="25"/>
      <c r="P747" s="25"/>
      <c r="Q747" s="35">
        <v>2.0</v>
      </c>
      <c r="R747" s="35">
        <v>2.0</v>
      </c>
      <c r="S747" s="35">
        <v>2.0</v>
      </c>
      <c r="T747" s="35">
        <v>2.0</v>
      </c>
      <c r="U747" s="34"/>
      <c r="V747" s="34"/>
      <c r="W747" s="34"/>
      <c r="X747" s="34"/>
      <c r="Y747" s="34"/>
      <c r="Z747" s="34"/>
      <c r="AA747" s="25"/>
      <c r="AB747" s="25"/>
      <c r="AC747" s="25"/>
      <c r="AD747" s="25"/>
      <c r="AE747" s="25"/>
      <c r="AF747" s="25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25"/>
      <c r="AU747" s="34"/>
      <c r="AV747" s="34"/>
      <c r="AW747" s="34"/>
    </row>
    <row r="748" ht="15.0" customHeight="1">
      <c r="A748" s="32" t="s">
        <v>773</v>
      </c>
      <c r="B748" s="25"/>
      <c r="C748" s="25"/>
      <c r="D748" s="25"/>
      <c r="E748" s="25"/>
      <c r="F748" s="25"/>
      <c r="G748" s="35">
        <v>0.0</v>
      </c>
      <c r="H748" s="35">
        <v>1.0</v>
      </c>
      <c r="I748" s="25"/>
      <c r="J748" s="25"/>
      <c r="K748" s="25"/>
      <c r="L748" s="35"/>
      <c r="M748" s="35"/>
      <c r="N748" s="25"/>
      <c r="O748" s="25"/>
      <c r="P748" s="25"/>
      <c r="Q748" s="35">
        <v>2.0</v>
      </c>
      <c r="R748" s="35">
        <v>2.0</v>
      </c>
      <c r="S748" s="35">
        <v>2.0</v>
      </c>
      <c r="T748" s="35">
        <v>2.0</v>
      </c>
      <c r="U748" s="34"/>
      <c r="V748" s="34"/>
      <c r="W748" s="34"/>
      <c r="X748" s="34"/>
      <c r="Y748" s="34"/>
      <c r="Z748" s="34"/>
      <c r="AA748" s="25"/>
      <c r="AB748" s="25"/>
      <c r="AC748" s="25"/>
      <c r="AD748" s="25"/>
      <c r="AE748" s="25"/>
      <c r="AF748" s="25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25"/>
      <c r="AU748" s="34"/>
      <c r="AV748" s="34"/>
      <c r="AW748" s="34"/>
    </row>
    <row r="749" ht="15.0" customHeight="1">
      <c r="A749" s="32" t="s">
        <v>774</v>
      </c>
      <c r="B749" s="25"/>
      <c r="C749" s="25"/>
      <c r="D749" s="25"/>
      <c r="E749" s="25"/>
      <c r="F749" s="25"/>
      <c r="G749" s="35">
        <v>0.0</v>
      </c>
      <c r="H749" s="35">
        <v>1.0</v>
      </c>
      <c r="I749" s="25"/>
      <c r="J749" s="25"/>
      <c r="K749" s="25"/>
      <c r="L749" s="35"/>
      <c r="M749" s="35"/>
      <c r="N749" s="25"/>
      <c r="O749" s="25"/>
      <c r="P749" s="25"/>
      <c r="Q749" s="35">
        <v>2.0</v>
      </c>
      <c r="R749" s="35">
        <v>2.0</v>
      </c>
      <c r="S749" s="35">
        <v>2.0</v>
      </c>
      <c r="T749" s="35">
        <v>2.0</v>
      </c>
      <c r="U749" s="34"/>
      <c r="V749" s="34"/>
      <c r="W749" s="34"/>
      <c r="X749" s="34"/>
      <c r="Y749" s="34"/>
      <c r="Z749" s="34"/>
      <c r="AA749" s="25"/>
      <c r="AB749" s="25"/>
      <c r="AC749" s="25"/>
      <c r="AD749" s="25"/>
      <c r="AE749" s="25"/>
      <c r="AF749" s="25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25"/>
      <c r="AU749" s="34"/>
      <c r="AV749" s="34"/>
      <c r="AW749" s="34"/>
    </row>
    <row r="750" ht="15.0" customHeight="1">
      <c r="A750" s="32" t="s">
        <v>775</v>
      </c>
      <c r="B750" s="25"/>
      <c r="C750" s="25"/>
      <c r="D750" s="25"/>
      <c r="E750" s="25"/>
      <c r="F750" s="25"/>
      <c r="G750" s="35">
        <v>0.0</v>
      </c>
      <c r="H750" s="35">
        <v>1.0</v>
      </c>
      <c r="I750" s="25"/>
      <c r="J750" s="25"/>
      <c r="K750" s="25"/>
      <c r="L750" s="35"/>
      <c r="M750" s="35"/>
      <c r="N750" s="25"/>
      <c r="O750" s="25"/>
      <c r="P750" s="25"/>
      <c r="Q750" s="35">
        <v>2.0</v>
      </c>
      <c r="R750" s="35">
        <v>2.0</v>
      </c>
      <c r="S750" s="35">
        <v>2.0</v>
      </c>
      <c r="T750" s="35">
        <v>2.0</v>
      </c>
      <c r="U750" s="34"/>
      <c r="V750" s="34"/>
      <c r="W750" s="34"/>
      <c r="X750" s="34"/>
      <c r="Y750" s="34"/>
      <c r="Z750" s="34"/>
      <c r="AA750" s="25"/>
      <c r="AB750" s="25"/>
      <c r="AC750" s="25"/>
      <c r="AD750" s="25"/>
      <c r="AE750" s="25"/>
      <c r="AF750" s="25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25"/>
      <c r="AU750" s="34"/>
      <c r="AV750" s="34"/>
      <c r="AW750" s="34"/>
    </row>
    <row r="751" ht="15.0" customHeight="1">
      <c r="A751" s="32" t="s">
        <v>776</v>
      </c>
      <c r="B751" s="25"/>
      <c r="C751" s="25"/>
      <c r="D751" s="25"/>
      <c r="E751" s="25"/>
      <c r="F751" s="25"/>
      <c r="G751" s="35">
        <v>0.0</v>
      </c>
      <c r="H751" s="35">
        <v>1.0</v>
      </c>
      <c r="I751" s="25"/>
      <c r="J751" s="25"/>
      <c r="K751" s="25"/>
      <c r="L751" s="35"/>
      <c r="M751" s="35"/>
      <c r="N751" s="25"/>
      <c r="O751" s="25"/>
      <c r="P751" s="25"/>
      <c r="Q751" s="35">
        <v>2.0</v>
      </c>
      <c r="R751" s="35">
        <v>2.0</v>
      </c>
      <c r="S751" s="35">
        <v>2.0</v>
      </c>
      <c r="T751" s="35">
        <v>2.0</v>
      </c>
      <c r="U751" s="34"/>
      <c r="V751" s="34"/>
      <c r="W751" s="34"/>
      <c r="X751" s="34"/>
      <c r="Y751" s="34"/>
      <c r="Z751" s="34"/>
      <c r="AA751" s="25"/>
      <c r="AB751" s="25"/>
      <c r="AC751" s="25"/>
      <c r="AD751" s="25"/>
      <c r="AE751" s="25"/>
      <c r="AF751" s="25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25"/>
      <c r="AU751" s="34"/>
      <c r="AV751" s="34"/>
      <c r="AW751" s="34"/>
    </row>
    <row r="752" ht="15.0" customHeight="1">
      <c r="A752" s="32" t="s">
        <v>777</v>
      </c>
      <c r="B752" s="25"/>
      <c r="C752" s="25"/>
      <c r="D752" s="25"/>
      <c r="E752" s="25"/>
      <c r="F752" s="25"/>
      <c r="G752" s="35">
        <v>0.0</v>
      </c>
      <c r="H752" s="35">
        <v>1.0</v>
      </c>
      <c r="I752" s="25"/>
      <c r="J752" s="25"/>
      <c r="K752" s="25"/>
      <c r="L752" s="35"/>
      <c r="M752" s="35"/>
      <c r="N752" s="25"/>
      <c r="O752" s="25"/>
      <c r="P752" s="25"/>
      <c r="Q752" s="35">
        <v>2.0</v>
      </c>
      <c r="R752" s="35">
        <v>2.0</v>
      </c>
      <c r="S752" s="35">
        <v>2.0</v>
      </c>
      <c r="T752" s="35">
        <v>2.0</v>
      </c>
      <c r="U752" s="34"/>
      <c r="V752" s="34"/>
      <c r="W752" s="34"/>
      <c r="X752" s="34"/>
      <c r="Y752" s="34"/>
      <c r="Z752" s="34"/>
      <c r="AA752" s="25"/>
      <c r="AB752" s="25"/>
      <c r="AC752" s="25"/>
      <c r="AD752" s="25"/>
      <c r="AE752" s="25"/>
      <c r="AF752" s="25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25"/>
      <c r="AU752" s="34"/>
      <c r="AV752" s="34"/>
      <c r="AW752" s="34"/>
    </row>
    <row r="753" ht="15.0" customHeight="1">
      <c r="A753" s="32" t="s">
        <v>778</v>
      </c>
      <c r="B753" s="25"/>
      <c r="C753" s="25"/>
      <c r="D753" s="25"/>
      <c r="E753" s="25"/>
      <c r="F753" s="25"/>
      <c r="G753" s="35">
        <v>0.0</v>
      </c>
      <c r="H753" s="35">
        <v>1.0</v>
      </c>
      <c r="I753" s="25"/>
      <c r="J753" s="25"/>
      <c r="K753" s="25"/>
      <c r="L753" s="35"/>
      <c r="M753" s="35"/>
      <c r="N753" s="25"/>
      <c r="O753" s="25"/>
      <c r="P753" s="25"/>
      <c r="Q753" s="35">
        <v>2.0</v>
      </c>
      <c r="R753" s="35">
        <v>2.0</v>
      </c>
      <c r="S753" s="35">
        <v>2.0</v>
      </c>
      <c r="T753" s="35">
        <v>2.0</v>
      </c>
      <c r="U753" s="34"/>
      <c r="V753" s="34"/>
      <c r="W753" s="34"/>
      <c r="X753" s="34"/>
      <c r="Y753" s="34"/>
      <c r="Z753" s="34"/>
      <c r="AA753" s="25"/>
      <c r="AB753" s="25"/>
      <c r="AC753" s="25"/>
      <c r="AD753" s="25"/>
      <c r="AE753" s="25"/>
      <c r="AF753" s="25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25"/>
      <c r="AU753" s="34"/>
      <c r="AV753" s="34"/>
      <c r="AW753" s="34"/>
    </row>
    <row r="754" ht="15.0" customHeight="1">
      <c r="A754" s="32" t="s">
        <v>779</v>
      </c>
      <c r="B754" s="25"/>
      <c r="C754" s="25"/>
      <c r="D754" s="25"/>
      <c r="E754" s="25"/>
      <c r="F754" s="25"/>
      <c r="G754" s="35">
        <v>0.0</v>
      </c>
      <c r="H754" s="35">
        <v>1.0</v>
      </c>
      <c r="I754" s="25"/>
      <c r="J754" s="25"/>
      <c r="K754" s="25"/>
      <c r="L754" s="35"/>
      <c r="M754" s="35"/>
      <c r="N754" s="25"/>
      <c r="O754" s="25"/>
      <c r="P754" s="25"/>
      <c r="Q754" s="35">
        <v>2.0</v>
      </c>
      <c r="R754" s="35">
        <v>2.0</v>
      </c>
      <c r="S754" s="35">
        <v>2.0</v>
      </c>
      <c r="T754" s="35">
        <v>2.0</v>
      </c>
      <c r="U754" s="34"/>
      <c r="V754" s="34"/>
      <c r="W754" s="34"/>
      <c r="X754" s="34"/>
      <c r="Y754" s="34"/>
      <c r="Z754" s="34"/>
      <c r="AA754" s="25"/>
      <c r="AB754" s="25"/>
      <c r="AC754" s="25"/>
      <c r="AD754" s="25"/>
      <c r="AE754" s="25"/>
      <c r="AF754" s="25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25"/>
      <c r="AU754" s="34"/>
      <c r="AV754" s="34"/>
      <c r="AW754" s="34"/>
    </row>
    <row r="755" ht="15.0" customHeight="1">
      <c r="A755" s="32" t="s">
        <v>780</v>
      </c>
      <c r="B755" s="25"/>
      <c r="C755" s="25"/>
      <c r="D755" s="25"/>
      <c r="E755" s="25"/>
      <c r="F755" s="25"/>
      <c r="G755" s="35">
        <v>0.0</v>
      </c>
      <c r="H755" s="35">
        <v>1.0</v>
      </c>
      <c r="I755" s="25"/>
      <c r="J755" s="25"/>
      <c r="K755" s="25"/>
      <c r="L755" s="35"/>
      <c r="M755" s="35"/>
      <c r="N755" s="25"/>
      <c r="O755" s="25"/>
      <c r="P755" s="25"/>
      <c r="Q755" s="35">
        <v>2.0</v>
      </c>
      <c r="R755" s="35">
        <v>2.0</v>
      </c>
      <c r="S755" s="35">
        <v>2.0</v>
      </c>
      <c r="T755" s="35">
        <v>2.0</v>
      </c>
      <c r="U755" s="34"/>
      <c r="V755" s="34"/>
      <c r="W755" s="34"/>
      <c r="X755" s="34"/>
      <c r="Y755" s="34"/>
      <c r="Z755" s="34"/>
      <c r="AA755" s="25"/>
      <c r="AB755" s="25"/>
      <c r="AC755" s="25"/>
      <c r="AD755" s="25"/>
      <c r="AE755" s="25"/>
      <c r="AF755" s="25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25"/>
      <c r="AU755" s="34"/>
      <c r="AV755" s="34"/>
      <c r="AW755" s="34"/>
    </row>
    <row r="756" ht="15.0" customHeight="1">
      <c r="A756" s="32" t="s">
        <v>781</v>
      </c>
      <c r="B756" s="25"/>
      <c r="C756" s="25"/>
      <c r="D756" s="25"/>
      <c r="E756" s="25"/>
      <c r="F756" s="25"/>
      <c r="G756" s="35">
        <v>0.0</v>
      </c>
      <c r="H756" s="35">
        <v>1.0</v>
      </c>
      <c r="I756" s="25"/>
      <c r="J756" s="25"/>
      <c r="K756" s="25"/>
      <c r="L756" s="35"/>
      <c r="M756" s="35"/>
      <c r="N756" s="25"/>
      <c r="O756" s="25"/>
      <c r="P756" s="25"/>
      <c r="Q756" s="35">
        <v>2.0</v>
      </c>
      <c r="R756" s="35">
        <v>2.0</v>
      </c>
      <c r="S756" s="35">
        <v>2.0</v>
      </c>
      <c r="T756" s="35">
        <v>2.0</v>
      </c>
      <c r="U756" s="34"/>
      <c r="V756" s="34"/>
      <c r="W756" s="34"/>
      <c r="X756" s="34"/>
      <c r="Y756" s="34"/>
      <c r="Z756" s="34"/>
      <c r="AA756" s="25"/>
      <c r="AB756" s="25"/>
      <c r="AC756" s="25"/>
      <c r="AD756" s="25"/>
      <c r="AE756" s="25"/>
      <c r="AF756" s="25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25"/>
      <c r="AU756" s="34"/>
      <c r="AV756" s="34"/>
      <c r="AW756" s="34"/>
    </row>
    <row r="757" ht="15.0" customHeight="1">
      <c r="A757" s="32" t="s">
        <v>782</v>
      </c>
      <c r="B757" s="25"/>
      <c r="C757" s="25"/>
      <c r="D757" s="25"/>
      <c r="E757" s="25"/>
      <c r="F757" s="25"/>
      <c r="G757" s="35">
        <v>0.0</v>
      </c>
      <c r="H757" s="35">
        <v>1.0</v>
      </c>
      <c r="I757" s="25"/>
      <c r="J757" s="25"/>
      <c r="K757" s="25"/>
      <c r="L757" s="35"/>
      <c r="M757" s="35"/>
      <c r="N757" s="25"/>
      <c r="O757" s="25"/>
      <c r="P757" s="25"/>
      <c r="Q757" s="35">
        <v>2.0</v>
      </c>
      <c r="R757" s="35">
        <v>2.0</v>
      </c>
      <c r="S757" s="35">
        <v>2.0</v>
      </c>
      <c r="T757" s="35">
        <v>2.0</v>
      </c>
      <c r="U757" s="34"/>
      <c r="V757" s="34"/>
      <c r="W757" s="34"/>
      <c r="X757" s="34"/>
      <c r="Y757" s="34"/>
      <c r="Z757" s="34"/>
      <c r="AA757" s="25"/>
      <c r="AB757" s="25"/>
      <c r="AC757" s="25"/>
      <c r="AD757" s="25"/>
      <c r="AE757" s="25"/>
      <c r="AF757" s="25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25"/>
      <c r="AU757" s="34"/>
      <c r="AV757" s="34"/>
      <c r="AW757" s="34"/>
    </row>
    <row r="758" ht="15.0" customHeight="1">
      <c r="A758" s="32" t="s">
        <v>783</v>
      </c>
      <c r="B758" s="25"/>
      <c r="C758" s="25"/>
      <c r="D758" s="25"/>
      <c r="E758" s="25"/>
      <c r="F758" s="25"/>
      <c r="G758" s="35">
        <v>0.0</v>
      </c>
      <c r="H758" s="35">
        <v>1.0</v>
      </c>
      <c r="I758" s="25"/>
      <c r="J758" s="25"/>
      <c r="K758" s="25"/>
      <c r="L758" s="35"/>
      <c r="M758" s="35"/>
      <c r="N758" s="25"/>
      <c r="O758" s="25"/>
      <c r="P758" s="25"/>
      <c r="Q758" s="35">
        <v>2.0</v>
      </c>
      <c r="R758" s="35">
        <v>2.0</v>
      </c>
      <c r="S758" s="35">
        <v>2.0</v>
      </c>
      <c r="T758" s="35">
        <v>2.0</v>
      </c>
      <c r="U758" s="34"/>
      <c r="V758" s="34"/>
      <c r="W758" s="34"/>
      <c r="X758" s="34"/>
      <c r="Y758" s="34"/>
      <c r="Z758" s="34"/>
      <c r="AA758" s="25"/>
      <c r="AB758" s="25"/>
      <c r="AC758" s="25"/>
      <c r="AD758" s="25"/>
      <c r="AE758" s="25"/>
      <c r="AF758" s="25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25"/>
      <c r="AU758" s="34"/>
      <c r="AV758" s="34"/>
      <c r="AW758" s="34"/>
    </row>
    <row r="759" ht="15.0" customHeight="1">
      <c r="A759" s="32" t="s">
        <v>784</v>
      </c>
      <c r="B759" s="25"/>
      <c r="C759" s="25"/>
      <c r="D759" s="25"/>
      <c r="E759" s="25"/>
      <c r="F759" s="25"/>
      <c r="G759" s="35">
        <v>0.0</v>
      </c>
      <c r="H759" s="35">
        <v>1.0</v>
      </c>
      <c r="I759" s="25"/>
      <c r="J759" s="25"/>
      <c r="K759" s="25"/>
      <c r="L759" s="35"/>
      <c r="M759" s="35"/>
      <c r="N759" s="25"/>
      <c r="O759" s="25"/>
      <c r="P759" s="25"/>
      <c r="Q759" s="35">
        <v>2.0</v>
      </c>
      <c r="R759" s="35">
        <v>2.0</v>
      </c>
      <c r="S759" s="35">
        <v>2.0</v>
      </c>
      <c r="T759" s="35">
        <v>2.0</v>
      </c>
      <c r="U759" s="34"/>
      <c r="V759" s="34"/>
      <c r="W759" s="34"/>
      <c r="X759" s="34"/>
      <c r="Y759" s="34"/>
      <c r="Z759" s="34"/>
      <c r="AA759" s="25"/>
      <c r="AB759" s="25"/>
      <c r="AC759" s="25"/>
      <c r="AD759" s="25"/>
      <c r="AE759" s="25"/>
      <c r="AF759" s="25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25"/>
      <c r="AU759" s="34"/>
      <c r="AV759" s="34"/>
      <c r="AW759" s="34"/>
    </row>
    <row r="760" ht="15.0" customHeight="1">
      <c r="A760" s="32" t="s">
        <v>785</v>
      </c>
      <c r="B760" s="25"/>
      <c r="C760" s="25"/>
      <c r="D760" s="25"/>
      <c r="E760" s="25"/>
      <c r="F760" s="25"/>
      <c r="G760" s="35">
        <v>0.0</v>
      </c>
      <c r="H760" s="35">
        <v>1.0</v>
      </c>
      <c r="I760" s="25"/>
      <c r="J760" s="25"/>
      <c r="K760" s="25"/>
      <c r="L760" s="35"/>
      <c r="M760" s="35"/>
      <c r="N760" s="25"/>
      <c r="O760" s="25"/>
      <c r="P760" s="25"/>
      <c r="Q760" s="35">
        <v>2.0</v>
      </c>
      <c r="R760" s="35">
        <v>2.0</v>
      </c>
      <c r="S760" s="35">
        <v>2.0</v>
      </c>
      <c r="T760" s="35">
        <v>2.0</v>
      </c>
      <c r="U760" s="34"/>
      <c r="V760" s="34"/>
      <c r="W760" s="34"/>
      <c r="X760" s="34"/>
      <c r="Y760" s="34"/>
      <c r="Z760" s="34"/>
      <c r="AA760" s="25"/>
      <c r="AB760" s="25"/>
      <c r="AC760" s="25"/>
      <c r="AD760" s="25"/>
      <c r="AE760" s="25"/>
      <c r="AF760" s="25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25"/>
      <c r="AU760" s="34"/>
      <c r="AV760" s="34"/>
      <c r="AW760" s="34"/>
    </row>
    <row r="761" ht="15.0" customHeight="1">
      <c r="A761" s="32" t="s">
        <v>786</v>
      </c>
      <c r="B761" s="25"/>
      <c r="C761" s="25"/>
      <c r="D761" s="25"/>
      <c r="E761" s="25"/>
      <c r="F761" s="25"/>
      <c r="G761" s="35">
        <v>0.0</v>
      </c>
      <c r="H761" s="35">
        <v>1.0</v>
      </c>
      <c r="I761" s="25"/>
      <c r="J761" s="25"/>
      <c r="K761" s="25"/>
      <c r="L761" s="35"/>
      <c r="M761" s="35"/>
      <c r="N761" s="25"/>
      <c r="O761" s="25"/>
      <c r="P761" s="25"/>
      <c r="Q761" s="35">
        <v>2.0</v>
      </c>
      <c r="R761" s="35">
        <v>2.0</v>
      </c>
      <c r="S761" s="35">
        <v>2.0</v>
      </c>
      <c r="T761" s="35">
        <v>2.0</v>
      </c>
      <c r="U761" s="34"/>
      <c r="V761" s="34"/>
      <c r="W761" s="34"/>
      <c r="X761" s="34"/>
      <c r="Y761" s="34"/>
      <c r="Z761" s="34"/>
      <c r="AA761" s="25"/>
      <c r="AB761" s="25"/>
      <c r="AC761" s="25"/>
      <c r="AD761" s="25"/>
      <c r="AE761" s="25"/>
      <c r="AF761" s="25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25"/>
      <c r="AU761" s="34"/>
      <c r="AV761" s="34"/>
      <c r="AW761" s="34"/>
    </row>
    <row r="762" ht="15.0" customHeight="1">
      <c r="A762" s="32" t="s">
        <v>787</v>
      </c>
      <c r="B762" s="25"/>
      <c r="C762" s="25"/>
      <c r="D762" s="25"/>
      <c r="E762" s="25"/>
      <c r="F762" s="25"/>
      <c r="G762" s="35">
        <v>0.0</v>
      </c>
      <c r="H762" s="35">
        <v>1.0</v>
      </c>
      <c r="I762" s="25"/>
      <c r="J762" s="25"/>
      <c r="K762" s="25"/>
      <c r="L762" s="35"/>
      <c r="M762" s="35"/>
      <c r="N762" s="25"/>
      <c r="O762" s="25"/>
      <c r="P762" s="25"/>
      <c r="Q762" s="35">
        <v>2.0</v>
      </c>
      <c r="R762" s="35">
        <v>2.0</v>
      </c>
      <c r="S762" s="35">
        <v>2.0</v>
      </c>
      <c r="T762" s="35">
        <v>2.0</v>
      </c>
      <c r="U762" s="34"/>
      <c r="V762" s="34"/>
      <c r="W762" s="34"/>
      <c r="X762" s="34"/>
      <c r="Y762" s="34"/>
      <c r="Z762" s="34"/>
      <c r="AA762" s="25"/>
      <c r="AB762" s="25"/>
      <c r="AC762" s="25"/>
      <c r="AD762" s="25"/>
      <c r="AE762" s="25"/>
      <c r="AF762" s="25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25"/>
      <c r="AU762" s="34"/>
      <c r="AV762" s="34"/>
      <c r="AW762" s="34"/>
    </row>
    <row r="763" ht="15.0" customHeight="1">
      <c r="A763" s="32" t="s">
        <v>788</v>
      </c>
      <c r="B763" s="25"/>
      <c r="C763" s="25"/>
      <c r="D763" s="25"/>
      <c r="E763" s="25"/>
      <c r="F763" s="25"/>
      <c r="G763" s="35">
        <v>0.0</v>
      </c>
      <c r="H763" s="35">
        <v>1.0</v>
      </c>
      <c r="I763" s="25"/>
      <c r="J763" s="25"/>
      <c r="K763" s="25"/>
      <c r="L763" s="35"/>
      <c r="M763" s="35"/>
      <c r="N763" s="25"/>
      <c r="O763" s="25"/>
      <c r="P763" s="25"/>
      <c r="Q763" s="35">
        <v>2.0</v>
      </c>
      <c r="R763" s="35">
        <v>2.0</v>
      </c>
      <c r="S763" s="35">
        <v>2.0</v>
      </c>
      <c r="T763" s="35">
        <v>2.0</v>
      </c>
      <c r="U763" s="34"/>
      <c r="V763" s="34"/>
      <c r="W763" s="34"/>
      <c r="X763" s="34"/>
      <c r="Y763" s="34"/>
      <c r="Z763" s="34"/>
      <c r="AA763" s="25"/>
      <c r="AB763" s="25"/>
      <c r="AC763" s="25"/>
      <c r="AD763" s="25"/>
      <c r="AE763" s="25"/>
      <c r="AF763" s="25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25"/>
      <c r="AU763" s="34"/>
      <c r="AV763" s="34"/>
      <c r="AW763" s="34"/>
    </row>
    <row r="764" ht="15.0" customHeight="1">
      <c r="A764" s="32" t="s">
        <v>789</v>
      </c>
      <c r="B764" s="25"/>
      <c r="C764" s="25"/>
      <c r="D764" s="25"/>
      <c r="E764" s="25"/>
      <c r="F764" s="25"/>
      <c r="G764" s="35">
        <v>0.0</v>
      </c>
      <c r="H764" s="35">
        <v>1.0</v>
      </c>
      <c r="I764" s="25"/>
      <c r="J764" s="25"/>
      <c r="K764" s="25"/>
      <c r="L764" s="35"/>
      <c r="M764" s="35"/>
      <c r="N764" s="25"/>
      <c r="O764" s="25"/>
      <c r="P764" s="25"/>
      <c r="Q764" s="35">
        <v>2.0</v>
      </c>
      <c r="R764" s="35">
        <v>2.0</v>
      </c>
      <c r="S764" s="35">
        <v>2.0</v>
      </c>
      <c r="T764" s="35">
        <v>2.0</v>
      </c>
      <c r="U764" s="34"/>
      <c r="V764" s="34"/>
      <c r="W764" s="34"/>
      <c r="X764" s="34"/>
      <c r="Y764" s="34"/>
      <c r="Z764" s="34"/>
      <c r="AA764" s="25"/>
      <c r="AB764" s="25"/>
      <c r="AC764" s="25"/>
      <c r="AD764" s="25"/>
      <c r="AE764" s="25"/>
      <c r="AF764" s="25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25"/>
      <c r="AU764" s="34"/>
      <c r="AV764" s="34"/>
      <c r="AW764" s="34"/>
    </row>
    <row r="765" ht="15.0" customHeight="1">
      <c r="A765" s="32" t="s">
        <v>790</v>
      </c>
      <c r="B765" s="25"/>
      <c r="C765" s="25"/>
      <c r="D765" s="25"/>
      <c r="E765" s="25"/>
      <c r="F765" s="25"/>
      <c r="G765" s="35">
        <v>0.0</v>
      </c>
      <c r="H765" s="35">
        <v>1.0</v>
      </c>
      <c r="I765" s="25"/>
      <c r="J765" s="25"/>
      <c r="K765" s="25"/>
      <c r="L765" s="35"/>
      <c r="M765" s="35"/>
      <c r="N765" s="25"/>
      <c r="O765" s="25"/>
      <c r="P765" s="25"/>
      <c r="Q765" s="35">
        <v>2.0</v>
      </c>
      <c r="R765" s="35">
        <v>2.0</v>
      </c>
      <c r="S765" s="35">
        <v>2.0</v>
      </c>
      <c r="T765" s="35">
        <v>2.0</v>
      </c>
      <c r="U765" s="34"/>
      <c r="V765" s="34"/>
      <c r="W765" s="34"/>
      <c r="X765" s="34"/>
      <c r="Y765" s="34"/>
      <c r="Z765" s="34"/>
      <c r="AA765" s="25"/>
      <c r="AB765" s="25"/>
      <c r="AC765" s="25"/>
      <c r="AD765" s="25"/>
      <c r="AE765" s="25"/>
      <c r="AF765" s="25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25"/>
      <c r="AU765" s="34"/>
      <c r="AV765" s="34"/>
      <c r="AW765" s="34"/>
    </row>
    <row r="766" ht="15.0" customHeight="1">
      <c r="A766" s="32" t="s">
        <v>791</v>
      </c>
      <c r="B766" s="25"/>
      <c r="C766" s="25"/>
      <c r="D766" s="25"/>
      <c r="E766" s="25"/>
      <c r="F766" s="25"/>
      <c r="G766" s="35">
        <v>0.0</v>
      </c>
      <c r="H766" s="35">
        <v>1.0</v>
      </c>
      <c r="I766" s="25"/>
      <c r="J766" s="25"/>
      <c r="K766" s="25"/>
      <c r="L766" s="35"/>
      <c r="M766" s="35"/>
      <c r="N766" s="25"/>
      <c r="O766" s="25"/>
      <c r="P766" s="25"/>
      <c r="Q766" s="35">
        <v>2.0</v>
      </c>
      <c r="R766" s="35">
        <v>2.0</v>
      </c>
      <c r="S766" s="35">
        <v>2.0</v>
      </c>
      <c r="T766" s="35">
        <v>2.0</v>
      </c>
      <c r="U766" s="34"/>
      <c r="V766" s="34"/>
      <c r="W766" s="34"/>
      <c r="X766" s="34"/>
      <c r="Y766" s="34"/>
      <c r="Z766" s="34"/>
      <c r="AA766" s="25"/>
      <c r="AB766" s="25"/>
      <c r="AC766" s="25"/>
      <c r="AD766" s="25"/>
      <c r="AE766" s="25"/>
      <c r="AF766" s="25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25"/>
      <c r="AU766" s="34"/>
      <c r="AV766" s="34"/>
      <c r="AW766" s="34"/>
    </row>
    <row r="767" ht="15.0" customHeight="1">
      <c r="A767" s="32" t="s">
        <v>792</v>
      </c>
      <c r="B767" s="25"/>
      <c r="C767" s="25"/>
      <c r="D767" s="25"/>
      <c r="E767" s="25"/>
      <c r="F767" s="25"/>
      <c r="G767" s="35">
        <v>0.0</v>
      </c>
      <c r="H767" s="35">
        <v>1.0</v>
      </c>
      <c r="I767" s="25"/>
      <c r="J767" s="25"/>
      <c r="K767" s="25"/>
      <c r="L767" s="35"/>
      <c r="M767" s="35"/>
      <c r="N767" s="25"/>
      <c r="O767" s="25"/>
      <c r="P767" s="25"/>
      <c r="Q767" s="35">
        <v>2.0</v>
      </c>
      <c r="R767" s="35">
        <v>2.0</v>
      </c>
      <c r="S767" s="35">
        <v>2.0</v>
      </c>
      <c r="T767" s="35">
        <v>2.0</v>
      </c>
      <c r="U767" s="34"/>
      <c r="V767" s="34"/>
      <c r="W767" s="34"/>
      <c r="X767" s="34"/>
      <c r="Y767" s="34"/>
      <c r="Z767" s="34"/>
      <c r="AA767" s="25"/>
      <c r="AB767" s="25"/>
      <c r="AC767" s="25"/>
      <c r="AD767" s="25"/>
      <c r="AE767" s="25"/>
      <c r="AF767" s="25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25"/>
      <c r="AU767" s="34"/>
      <c r="AV767" s="34"/>
      <c r="AW767" s="34"/>
    </row>
    <row r="768" ht="15.0" customHeight="1">
      <c r="A768" s="32" t="s">
        <v>793</v>
      </c>
      <c r="B768" s="25"/>
      <c r="C768" s="25"/>
      <c r="D768" s="25"/>
      <c r="E768" s="25"/>
      <c r="F768" s="25"/>
      <c r="G768" s="35">
        <v>0.0</v>
      </c>
      <c r="H768" s="35">
        <v>1.0</v>
      </c>
      <c r="I768" s="25"/>
      <c r="J768" s="25"/>
      <c r="K768" s="25"/>
      <c r="L768" s="35"/>
      <c r="M768" s="35"/>
      <c r="N768" s="25"/>
      <c r="O768" s="25"/>
      <c r="P768" s="25"/>
      <c r="Q768" s="35">
        <v>2.0</v>
      </c>
      <c r="R768" s="35">
        <v>2.0</v>
      </c>
      <c r="S768" s="35">
        <v>2.0</v>
      </c>
      <c r="T768" s="35">
        <v>2.0</v>
      </c>
      <c r="U768" s="34"/>
      <c r="V768" s="34"/>
      <c r="W768" s="34"/>
      <c r="X768" s="34"/>
      <c r="Y768" s="34"/>
      <c r="Z768" s="34"/>
      <c r="AA768" s="25"/>
      <c r="AB768" s="25"/>
      <c r="AC768" s="25"/>
      <c r="AD768" s="25"/>
      <c r="AE768" s="25"/>
      <c r="AF768" s="25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25"/>
      <c r="AU768" s="34"/>
      <c r="AV768" s="34"/>
      <c r="AW768" s="34"/>
    </row>
    <row r="769" ht="15.0" customHeight="1">
      <c r="A769" s="32" t="s">
        <v>794</v>
      </c>
      <c r="B769" s="25"/>
      <c r="C769" s="25"/>
      <c r="D769" s="25"/>
      <c r="E769" s="25"/>
      <c r="F769" s="25"/>
      <c r="G769" s="35">
        <v>0.0</v>
      </c>
      <c r="H769" s="35">
        <v>1.0</v>
      </c>
      <c r="I769" s="25"/>
      <c r="J769" s="25"/>
      <c r="K769" s="25"/>
      <c r="L769" s="35"/>
      <c r="M769" s="35"/>
      <c r="N769" s="25"/>
      <c r="O769" s="25"/>
      <c r="P769" s="25"/>
      <c r="Q769" s="35">
        <v>2.0</v>
      </c>
      <c r="R769" s="35">
        <v>2.0</v>
      </c>
      <c r="S769" s="35">
        <v>2.0</v>
      </c>
      <c r="T769" s="35">
        <v>2.0</v>
      </c>
      <c r="U769" s="34"/>
      <c r="V769" s="34"/>
      <c r="W769" s="34"/>
      <c r="X769" s="34"/>
      <c r="Y769" s="34"/>
      <c r="Z769" s="34"/>
      <c r="AA769" s="25"/>
      <c r="AB769" s="25"/>
      <c r="AC769" s="25"/>
      <c r="AD769" s="25"/>
      <c r="AE769" s="25"/>
      <c r="AF769" s="25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25"/>
      <c r="AU769" s="34"/>
      <c r="AV769" s="34"/>
      <c r="AW769" s="34"/>
    </row>
    <row r="770" ht="15.0" customHeight="1">
      <c r="A770" s="32" t="s">
        <v>795</v>
      </c>
      <c r="B770" s="25"/>
      <c r="C770" s="25"/>
      <c r="D770" s="25"/>
      <c r="E770" s="25"/>
      <c r="F770" s="25"/>
      <c r="G770" s="35">
        <v>0.0</v>
      </c>
      <c r="H770" s="35">
        <v>1.0</v>
      </c>
      <c r="I770" s="25"/>
      <c r="J770" s="25"/>
      <c r="K770" s="25"/>
      <c r="L770" s="35"/>
      <c r="M770" s="35"/>
      <c r="N770" s="25"/>
      <c r="O770" s="25"/>
      <c r="P770" s="25"/>
      <c r="Q770" s="35">
        <v>2.0</v>
      </c>
      <c r="R770" s="35">
        <v>2.0</v>
      </c>
      <c r="S770" s="35">
        <v>2.0</v>
      </c>
      <c r="T770" s="35">
        <v>2.0</v>
      </c>
      <c r="U770" s="34"/>
      <c r="V770" s="34"/>
      <c r="W770" s="34"/>
      <c r="X770" s="34"/>
      <c r="Y770" s="34"/>
      <c r="Z770" s="34"/>
      <c r="AA770" s="25"/>
      <c r="AB770" s="25"/>
      <c r="AC770" s="25"/>
      <c r="AD770" s="25"/>
      <c r="AE770" s="25"/>
      <c r="AF770" s="25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25"/>
      <c r="AU770" s="34"/>
      <c r="AV770" s="34"/>
      <c r="AW770" s="34"/>
    </row>
    <row r="771" ht="15.0" customHeight="1">
      <c r="A771" s="32" t="s">
        <v>796</v>
      </c>
      <c r="B771" s="25"/>
      <c r="C771" s="25"/>
      <c r="D771" s="25"/>
      <c r="E771" s="25"/>
      <c r="F771" s="25"/>
      <c r="G771" s="35">
        <v>0.0</v>
      </c>
      <c r="H771" s="35">
        <v>1.0</v>
      </c>
      <c r="I771" s="25"/>
      <c r="J771" s="25"/>
      <c r="K771" s="25"/>
      <c r="L771" s="35"/>
      <c r="M771" s="35"/>
      <c r="N771" s="25"/>
      <c r="O771" s="25"/>
      <c r="P771" s="25"/>
      <c r="Q771" s="35">
        <v>2.0</v>
      </c>
      <c r="R771" s="35">
        <v>2.0</v>
      </c>
      <c r="S771" s="35">
        <v>2.0</v>
      </c>
      <c r="T771" s="35">
        <v>2.0</v>
      </c>
      <c r="U771" s="34"/>
      <c r="V771" s="34"/>
      <c r="W771" s="34"/>
      <c r="X771" s="34"/>
      <c r="Y771" s="34"/>
      <c r="Z771" s="34"/>
      <c r="AA771" s="25"/>
      <c r="AB771" s="25"/>
      <c r="AC771" s="25"/>
      <c r="AD771" s="25"/>
      <c r="AE771" s="25"/>
      <c r="AF771" s="25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25"/>
      <c r="AU771" s="34"/>
      <c r="AV771" s="34"/>
      <c r="AW771" s="34"/>
    </row>
    <row r="772" ht="15.0" customHeight="1">
      <c r="A772" s="32" t="s">
        <v>797</v>
      </c>
      <c r="B772" s="25"/>
      <c r="C772" s="25"/>
      <c r="D772" s="25"/>
      <c r="E772" s="25"/>
      <c r="F772" s="25"/>
      <c r="G772" s="35">
        <v>0.0</v>
      </c>
      <c r="H772" s="35">
        <v>1.0</v>
      </c>
      <c r="I772" s="25"/>
      <c r="J772" s="25"/>
      <c r="K772" s="25"/>
      <c r="L772" s="35"/>
      <c r="M772" s="35"/>
      <c r="N772" s="25"/>
      <c r="O772" s="25"/>
      <c r="P772" s="25"/>
      <c r="Q772" s="35">
        <v>2.0</v>
      </c>
      <c r="R772" s="35">
        <v>2.0</v>
      </c>
      <c r="S772" s="35">
        <v>2.0</v>
      </c>
      <c r="T772" s="35">
        <v>2.0</v>
      </c>
      <c r="U772" s="34"/>
      <c r="V772" s="34"/>
      <c r="W772" s="34"/>
      <c r="X772" s="34"/>
      <c r="Y772" s="34"/>
      <c r="Z772" s="34"/>
      <c r="AA772" s="25"/>
      <c r="AB772" s="25"/>
      <c r="AC772" s="25"/>
      <c r="AD772" s="25"/>
      <c r="AE772" s="25"/>
      <c r="AF772" s="25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25"/>
      <c r="AU772" s="34"/>
      <c r="AV772" s="34"/>
      <c r="AW772" s="34"/>
    </row>
    <row r="773" ht="15.0" customHeight="1">
      <c r="A773" s="32" t="s">
        <v>798</v>
      </c>
      <c r="B773" s="25"/>
      <c r="C773" s="25"/>
      <c r="D773" s="25"/>
      <c r="E773" s="25"/>
      <c r="F773" s="25"/>
      <c r="G773" s="35">
        <v>0.0</v>
      </c>
      <c r="H773" s="35">
        <v>1.0</v>
      </c>
      <c r="I773" s="25"/>
      <c r="J773" s="25"/>
      <c r="K773" s="25"/>
      <c r="L773" s="35"/>
      <c r="M773" s="35"/>
      <c r="N773" s="25"/>
      <c r="O773" s="25"/>
      <c r="P773" s="25"/>
      <c r="Q773" s="35">
        <v>2.0</v>
      </c>
      <c r="R773" s="35">
        <v>2.0</v>
      </c>
      <c r="S773" s="35">
        <v>2.0</v>
      </c>
      <c r="T773" s="35">
        <v>2.0</v>
      </c>
      <c r="U773" s="34"/>
      <c r="V773" s="34"/>
      <c r="W773" s="34"/>
      <c r="X773" s="34"/>
      <c r="Y773" s="34"/>
      <c r="Z773" s="34"/>
      <c r="AA773" s="25"/>
      <c r="AB773" s="25"/>
      <c r="AC773" s="25"/>
      <c r="AD773" s="25"/>
      <c r="AE773" s="25"/>
      <c r="AF773" s="25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25"/>
      <c r="AU773" s="34"/>
      <c r="AV773" s="34"/>
      <c r="AW773" s="34"/>
    </row>
    <row r="774" ht="15.0" customHeight="1">
      <c r="A774" s="32" t="s">
        <v>799</v>
      </c>
      <c r="B774" s="25"/>
      <c r="C774" s="25"/>
      <c r="D774" s="25"/>
      <c r="E774" s="25"/>
      <c r="F774" s="25"/>
      <c r="G774" s="35">
        <v>0.0</v>
      </c>
      <c r="H774" s="35">
        <v>1.0</v>
      </c>
      <c r="I774" s="25"/>
      <c r="J774" s="25"/>
      <c r="K774" s="25"/>
      <c r="L774" s="35"/>
      <c r="M774" s="35"/>
      <c r="N774" s="25"/>
      <c r="O774" s="25"/>
      <c r="P774" s="25"/>
      <c r="Q774" s="35">
        <v>2.0</v>
      </c>
      <c r="R774" s="35">
        <v>2.0</v>
      </c>
      <c r="S774" s="35">
        <v>2.0</v>
      </c>
      <c r="T774" s="35">
        <v>2.0</v>
      </c>
      <c r="U774" s="34"/>
      <c r="V774" s="34"/>
      <c r="W774" s="34"/>
      <c r="X774" s="34"/>
      <c r="Y774" s="34"/>
      <c r="Z774" s="34"/>
      <c r="AA774" s="25"/>
      <c r="AB774" s="25"/>
      <c r="AC774" s="25"/>
      <c r="AD774" s="25"/>
      <c r="AE774" s="25"/>
      <c r="AF774" s="25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25"/>
      <c r="AU774" s="34"/>
      <c r="AV774" s="34"/>
      <c r="AW774" s="34"/>
    </row>
    <row r="775" ht="15.0" customHeight="1">
      <c r="A775" s="32" t="s">
        <v>800</v>
      </c>
      <c r="B775" s="25"/>
      <c r="C775" s="25"/>
      <c r="D775" s="25"/>
      <c r="E775" s="25"/>
      <c r="F775" s="25"/>
      <c r="G775" s="35">
        <v>0.0</v>
      </c>
      <c r="H775" s="35">
        <v>1.0</v>
      </c>
      <c r="I775" s="25"/>
      <c r="J775" s="25"/>
      <c r="K775" s="25"/>
      <c r="L775" s="35"/>
      <c r="M775" s="35"/>
      <c r="N775" s="25"/>
      <c r="O775" s="25"/>
      <c r="P775" s="25"/>
      <c r="Q775" s="35">
        <v>2.0</v>
      </c>
      <c r="R775" s="35">
        <v>2.0</v>
      </c>
      <c r="S775" s="35">
        <v>2.0</v>
      </c>
      <c r="T775" s="35">
        <v>2.0</v>
      </c>
      <c r="U775" s="34"/>
      <c r="V775" s="34"/>
      <c r="W775" s="34"/>
      <c r="X775" s="34"/>
      <c r="Y775" s="34"/>
      <c r="Z775" s="34"/>
      <c r="AA775" s="25"/>
      <c r="AB775" s="25"/>
      <c r="AC775" s="25"/>
      <c r="AD775" s="25"/>
      <c r="AE775" s="25"/>
      <c r="AF775" s="25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25"/>
      <c r="AU775" s="34"/>
      <c r="AV775" s="34"/>
      <c r="AW775" s="34"/>
    </row>
    <row r="776" ht="15.0" customHeight="1">
      <c r="A776" s="32" t="s">
        <v>801</v>
      </c>
      <c r="B776" s="25"/>
      <c r="C776" s="25"/>
      <c r="D776" s="25"/>
      <c r="E776" s="25"/>
      <c r="F776" s="25"/>
      <c r="G776" s="35">
        <v>0.0</v>
      </c>
      <c r="H776" s="35">
        <v>1.0</v>
      </c>
      <c r="I776" s="25"/>
      <c r="J776" s="25"/>
      <c r="K776" s="25"/>
      <c r="L776" s="35"/>
      <c r="M776" s="35"/>
      <c r="N776" s="25"/>
      <c r="O776" s="25"/>
      <c r="P776" s="25"/>
      <c r="Q776" s="35">
        <v>2.0</v>
      </c>
      <c r="R776" s="35">
        <v>2.0</v>
      </c>
      <c r="S776" s="35">
        <v>2.0</v>
      </c>
      <c r="T776" s="35">
        <v>2.0</v>
      </c>
      <c r="U776" s="34"/>
      <c r="V776" s="34"/>
      <c r="W776" s="34"/>
      <c r="X776" s="34"/>
      <c r="Y776" s="34"/>
      <c r="Z776" s="34"/>
      <c r="AA776" s="25"/>
      <c r="AB776" s="25"/>
      <c r="AC776" s="25"/>
      <c r="AD776" s="25"/>
      <c r="AE776" s="25"/>
      <c r="AF776" s="25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25"/>
      <c r="AU776" s="34"/>
      <c r="AV776" s="34"/>
      <c r="AW776" s="34"/>
    </row>
    <row r="777" ht="15.0" customHeight="1">
      <c r="A777" s="32" t="s">
        <v>802</v>
      </c>
      <c r="B777" s="25"/>
      <c r="C777" s="25"/>
      <c r="D777" s="25"/>
      <c r="E777" s="25"/>
      <c r="F777" s="25"/>
      <c r="G777" s="35">
        <v>0.0</v>
      </c>
      <c r="H777" s="35">
        <v>1.0</v>
      </c>
      <c r="I777" s="25"/>
      <c r="J777" s="25"/>
      <c r="K777" s="25"/>
      <c r="L777" s="35"/>
      <c r="M777" s="35"/>
      <c r="N777" s="25"/>
      <c r="O777" s="25"/>
      <c r="P777" s="25"/>
      <c r="Q777" s="35">
        <v>2.0</v>
      </c>
      <c r="R777" s="35">
        <v>2.0</v>
      </c>
      <c r="S777" s="35">
        <v>2.0</v>
      </c>
      <c r="T777" s="35">
        <v>2.0</v>
      </c>
      <c r="U777" s="34"/>
      <c r="V777" s="34"/>
      <c r="W777" s="34"/>
      <c r="X777" s="34"/>
      <c r="Y777" s="34"/>
      <c r="Z777" s="34"/>
      <c r="AA777" s="25"/>
      <c r="AB777" s="25"/>
      <c r="AC777" s="25"/>
      <c r="AD777" s="25"/>
      <c r="AE777" s="25"/>
      <c r="AF777" s="25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25"/>
      <c r="AU777" s="34"/>
      <c r="AV777" s="34"/>
      <c r="AW777" s="34"/>
    </row>
    <row r="778" ht="15.0" customHeight="1">
      <c r="A778" s="32" t="s">
        <v>803</v>
      </c>
      <c r="B778" s="25"/>
      <c r="C778" s="25"/>
      <c r="D778" s="25"/>
      <c r="E778" s="25"/>
      <c r="F778" s="25"/>
      <c r="G778" s="35">
        <v>0.0</v>
      </c>
      <c r="H778" s="35">
        <v>1.0</v>
      </c>
      <c r="I778" s="25"/>
      <c r="J778" s="25"/>
      <c r="K778" s="25"/>
      <c r="L778" s="35"/>
      <c r="M778" s="35"/>
      <c r="N778" s="25"/>
      <c r="O778" s="25"/>
      <c r="P778" s="25"/>
      <c r="Q778" s="35">
        <v>2.0</v>
      </c>
      <c r="R778" s="35">
        <v>2.0</v>
      </c>
      <c r="S778" s="35">
        <v>2.0</v>
      </c>
      <c r="T778" s="35">
        <v>2.0</v>
      </c>
      <c r="U778" s="34"/>
      <c r="V778" s="34"/>
      <c r="W778" s="34"/>
      <c r="X778" s="34"/>
      <c r="Y778" s="34"/>
      <c r="Z778" s="34"/>
      <c r="AA778" s="25"/>
      <c r="AB778" s="25"/>
      <c r="AC778" s="25"/>
      <c r="AD778" s="25"/>
      <c r="AE778" s="25"/>
      <c r="AF778" s="25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25"/>
      <c r="AU778" s="34"/>
      <c r="AV778" s="34"/>
      <c r="AW778" s="34"/>
    </row>
    <row r="779" ht="15.0" customHeight="1">
      <c r="A779" s="32" t="s">
        <v>804</v>
      </c>
      <c r="B779" s="25"/>
      <c r="C779" s="25"/>
      <c r="D779" s="25"/>
      <c r="E779" s="25"/>
      <c r="F779" s="25"/>
      <c r="G779" s="35">
        <v>0.0</v>
      </c>
      <c r="H779" s="35">
        <v>1.0</v>
      </c>
      <c r="I779" s="25"/>
      <c r="J779" s="25"/>
      <c r="K779" s="25"/>
      <c r="L779" s="35"/>
      <c r="M779" s="35"/>
      <c r="N779" s="25"/>
      <c r="O779" s="25"/>
      <c r="P779" s="25"/>
      <c r="Q779" s="35">
        <v>2.0</v>
      </c>
      <c r="R779" s="35">
        <v>2.0</v>
      </c>
      <c r="S779" s="35">
        <v>2.0</v>
      </c>
      <c r="T779" s="35">
        <v>2.0</v>
      </c>
      <c r="U779" s="34"/>
      <c r="V779" s="34"/>
      <c r="W779" s="34"/>
      <c r="X779" s="34"/>
      <c r="Y779" s="34"/>
      <c r="Z779" s="34"/>
      <c r="AA779" s="25"/>
      <c r="AB779" s="25"/>
      <c r="AC779" s="25"/>
      <c r="AD779" s="25"/>
      <c r="AE779" s="25"/>
      <c r="AF779" s="25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25"/>
      <c r="AU779" s="34"/>
      <c r="AV779" s="34"/>
      <c r="AW779" s="34"/>
    </row>
    <row r="780" ht="15.0" customHeight="1">
      <c r="A780" s="32" t="s">
        <v>805</v>
      </c>
      <c r="B780" s="25"/>
      <c r="C780" s="25"/>
      <c r="D780" s="25"/>
      <c r="E780" s="25"/>
      <c r="F780" s="25"/>
      <c r="G780" s="35">
        <v>0.0</v>
      </c>
      <c r="H780" s="35">
        <v>1.0</v>
      </c>
      <c r="I780" s="25"/>
      <c r="J780" s="25"/>
      <c r="K780" s="25"/>
      <c r="L780" s="35"/>
      <c r="M780" s="35"/>
      <c r="N780" s="25"/>
      <c r="O780" s="25"/>
      <c r="P780" s="25"/>
      <c r="Q780" s="35">
        <v>2.0</v>
      </c>
      <c r="R780" s="35">
        <v>2.0</v>
      </c>
      <c r="S780" s="35">
        <v>2.0</v>
      </c>
      <c r="T780" s="35">
        <v>2.0</v>
      </c>
      <c r="U780" s="34"/>
      <c r="V780" s="34"/>
      <c r="W780" s="34"/>
      <c r="X780" s="34"/>
      <c r="Y780" s="34"/>
      <c r="Z780" s="34"/>
      <c r="AA780" s="25"/>
      <c r="AB780" s="25"/>
      <c r="AC780" s="25"/>
      <c r="AD780" s="25"/>
      <c r="AE780" s="25"/>
      <c r="AF780" s="25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25"/>
      <c r="AU780" s="34"/>
      <c r="AV780" s="34"/>
      <c r="AW780" s="34"/>
    </row>
    <row r="781" ht="15.0" customHeight="1">
      <c r="A781" s="32" t="s">
        <v>806</v>
      </c>
      <c r="B781" s="25"/>
      <c r="C781" s="25"/>
      <c r="D781" s="25"/>
      <c r="E781" s="25"/>
      <c r="F781" s="25"/>
      <c r="G781" s="35">
        <v>0.0</v>
      </c>
      <c r="H781" s="35">
        <v>1.0</v>
      </c>
      <c r="I781" s="25"/>
      <c r="J781" s="25"/>
      <c r="K781" s="25"/>
      <c r="L781" s="35"/>
      <c r="M781" s="35"/>
      <c r="N781" s="25"/>
      <c r="O781" s="25"/>
      <c r="P781" s="25"/>
      <c r="Q781" s="35">
        <v>2.0</v>
      </c>
      <c r="R781" s="35">
        <v>2.0</v>
      </c>
      <c r="S781" s="35">
        <v>2.0</v>
      </c>
      <c r="T781" s="35">
        <v>2.0</v>
      </c>
      <c r="U781" s="34"/>
      <c r="V781" s="34"/>
      <c r="W781" s="34"/>
      <c r="X781" s="34"/>
      <c r="Y781" s="34"/>
      <c r="Z781" s="34"/>
      <c r="AA781" s="25"/>
      <c r="AB781" s="25"/>
      <c r="AC781" s="25"/>
      <c r="AD781" s="25"/>
      <c r="AE781" s="25"/>
      <c r="AF781" s="25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25"/>
      <c r="AU781" s="34"/>
      <c r="AV781" s="34"/>
      <c r="AW781" s="34"/>
    </row>
    <row r="782" ht="15.0" customHeight="1">
      <c r="A782" s="32" t="s">
        <v>807</v>
      </c>
      <c r="B782" s="25"/>
      <c r="C782" s="25"/>
      <c r="D782" s="25"/>
      <c r="E782" s="25"/>
      <c r="F782" s="25"/>
      <c r="G782" s="35">
        <v>0.0</v>
      </c>
      <c r="H782" s="35">
        <v>1.0</v>
      </c>
      <c r="I782" s="25"/>
      <c r="J782" s="25"/>
      <c r="K782" s="25"/>
      <c r="L782" s="35"/>
      <c r="M782" s="35"/>
      <c r="N782" s="25"/>
      <c r="O782" s="25"/>
      <c r="P782" s="25"/>
      <c r="Q782" s="35">
        <v>2.0</v>
      </c>
      <c r="R782" s="35">
        <v>2.0</v>
      </c>
      <c r="S782" s="35">
        <v>2.0</v>
      </c>
      <c r="T782" s="35">
        <v>2.0</v>
      </c>
      <c r="U782" s="34"/>
      <c r="V782" s="34"/>
      <c r="W782" s="34"/>
      <c r="X782" s="34"/>
      <c r="Y782" s="34"/>
      <c r="Z782" s="34"/>
      <c r="AA782" s="25"/>
      <c r="AB782" s="25"/>
      <c r="AC782" s="25"/>
      <c r="AD782" s="25"/>
      <c r="AE782" s="25"/>
      <c r="AF782" s="25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25"/>
      <c r="AU782" s="34"/>
      <c r="AV782" s="34"/>
      <c r="AW782" s="34"/>
    </row>
    <row r="783" ht="15.0" customHeight="1">
      <c r="A783" s="32" t="s">
        <v>808</v>
      </c>
      <c r="B783" s="25"/>
      <c r="C783" s="25"/>
      <c r="D783" s="25"/>
      <c r="E783" s="25"/>
      <c r="F783" s="25"/>
      <c r="G783" s="35">
        <v>0.0</v>
      </c>
      <c r="H783" s="35">
        <v>1.0</v>
      </c>
      <c r="I783" s="25"/>
      <c r="J783" s="25"/>
      <c r="K783" s="25"/>
      <c r="L783" s="35"/>
      <c r="M783" s="35"/>
      <c r="N783" s="25"/>
      <c r="O783" s="25"/>
      <c r="P783" s="25"/>
      <c r="Q783" s="35">
        <v>2.0</v>
      </c>
      <c r="R783" s="35">
        <v>2.0</v>
      </c>
      <c r="S783" s="35">
        <v>2.0</v>
      </c>
      <c r="T783" s="35">
        <v>2.0</v>
      </c>
      <c r="U783" s="34"/>
      <c r="V783" s="34"/>
      <c r="W783" s="34"/>
      <c r="X783" s="34"/>
      <c r="Y783" s="34"/>
      <c r="Z783" s="34"/>
      <c r="AA783" s="25"/>
      <c r="AB783" s="25"/>
      <c r="AC783" s="25"/>
      <c r="AD783" s="25"/>
      <c r="AE783" s="25"/>
      <c r="AF783" s="25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25"/>
      <c r="AU783" s="34"/>
      <c r="AV783" s="34"/>
      <c r="AW783" s="34"/>
    </row>
    <row r="784" ht="15.0" customHeight="1">
      <c r="A784" s="32" t="s">
        <v>809</v>
      </c>
      <c r="B784" s="25"/>
      <c r="C784" s="25"/>
      <c r="D784" s="25"/>
      <c r="E784" s="25"/>
      <c r="F784" s="25"/>
      <c r="G784" s="35">
        <v>0.0</v>
      </c>
      <c r="H784" s="35">
        <v>1.0</v>
      </c>
      <c r="I784" s="25"/>
      <c r="J784" s="25"/>
      <c r="K784" s="25"/>
      <c r="L784" s="35"/>
      <c r="M784" s="35"/>
      <c r="N784" s="25"/>
      <c r="O784" s="25"/>
      <c r="P784" s="25"/>
      <c r="Q784" s="35">
        <v>2.0</v>
      </c>
      <c r="R784" s="35">
        <v>2.0</v>
      </c>
      <c r="S784" s="35">
        <v>2.0</v>
      </c>
      <c r="T784" s="35">
        <v>2.0</v>
      </c>
      <c r="U784" s="34"/>
      <c r="V784" s="34"/>
      <c r="W784" s="34"/>
      <c r="X784" s="34"/>
      <c r="Y784" s="34"/>
      <c r="Z784" s="34"/>
      <c r="AA784" s="25"/>
      <c r="AB784" s="25"/>
      <c r="AC784" s="25"/>
      <c r="AD784" s="25"/>
      <c r="AE784" s="25"/>
      <c r="AF784" s="25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25"/>
      <c r="AU784" s="34"/>
      <c r="AV784" s="34"/>
      <c r="AW784" s="34"/>
    </row>
    <row r="785" ht="15.0" customHeight="1">
      <c r="A785" s="32" t="s">
        <v>810</v>
      </c>
      <c r="B785" s="25"/>
      <c r="C785" s="25"/>
      <c r="D785" s="25"/>
      <c r="E785" s="25"/>
      <c r="F785" s="25"/>
      <c r="G785" s="35">
        <v>0.0</v>
      </c>
      <c r="H785" s="35">
        <v>1.0</v>
      </c>
      <c r="I785" s="25"/>
      <c r="J785" s="25"/>
      <c r="K785" s="25"/>
      <c r="L785" s="35"/>
      <c r="M785" s="35"/>
      <c r="N785" s="25"/>
      <c r="O785" s="25"/>
      <c r="P785" s="25"/>
      <c r="Q785" s="35">
        <v>2.0</v>
      </c>
      <c r="R785" s="35">
        <v>2.0</v>
      </c>
      <c r="S785" s="35">
        <v>2.0</v>
      </c>
      <c r="T785" s="35">
        <v>2.0</v>
      </c>
      <c r="U785" s="34"/>
      <c r="V785" s="34"/>
      <c r="W785" s="34"/>
      <c r="X785" s="34"/>
      <c r="Y785" s="34"/>
      <c r="Z785" s="34"/>
      <c r="AA785" s="25"/>
      <c r="AB785" s="25"/>
      <c r="AC785" s="25"/>
      <c r="AD785" s="25"/>
      <c r="AE785" s="25"/>
      <c r="AF785" s="25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25"/>
      <c r="AU785" s="34"/>
      <c r="AV785" s="34"/>
      <c r="AW785" s="34"/>
    </row>
    <row r="786" ht="15.0" customHeight="1">
      <c r="A786" s="32" t="s">
        <v>811</v>
      </c>
      <c r="B786" s="25"/>
      <c r="C786" s="25"/>
      <c r="D786" s="25"/>
      <c r="E786" s="25"/>
      <c r="F786" s="25"/>
      <c r="G786" s="35">
        <v>0.0</v>
      </c>
      <c r="H786" s="35">
        <v>1.0</v>
      </c>
      <c r="I786" s="25"/>
      <c r="J786" s="25"/>
      <c r="K786" s="25"/>
      <c r="L786" s="35"/>
      <c r="M786" s="35"/>
      <c r="N786" s="25"/>
      <c r="O786" s="25"/>
      <c r="P786" s="25"/>
      <c r="Q786" s="35">
        <v>2.0</v>
      </c>
      <c r="R786" s="35">
        <v>2.0</v>
      </c>
      <c r="S786" s="35">
        <v>2.0</v>
      </c>
      <c r="T786" s="35">
        <v>2.0</v>
      </c>
      <c r="U786" s="34"/>
      <c r="V786" s="34"/>
      <c r="W786" s="34"/>
      <c r="X786" s="34"/>
      <c r="Y786" s="34"/>
      <c r="Z786" s="34"/>
      <c r="AA786" s="25"/>
      <c r="AB786" s="25"/>
      <c r="AC786" s="25"/>
      <c r="AD786" s="25"/>
      <c r="AE786" s="25"/>
      <c r="AF786" s="25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25"/>
      <c r="AU786" s="34"/>
      <c r="AV786" s="34"/>
      <c r="AW786" s="34"/>
    </row>
    <row r="787" ht="15.0" customHeight="1">
      <c r="A787" s="32" t="s">
        <v>812</v>
      </c>
      <c r="B787" s="25"/>
      <c r="C787" s="25"/>
      <c r="D787" s="25"/>
      <c r="E787" s="25"/>
      <c r="F787" s="25"/>
      <c r="G787" s="35">
        <v>0.0</v>
      </c>
      <c r="H787" s="35">
        <v>1.0</v>
      </c>
      <c r="I787" s="25"/>
      <c r="J787" s="25"/>
      <c r="K787" s="25"/>
      <c r="L787" s="35"/>
      <c r="M787" s="35"/>
      <c r="N787" s="25"/>
      <c r="O787" s="25"/>
      <c r="P787" s="25"/>
      <c r="Q787" s="35">
        <v>2.0</v>
      </c>
      <c r="R787" s="35">
        <v>2.0</v>
      </c>
      <c r="S787" s="35">
        <v>2.0</v>
      </c>
      <c r="T787" s="35">
        <v>2.0</v>
      </c>
      <c r="U787" s="34"/>
      <c r="V787" s="34"/>
      <c r="W787" s="34"/>
      <c r="X787" s="34"/>
      <c r="Y787" s="34"/>
      <c r="Z787" s="34"/>
      <c r="AA787" s="25"/>
      <c r="AB787" s="25"/>
      <c r="AC787" s="25"/>
      <c r="AD787" s="25"/>
      <c r="AE787" s="25"/>
      <c r="AF787" s="25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25"/>
      <c r="AU787" s="34"/>
      <c r="AV787" s="34"/>
      <c r="AW787" s="34"/>
    </row>
    <row r="788" ht="15.0" customHeight="1">
      <c r="A788" s="32" t="s">
        <v>813</v>
      </c>
      <c r="B788" s="25"/>
      <c r="C788" s="25"/>
      <c r="D788" s="25"/>
      <c r="E788" s="25"/>
      <c r="F788" s="25"/>
      <c r="G788" s="35">
        <v>0.0</v>
      </c>
      <c r="H788" s="35">
        <v>1.0</v>
      </c>
      <c r="I788" s="25"/>
      <c r="J788" s="25"/>
      <c r="K788" s="25"/>
      <c r="L788" s="35"/>
      <c r="M788" s="35"/>
      <c r="N788" s="25"/>
      <c r="O788" s="25"/>
      <c r="P788" s="25"/>
      <c r="Q788" s="35">
        <v>2.0</v>
      </c>
      <c r="R788" s="35">
        <v>2.0</v>
      </c>
      <c r="S788" s="35">
        <v>2.0</v>
      </c>
      <c r="T788" s="35">
        <v>2.0</v>
      </c>
      <c r="U788" s="34"/>
      <c r="V788" s="34"/>
      <c r="W788" s="34"/>
      <c r="X788" s="34"/>
      <c r="Y788" s="34"/>
      <c r="Z788" s="34"/>
      <c r="AA788" s="25"/>
      <c r="AB788" s="25"/>
      <c r="AC788" s="25"/>
      <c r="AD788" s="25"/>
      <c r="AE788" s="25"/>
      <c r="AF788" s="25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25"/>
      <c r="AU788" s="34"/>
      <c r="AV788" s="34"/>
      <c r="AW788" s="34"/>
    </row>
    <row r="789" ht="15.0" customHeight="1">
      <c r="A789" s="32" t="s">
        <v>814</v>
      </c>
      <c r="B789" s="25"/>
      <c r="C789" s="25"/>
      <c r="D789" s="25"/>
      <c r="E789" s="25"/>
      <c r="F789" s="25"/>
      <c r="G789" s="35">
        <v>0.0</v>
      </c>
      <c r="H789" s="35">
        <v>1.0</v>
      </c>
      <c r="I789" s="25"/>
      <c r="J789" s="25"/>
      <c r="K789" s="25"/>
      <c r="L789" s="35"/>
      <c r="M789" s="35"/>
      <c r="N789" s="25"/>
      <c r="O789" s="25"/>
      <c r="P789" s="25"/>
      <c r="Q789" s="35">
        <v>2.0</v>
      </c>
      <c r="R789" s="35">
        <v>2.0</v>
      </c>
      <c r="S789" s="35">
        <v>2.0</v>
      </c>
      <c r="T789" s="35">
        <v>2.0</v>
      </c>
      <c r="U789" s="34"/>
      <c r="V789" s="34"/>
      <c r="W789" s="34"/>
      <c r="X789" s="34"/>
      <c r="Y789" s="34"/>
      <c r="Z789" s="34"/>
      <c r="AA789" s="25"/>
      <c r="AB789" s="25"/>
      <c r="AC789" s="25"/>
      <c r="AD789" s="25"/>
      <c r="AE789" s="25"/>
      <c r="AF789" s="25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25"/>
      <c r="AU789" s="34"/>
      <c r="AV789" s="34"/>
      <c r="AW789" s="34"/>
    </row>
    <row r="790" ht="15.0" customHeight="1">
      <c r="A790" s="32" t="s">
        <v>815</v>
      </c>
      <c r="B790" s="25"/>
      <c r="C790" s="25"/>
      <c r="D790" s="25"/>
      <c r="E790" s="25"/>
      <c r="F790" s="25"/>
      <c r="G790" s="35">
        <v>0.0</v>
      </c>
      <c r="H790" s="35">
        <v>1.0</v>
      </c>
      <c r="I790" s="25"/>
      <c r="J790" s="25"/>
      <c r="K790" s="25"/>
      <c r="L790" s="35"/>
      <c r="M790" s="35"/>
      <c r="N790" s="25"/>
      <c r="O790" s="25"/>
      <c r="P790" s="25"/>
      <c r="Q790" s="35">
        <v>2.0</v>
      </c>
      <c r="R790" s="35">
        <v>2.0</v>
      </c>
      <c r="S790" s="35">
        <v>2.0</v>
      </c>
      <c r="T790" s="35">
        <v>2.0</v>
      </c>
      <c r="U790" s="34"/>
      <c r="V790" s="34"/>
      <c r="W790" s="34"/>
      <c r="X790" s="34"/>
      <c r="Y790" s="34"/>
      <c r="Z790" s="34"/>
      <c r="AA790" s="25"/>
      <c r="AB790" s="25"/>
      <c r="AC790" s="25"/>
      <c r="AD790" s="25"/>
      <c r="AE790" s="25"/>
      <c r="AF790" s="25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25"/>
      <c r="AU790" s="34"/>
      <c r="AV790" s="34"/>
      <c r="AW790" s="34"/>
    </row>
    <row r="791" ht="15.0" customHeight="1">
      <c r="A791" s="32" t="s">
        <v>816</v>
      </c>
      <c r="B791" s="25"/>
      <c r="C791" s="25"/>
      <c r="D791" s="25"/>
      <c r="E791" s="25"/>
      <c r="F791" s="25"/>
      <c r="G791" s="35">
        <v>0.0</v>
      </c>
      <c r="H791" s="35">
        <v>1.0</v>
      </c>
      <c r="I791" s="25"/>
      <c r="J791" s="25"/>
      <c r="K791" s="25"/>
      <c r="L791" s="35"/>
      <c r="M791" s="35"/>
      <c r="N791" s="25"/>
      <c r="O791" s="25"/>
      <c r="P791" s="25"/>
      <c r="Q791" s="35">
        <v>2.0</v>
      </c>
      <c r="R791" s="35">
        <v>2.0</v>
      </c>
      <c r="S791" s="35">
        <v>2.0</v>
      </c>
      <c r="T791" s="35">
        <v>2.0</v>
      </c>
      <c r="U791" s="34"/>
      <c r="V791" s="34"/>
      <c r="W791" s="34"/>
      <c r="X791" s="34"/>
      <c r="Y791" s="34"/>
      <c r="Z791" s="34"/>
      <c r="AA791" s="25"/>
      <c r="AB791" s="25"/>
      <c r="AC791" s="25"/>
      <c r="AD791" s="25"/>
      <c r="AE791" s="25"/>
      <c r="AF791" s="25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25"/>
      <c r="AU791" s="34"/>
      <c r="AV791" s="34"/>
      <c r="AW791" s="34"/>
    </row>
    <row r="792" ht="15.0" customHeight="1">
      <c r="A792" s="32" t="s">
        <v>817</v>
      </c>
      <c r="B792" s="25"/>
      <c r="C792" s="25"/>
      <c r="D792" s="25"/>
      <c r="E792" s="25"/>
      <c r="F792" s="25"/>
      <c r="G792" s="35">
        <v>0.0</v>
      </c>
      <c r="H792" s="35">
        <v>1.0</v>
      </c>
      <c r="I792" s="25"/>
      <c r="J792" s="25"/>
      <c r="K792" s="25"/>
      <c r="L792" s="35"/>
      <c r="M792" s="35"/>
      <c r="N792" s="25"/>
      <c r="O792" s="25"/>
      <c r="P792" s="25"/>
      <c r="Q792" s="35">
        <v>2.0</v>
      </c>
      <c r="R792" s="35">
        <v>2.0</v>
      </c>
      <c r="S792" s="35">
        <v>2.0</v>
      </c>
      <c r="T792" s="35">
        <v>2.0</v>
      </c>
      <c r="U792" s="34"/>
      <c r="V792" s="34"/>
      <c r="W792" s="34"/>
      <c r="X792" s="34"/>
      <c r="Y792" s="34"/>
      <c r="Z792" s="34"/>
      <c r="AA792" s="25"/>
      <c r="AB792" s="25"/>
      <c r="AC792" s="25"/>
      <c r="AD792" s="25"/>
      <c r="AE792" s="25"/>
      <c r="AF792" s="25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25"/>
      <c r="AU792" s="34"/>
      <c r="AV792" s="34"/>
      <c r="AW792" s="34"/>
    </row>
    <row r="793" ht="15.0" customHeight="1">
      <c r="A793" s="32" t="s">
        <v>818</v>
      </c>
      <c r="B793" s="25"/>
      <c r="C793" s="25"/>
      <c r="D793" s="25"/>
      <c r="E793" s="25"/>
      <c r="F793" s="25"/>
      <c r="G793" s="35">
        <v>0.0</v>
      </c>
      <c r="H793" s="35">
        <v>1.0</v>
      </c>
      <c r="I793" s="25"/>
      <c r="J793" s="25"/>
      <c r="K793" s="25"/>
      <c r="L793" s="35"/>
      <c r="M793" s="35"/>
      <c r="N793" s="25"/>
      <c r="O793" s="25"/>
      <c r="P793" s="25"/>
      <c r="Q793" s="35">
        <v>2.0</v>
      </c>
      <c r="R793" s="35">
        <v>2.0</v>
      </c>
      <c r="S793" s="35">
        <v>2.0</v>
      </c>
      <c r="T793" s="35">
        <v>2.0</v>
      </c>
      <c r="U793" s="34"/>
      <c r="V793" s="34"/>
      <c r="W793" s="34"/>
      <c r="X793" s="34"/>
      <c r="Y793" s="34"/>
      <c r="Z793" s="34"/>
      <c r="AA793" s="25"/>
      <c r="AB793" s="25"/>
      <c r="AC793" s="25"/>
      <c r="AD793" s="25"/>
      <c r="AE793" s="25"/>
      <c r="AF793" s="25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25"/>
      <c r="AU793" s="34"/>
      <c r="AV793" s="34"/>
      <c r="AW793" s="34"/>
    </row>
    <row r="794" ht="15.0" customHeight="1">
      <c r="A794" s="32" t="s">
        <v>819</v>
      </c>
      <c r="B794" s="25"/>
      <c r="C794" s="25"/>
      <c r="D794" s="25"/>
      <c r="E794" s="25"/>
      <c r="F794" s="25"/>
      <c r="G794" s="35">
        <v>0.0</v>
      </c>
      <c r="H794" s="35">
        <v>1.0</v>
      </c>
      <c r="I794" s="25"/>
      <c r="J794" s="25"/>
      <c r="K794" s="25"/>
      <c r="L794" s="35"/>
      <c r="M794" s="35"/>
      <c r="N794" s="25"/>
      <c r="O794" s="25"/>
      <c r="P794" s="25"/>
      <c r="Q794" s="35">
        <v>2.0</v>
      </c>
      <c r="R794" s="35">
        <v>2.0</v>
      </c>
      <c r="S794" s="35">
        <v>2.0</v>
      </c>
      <c r="T794" s="35">
        <v>2.0</v>
      </c>
      <c r="U794" s="34"/>
      <c r="V794" s="34"/>
      <c r="W794" s="34"/>
      <c r="X794" s="34"/>
      <c r="Y794" s="34"/>
      <c r="Z794" s="34"/>
      <c r="AA794" s="25"/>
      <c r="AB794" s="25"/>
      <c r="AC794" s="25"/>
      <c r="AD794" s="25"/>
      <c r="AE794" s="25"/>
      <c r="AF794" s="25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25"/>
      <c r="AU794" s="34"/>
      <c r="AV794" s="34"/>
      <c r="AW794" s="34"/>
    </row>
    <row r="795" ht="15.0" customHeight="1">
      <c r="A795" s="32" t="s">
        <v>820</v>
      </c>
      <c r="B795" s="25"/>
      <c r="C795" s="25"/>
      <c r="D795" s="25"/>
      <c r="E795" s="25"/>
      <c r="F795" s="25"/>
      <c r="G795" s="35">
        <v>0.0</v>
      </c>
      <c r="H795" s="35">
        <v>1.0</v>
      </c>
      <c r="I795" s="25"/>
      <c r="J795" s="25"/>
      <c r="K795" s="25"/>
      <c r="L795" s="35"/>
      <c r="M795" s="35"/>
      <c r="N795" s="25"/>
      <c r="O795" s="25"/>
      <c r="P795" s="25"/>
      <c r="Q795" s="35">
        <v>2.0</v>
      </c>
      <c r="R795" s="35">
        <v>2.0</v>
      </c>
      <c r="S795" s="35">
        <v>2.0</v>
      </c>
      <c r="T795" s="35">
        <v>2.0</v>
      </c>
      <c r="U795" s="34"/>
      <c r="V795" s="34"/>
      <c r="W795" s="34"/>
      <c r="X795" s="34"/>
      <c r="Y795" s="34"/>
      <c r="Z795" s="34"/>
      <c r="AA795" s="25"/>
      <c r="AB795" s="25"/>
      <c r="AC795" s="25"/>
      <c r="AD795" s="25"/>
      <c r="AE795" s="25"/>
      <c r="AF795" s="25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25"/>
      <c r="AU795" s="34"/>
      <c r="AV795" s="34"/>
      <c r="AW795" s="34"/>
    </row>
    <row r="796" ht="15.0" customHeight="1">
      <c r="A796" s="32" t="s">
        <v>821</v>
      </c>
      <c r="B796" s="25"/>
      <c r="C796" s="25"/>
      <c r="D796" s="25"/>
      <c r="E796" s="25"/>
      <c r="F796" s="25"/>
      <c r="G796" s="35">
        <v>0.0</v>
      </c>
      <c r="H796" s="35">
        <v>1.0</v>
      </c>
      <c r="I796" s="25"/>
      <c r="J796" s="25"/>
      <c r="K796" s="25"/>
      <c r="L796" s="35"/>
      <c r="M796" s="35"/>
      <c r="N796" s="25"/>
      <c r="O796" s="25"/>
      <c r="P796" s="25"/>
      <c r="Q796" s="35">
        <v>2.0</v>
      </c>
      <c r="R796" s="35">
        <v>2.0</v>
      </c>
      <c r="S796" s="35">
        <v>2.0</v>
      </c>
      <c r="T796" s="35">
        <v>2.0</v>
      </c>
      <c r="U796" s="34"/>
      <c r="V796" s="34"/>
      <c r="W796" s="34"/>
      <c r="X796" s="34"/>
      <c r="Y796" s="34"/>
      <c r="Z796" s="34"/>
      <c r="AA796" s="25"/>
      <c r="AB796" s="25"/>
      <c r="AC796" s="25"/>
      <c r="AD796" s="25"/>
      <c r="AE796" s="25"/>
      <c r="AF796" s="25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25"/>
      <c r="AU796" s="34"/>
      <c r="AV796" s="34"/>
      <c r="AW796" s="34"/>
    </row>
    <row r="797" ht="15.0" customHeight="1">
      <c r="A797" s="32" t="s">
        <v>822</v>
      </c>
      <c r="B797" s="25"/>
      <c r="C797" s="25"/>
      <c r="D797" s="25"/>
      <c r="E797" s="25"/>
      <c r="F797" s="25"/>
      <c r="G797" s="35">
        <v>0.0</v>
      </c>
      <c r="H797" s="35">
        <v>1.0</v>
      </c>
      <c r="I797" s="25"/>
      <c r="J797" s="25"/>
      <c r="K797" s="25"/>
      <c r="L797" s="35"/>
      <c r="M797" s="35"/>
      <c r="N797" s="25"/>
      <c r="O797" s="25"/>
      <c r="P797" s="25"/>
      <c r="Q797" s="35">
        <v>2.0</v>
      </c>
      <c r="R797" s="35">
        <v>2.0</v>
      </c>
      <c r="S797" s="35">
        <v>2.0</v>
      </c>
      <c r="T797" s="35">
        <v>2.0</v>
      </c>
      <c r="U797" s="34"/>
      <c r="V797" s="34"/>
      <c r="W797" s="34"/>
      <c r="X797" s="34"/>
      <c r="Y797" s="34"/>
      <c r="Z797" s="34"/>
      <c r="AA797" s="25"/>
      <c r="AB797" s="25"/>
      <c r="AC797" s="25"/>
      <c r="AD797" s="25"/>
      <c r="AE797" s="25"/>
      <c r="AF797" s="25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25"/>
      <c r="AU797" s="34"/>
      <c r="AV797" s="34"/>
      <c r="AW797" s="34"/>
    </row>
    <row r="798" ht="15.0" customHeight="1">
      <c r="A798" s="32" t="s">
        <v>823</v>
      </c>
      <c r="B798" s="25"/>
      <c r="C798" s="25"/>
      <c r="D798" s="25"/>
      <c r="E798" s="25"/>
      <c r="F798" s="25"/>
      <c r="G798" s="35">
        <v>0.0</v>
      </c>
      <c r="H798" s="35">
        <v>1.0</v>
      </c>
      <c r="I798" s="25"/>
      <c r="J798" s="25"/>
      <c r="K798" s="25"/>
      <c r="L798" s="35"/>
      <c r="M798" s="35"/>
      <c r="N798" s="25"/>
      <c r="O798" s="25"/>
      <c r="P798" s="25"/>
      <c r="Q798" s="35">
        <v>2.0</v>
      </c>
      <c r="R798" s="35">
        <v>2.0</v>
      </c>
      <c r="S798" s="35">
        <v>2.0</v>
      </c>
      <c r="T798" s="35">
        <v>2.0</v>
      </c>
      <c r="U798" s="34"/>
      <c r="V798" s="34"/>
      <c r="W798" s="34"/>
      <c r="X798" s="34"/>
      <c r="Y798" s="34"/>
      <c r="Z798" s="34"/>
      <c r="AA798" s="25"/>
      <c r="AB798" s="25"/>
      <c r="AC798" s="25"/>
      <c r="AD798" s="25"/>
      <c r="AE798" s="25"/>
      <c r="AF798" s="25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25"/>
      <c r="AU798" s="34"/>
      <c r="AV798" s="34"/>
      <c r="AW798" s="34"/>
    </row>
    <row r="799" ht="15.0" customHeight="1">
      <c r="A799" s="32" t="s">
        <v>824</v>
      </c>
      <c r="B799" s="25"/>
      <c r="C799" s="25"/>
      <c r="D799" s="25"/>
      <c r="E799" s="25"/>
      <c r="F799" s="25"/>
      <c r="G799" s="35">
        <v>0.0</v>
      </c>
      <c r="H799" s="35">
        <v>1.0</v>
      </c>
      <c r="I799" s="25"/>
      <c r="J799" s="25"/>
      <c r="K799" s="25"/>
      <c r="L799" s="35"/>
      <c r="M799" s="35"/>
      <c r="N799" s="25"/>
      <c r="O799" s="25"/>
      <c r="P799" s="25"/>
      <c r="Q799" s="35">
        <v>2.0</v>
      </c>
      <c r="R799" s="35">
        <v>2.0</v>
      </c>
      <c r="S799" s="35">
        <v>2.0</v>
      </c>
      <c r="T799" s="35">
        <v>2.0</v>
      </c>
      <c r="U799" s="34"/>
      <c r="V799" s="34"/>
      <c r="W799" s="34"/>
      <c r="X799" s="34"/>
      <c r="Y799" s="34"/>
      <c r="Z799" s="34"/>
      <c r="AA799" s="25"/>
      <c r="AB799" s="25"/>
      <c r="AC799" s="25"/>
      <c r="AD799" s="25"/>
      <c r="AE799" s="25"/>
      <c r="AF799" s="25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25"/>
      <c r="AU799" s="34"/>
      <c r="AV799" s="34"/>
      <c r="AW799" s="34"/>
    </row>
    <row r="800" ht="15.0" customHeight="1">
      <c r="A800" s="32" t="s">
        <v>825</v>
      </c>
      <c r="B800" s="25"/>
      <c r="C800" s="25"/>
      <c r="D800" s="25"/>
      <c r="E800" s="25"/>
      <c r="F800" s="25"/>
      <c r="G800" s="35">
        <v>0.0</v>
      </c>
      <c r="H800" s="35">
        <v>1.0</v>
      </c>
      <c r="I800" s="25"/>
      <c r="J800" s="25"/>
      <c r="K800" s="25"/>
      <c r="L800" s="35"/>
      <c r="M800" s="35"/>
      <c r="N800" s="25"/>
      <c r="O800" s="25"/>
      <c r="P800" s="25"/>
      <c r="Q800" s="35">
        <v>2.0</v>
      </c>
      <c r="R800" s="35">
        <v>2.0</v>
      </c>
      <c r="S800" s="35">
        <v>2.0</v>
      </c>
      <c r="T800" s="35">
        <v>2.0</v>
      </c>
      <c r="U800" s="34"/>
      <c r="V800" s="34"/>
      <c r="W800" s="34"/>
      <c r="X800" s="34"/>
      <c r="Y800" s="34"/>
      <c r="Z800" s="34"/>
      <c r="AA800" s="25"/>
      <c r="AB800" s="25"/>
      <c r="AC800" s="25"/>
      <c r="AD800" s="25"/>
      <c r="AE800" s="25"/>
      <c r="AF800" s="25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25"/>
      <c r="AU800" s="34"/>
      <c r="AV800" s="34"/>
      <c r="AW800" s="34"/>
    </row>
    <row r="801" ht="15.0" customHeight="1">
      <c r="A801" s="32" t="s">
        <v>826</v>
      </c>
      <c r="B801" s="25"/>
      <c r="C801" s="25"/>
      <c r="D801" s="25"/>
      <c r="E801" s="25"/>
      <c r="F801" s="25"/>
      <c r="G801" s="35">
        <v>0.0</v>
      </c>
      <c r="H801" s="35">
        <v>1.0</v>
      </c>
      <c r="I801" s="25"/>
      <c r="J801" s="25"/>
      <c r="K801" s="25"/>
      <c r="L801" s="35"/>
      <c r="M801" s="35"/>
      <c r="N801" s="25"/>
      <c r="O801" s="25"/>
      <c r="P801" s="25"/>
      <c r="Q801" s="35">
        <v>2.0</v>
      </c>
      <c r="R801" s="35">
        <v>2.0</v>
      </c>
      <c r="S801" s="35">
        <v>2.0</v>
      </c>
      <c r="T801" s="35">
        <v>2.0</v>
      </c>
      <c r="U801" s="34"/>
      <c r="V801" s="34"/>
      <c r="W801" s="34"/>
      <c r="X801" s="34"/>
      <c r="Y801" s="34"/>
      <c r="Z801" s="34"/>
      <c r="AA801" s="25"/>
      <c r="AB801" s="25"/>
      <c r="AC801" s="25"/>
      <c r="AD801" s="25"/>
      <c r="AE801" s="25"/>
      <c r="AF801" s="25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25"/>
      <c r="AU801" s="34"/>
      <c r="AV801" s="34"/>
      <c r="AW801" s="34"/>
    </row>
    <row r="802" ht="15.0" customHeight="1">
      <c r="A802" s="32" t="s">
        <v>827</v>
      </c>
      <c r="B802" s="25"/>
      <c r="C802" s="25"/>
      <c r="D802" s="25"/>
      <c r="E802" s="25"/>
      <c r="F802" s="25"/>
      <c r="G802" s="35">
        <v>0.0</v>
      </c>
      <c r="H802" s="35">
        <v>1.0</v>
      </c>
      <c r="I802" s="25"/>
      <c r="J802" s="25"/>
      <c r="K802" s="25"/>
      <c r="L802" s="35"/>
      <c r="M802" s="35"/>
      <c r="N802" s="25"/>
      <c r="O802" s="25"/>
      <c r="P802" s="25"/>
      <c r="Q802" s="35">
        <v>2.0</v>
      </c>
      <c r="R802" s="35">
        <v>2.0</v>
      </c>
      <c r="S802" s="35">
        <v>2.0</v>
      </c>
      <c r="T802" s="35">
        <v>2.0</v>
      </c>
      <c r="U802" s="34"/>
      <c r="V802" s="34"/>
      <c r="W802" s="34"/>
      <c r="X802" s="34"/>
      <c r="Y802" s="34"/>
      <c r="Z802" s="34"/>
      <c r="AA802" s="25"/>
      <c r="AB802" s="25"/>
      <c r="AC802" s="25"/>
      <c r="AD802" s="25"/>
      <c r="AE802" s="25"/>
      <c r="AF802" s="25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25"/>
      <c r="AU802" s="34"/>
      <c r="AV802" s="34"/>
      <c r="AW802" s="34"/>
    </row>
    <row r="803" ht="15.0" customHeight="1">
      <c r="A803" s="32" t="s">
        <v>828</v>
      </c>
      <c r="B803" s="25"/>
      <c r="C803" s="25"/>
      <c r="D803" s="25"/>
      <c r="E803" s="25"/>
      <c r="F803" s="25"/>
      <c r="G803" s="35">
        <v>0.0</v>
      </c>
      <c r="H803" s="35">
        <v>1.0</v>
      </c>
      <c r="I803" s="25"/>
      <c r="J803" s="25"/>
      <c r="K803" s="25"/>
      <c r="L803" s="35"/>
      <c r="M803" s="35"/>
      <c r="N803" s="25"/>
      <c r="O803" s="25"/>
      <c r="P803" s="25"/>
      <c r="Q803" s="35">
        <v>2.0</v>
      </c>
      <c r="R803" s="35">
        <v>2.0</v>
      </c>
      <c r="S803" s="35">
        <v>2.0</v>
      </c>
      <c r="T803" s="35">
        <v>2.0</v>
      </c>
      <c r="U803" s="34"/>
      <c r="V803" s="34"/>
      <c r="W803" s="34"/>
      <c r="X803" s="34"/>
      <c r="Y803" s="34"/>
      <c r="Z803" s="34"/>
      <c r="AA803" s="25"/>
      <c r="AB803" s="25"/>
      <c r="AC803" s="25"/>
      <c r="AD803" s="25"/>
      <c r="AE803" s="25"/>
      <c r="AF803" s="25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25"/>
      <c r="AU803" s="34"/>
      <c r="AV803" s="34"/>
      <c r="AW803" s="34"/>
    </row>
    <row r="804" ht="15.0" customHeight="1">
      <c r="A804" s="32" t="s">
        <v>829</v>
      </c>
      <c r="B804" s="25"/>
      <c r="C804" s="25"/>
      <c r="D804" s="25"/>
      <c r="E804" s="25"/>
      <c r="F804" s="25"/>
      <c r="G804" s="35">
        <v>0.0</v>
      </c>
      <c r="H804" s="35">
        <v>1.0</v>
      </c>
      <c r="I804" s="25"/>
      <c r="J804" s="25"/>
      <c r="K804" s="25"/>
      <c r="L804" s="35"/>
      <c r="M804" s="35"/>
      <c r="N804" s="25"/>
      <c r="O804" s="25"/>
      <c r="P804" s="25"/>
      <c r="Q804" s="35">
        <v>2.0</v>
      </c>
      <c r="R804" s="35">
        <v>2.0</v>
      </c>
      <c r="S804" s="35">
        <v>2.0</v>
      </c>
      <c r="T804" s="35">
        <v>2.0</v>
      </c>
      <c r="U804" s="34"/>
      <c r="V804" s="34"/>
      <c r="W804" s="34"/>
      <c r="X804" s="34"/>
      <c r="Y804" s="34"/>
      <c r="Z804" s="34"/>
      <c r="AA804" s="25"/>
      <c r="AB804" s="25"/>
      <c r="AC804" s="25"/>
      <c r="AD804" s="25"/>
      <c r="AE804" s="25"/>
      <c r="AF804" s="25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25"/>
      <c r="AU804" s="34"/>
      <c r="AV804" s="34"/>
      <c r="AW804" s="34"/>
    </row>
    <row r="805" ht="15.0" customHeight="1">
      <c r="A805" s="32" t="s">
        <v>830</v>
      </c>
      <c r="B805" s="25"/>
      <c r="C805" s="25"/>
      <c r="D805" s="25"/>
      <c r="E805" s="25"/>
      <c r="F805" s="25"/>
      <c r="G805" s="35">
        <v>0.0</v>
      </c>
      <c r="H805" s="35">
        <v>1.0</v>
      </c>
      <c r="I805" s="25"/>
      <c r="J805" s="25"/>
      <c r="K805" s="25"/>
      <c r="L805" s="35"/>
      <c r="M805" s="35"/>
      <c r="N805" s="25"/>
      <c r="O805" s="25"/>
      <c r="P805" s="25"/>
      <c r="Q805" s="35">
        <v>2.0</v>
      </c>
      <c r="R805" s="35">
        <v>2.0</v>
      </c>
      <c r="S805" s="35">
        <v>2.0</v>
      </c>
      <c r="T805" s="35">
        <v>2.0</v>
      </c>
      <c r="U805" s="34"/>
      <c r="V805" s="34"/>
      <c r="W805" s="34"/>
      <c r="X805" s="34"/>
      <c r="Y805" s="34"/>
      <c r="Z805" s="34"/>
      <c r="AA805" s="25"/>
      <c r="AB805" s="25"/>
      <c r="AC805" s="25"/>
      <c r="AD805" s="25"/>
      <c r="AE805" s="25"/>
      <c r="AF805" s="25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25"/>
      <c r="AU805" s="34"/>
      <c r="AV805" s="34"/>
      <c r="AW805" s="34"/>
    </row>
    <row r="806" ht="15.0" customHeight="1">
      <c r="A806" s="32" t="s">
        <v>831</v>
      </c>
      <c r="B806" s="25"/>
      <c r="C806" s="25"/>
      <c r="D806" s="25"/>
      <c r="E806" s="25"/>
      <c r="F806" s="25"/>
      <c r="G806" s="35">
        <v>0.0</v>
      </c>
      <c r="H806" s="35">
        <v>1.0</v>
      </c>
      <c r="I806" s="25"/>
      <c r="J806" s="25"/>
      <c r="K806" s="25"/>
      <c r="L806" s="35"/>
      <c r="M806" s="35"/>
      <c r="N806" s="25"/>
      <c r="O806" s="25"/>
      <c r="P806" s="25"/>
      <c r="Q806" s="35">
        <v>2.0</v>
      </c>
      <c r="R806" s="35">
        <v>2.0</v>
      </c>
      <c r="S806" s="35">
        <v>2.0</v>
      </c>
      <c r="T806" s="35">
        <v>2.0</v>
      </c>
      <c r="U806" s="34"/>
      <c r="V806" s="34"/>
      <c r="W806" s="34"/>
      <c r="X806" s="34"/>
      <c r="Y806" s="34"/>
      <c r="Z806" s="34"/>
      <c r="AA806" s="25"/>
      <c r="AB806" s="25"/>
      <c r="AC806" s="25"/>
      <c r="AD806" s="25"/>
      <c r="AE806" s="25"/>
      <c r="AF806" s="25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25"/>
      <c r="AU806" s="34"/>
      <c r="AV806" s="34"/>
      <c r="AW806" s="34"/>
    </row>
    <row r="807" ht="15.0" customHeight="1">
      <c r="A807" s="32" t="s">
        <v>832</v>
      </c>
      <c r="B807" s="25"/>
      <c r="C807" s="25"/>
      <c r="D807" s="25"/>
      <c r="E807" s="25"/>
      <c r="F807" s="25"/>
      <c r="G807" s="35">
        <v>0.0</v>
      </c>
      <c r="H807" s="35">
        <v>1.0</v>
      </c>
      <c r="I807" s="25"/>
      <c r="J807" s="25"/>
      <c r="K807" s="25"/>
      <c r="L807" s="35"/>
      <c r="M807" s="35"/>
      <c r="N807" s="25"/>
      <c r="O807" s="25"/>
      <c r="P807" s="25"/>
      <c r="Q807" s="35">
        <v>2.0</v>
      </c>
      <c r="R807" s="35">
        <v>2.0</v>
      </c>
      <c r="S807" s="35">
        <v>2.0</v>
      </c>
      <c r="T807" s="35">
        <v>2.0</v>
      </c>
      <c r="U807" s="34"/>
      <c r="V807" s="34"/>
      <c r="W807" s="34"/>
      <c r="X807" s="34"/>
      <c r="Y807" s="34"/>
      <c r="Z807" s="34"/>
      <c r="AA807" s="25"/>
      <c r="AB807" s="25"/>
      <c r="AC807" s="25"/>
      <c r="AD807" s="25"/>
      <c r="AE807" s="25"/>
      <c r="AF807" s="25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25"/>
      <c r="AU807" s="34"/>
      <c r="AV807" s="34"/>
      <c r="AW807" s="34"/>
    </row>
    <row r="808" ht="15.0" customHeight="1">
      <c r="A808" s="32" t="s">
        <v>833</v>
      </c>
      <c r="B808" s="25"/>
      <c r="C808" s="25"/>
      <c r="D808" s="25"/>
      <c r="E808" s="25"/>
      <c r="F808" s="25"/>
      <c r="G808" s="35">
        <v>0.0</v>
      </c>
      <c r="H808" s="35">
        <v>1.0</v>
      </c>
      <c r="I808" s="25"/>
      <c r="J808" s="25"/>
      <c r="K808" s="25"/>
      <c r="L808" s="35"/>
      <c r="M808" s="35"/>
      <c r="N808" s="25"/>
      <c r="O808" s="25"/>
      <c r="P808" s="25"/>
      <c r="Q808" s="35">
        <v>2.0</v>
      </c>
      <c r="R808" s="35">
        <v>2.0</v>
      </c>
      <c r="S808" s="35">
        <v>2.0</v>
      </c>
      <c r="T808" s="35">
        <v>2.0</v>
      </c>
      <c r="U808" s="34"/>
      <c r="V808" s="34"/>
      <c r="W808" s="34"/>
      <c r="X808" s="34"/>
      <c r="Y808" s="34"/>
      <c r="Z808" s="34"/>
      <c r="AA808" s="25"/>
      <c r="AB808" s="25"/>
      <c r="AC808" s="25"/>
      <c r="AD808" s="25"/>
      <c r="AE808" s="25"/>
      <c r="AF808" s="25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25"/>
      <c r="AU808" s="34"/>
      <c r="AV808" s="34"/>
      <c r="AW808" s="34"/>
    </row>
    <row r="809" ht="15.0" customHeight="1">
      <c r="A809" s="32" t="s">
        <v>834</v>
      </c>
      <c r="B809" s="25"/>
      <c r="C809" s="25"/>
      <c r="D809" s="25"/>
      <c r="E809" s="25"/>
      <c r="F809" s="25"/>
      <c r="G809" s="35">
        <v>0.0</v>
      </c>
      <c r="H809" s="35">
        <v>1.0</v>
      </c>
      <c r="I809" s="25"/>
      <c r="J809" s="25"/>
      <c r="K809" s="25"/>
      <c r="L809" s="35"/>
      <c r="M809" s="35"/>
      <c r="N809" s="25"/>
      <c r="O809" s="25"/>
      <c r="P809" s="25"/>
      <c r="Q809" s="35">
        <v>2.0</v>
      </c>
      <c r="R809" s="35">
        <v>2.0</v>
      </c>
      <c r="S809" s="35">
        <v>2.0</v>
      </c>
      <c r="T809" s="35">
        <v>2.0</v>
      </c>
      <c r="U809" s="34"/>
      <c r="V809" s="34"/>
      <c r="W809" s="34"/>
      <c r="X809" s="34"/>
      <c r="Y809" s="34"/>
      <c r="Z809" s="34"/>
      <c r="AA809" s="25"/>
      <c r="AB809" s="25"/>
      <c r="AC809" s="25"/>
      <c r="AD809" s="25"/>
      <c r="AE809" s="25"/>
      <c r="AF809" s="25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25"/>
      <c r="AU809" s="34"/>
      <c r="AV809" s="34"/>
      <c r="AW809" s="34"/>
    </row>
    <row r="810" ht="15.0" customHeight="1">
      <c r="A810" s="32" t="s">
        <v>835</v>
      </c>
      <c r="B810" s="25"/>
      <c r="C810" s="25"/>
      <c r="D810" s="25"/>
      <c r="E810" s="25"/>
      <c r="F810" s="25"/>
      <c r="G810" s="35">
        <v>0.0</v>
      </c>
      <c r="H810" s="35">
        <v>1.0</v>
      </c>
      <c r="I810" s="25"/>
      <c r="J810" s="25"/>
      <c r="K810" s="25"/>
      <c r="L810" s="35"/>
      <c r="M810" s="35"/>
      <c r="N810" s="25"/>
      <c r="O810" s="25"/>
      <c r="P810" s="25"/>
      <c r="Q810" s="35">
        <v>2.0</v>
      </c>
      <c r="R810" s="35">
        <v>2.0</v>
      </c>
      <c r="S810" s="35">
        <v>2.0</v>
      </c>
      <c r="T810" s="35">
        <v>2.0</v>
      </c>
      <c r="U810" s="34"/>
      <c r="V810" s="34"/>
      <c r="W810" s="34"/>
      <c r="X810" s="34"/>
      <c r="Y810" s="34"/>
      <c r="Z810" s="34"/>
      <c r="AA810" s="25"/>
      <c r="AB810" s="25"/>
      <c r="AC810" s="25"/>
      <c r="AD810" s="25"/>
      <c r="AE810" s="25"/>
      <c r="AF810" s="25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25"/>
      <c r="AU810" s="34"/>
      <c r="AV810" s="34"/>
      <c r="AW810" s="34"/>
    </row>
    <row r="811" ht="15.0" customHeight="1">
      <c r="A811" s="32" t="s">
        <v>836</v>
      </c>
      <c r="B811" s="25"/>
      <c r="C811" s="25"/>
      <c r="D811" s="25"/>
      <c r="E811" s="25"/>
      <c r="F811" s="25"/>
      <c r="G811" s="35">
        <v>0.0</v>
      </c>
      <c r="H811" s="35">
        <v>1.0</v>
      </c>
      <c r="I811" s="25"/>
      <c r="J811" s="25"/>
      <c r="K811" s="25"/>
      <c r="L811" s="35"/>
      <c r="M811" s="35"/>
      <c r="N811" s="25"/>
      <c r="O811" s="25"/>
      <c r="P811" s="25"/>
      <c r="Q811" s="35">
        <v>2.0</v>
      </c>
      <c r="R811" s="35">
        <v>2.0</v>
      </c>
      <c r="S811" s="35">
        <v>2.0</v>
      </c>
      <c r="T811" s="35">
        <v>2.0</v>
      </c>
      <c r="U811" s="34"/>
      <c r="V811" s="34"/>
      <c r="W811" s="34"/>
      <c r="X811" s="34"/>
      <c r="Y811" s="34"/>
      <c r="Z811" s="34"/>
      <c r="AA811" s="25"/>
      <c r="AB811" s="25"/>
      <c r="AC811" s="25"/>
      <c r="AD811" s="25"/>
      <c r="AE811" s="25"/>
      <c r="AF811" s="25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25"/>
      <c r="AU811" s="34"/>
      <c r="AV811" s="34"/>
      <c r="AW811" s="34"/>
    </row>
    <row r="812" ht="15.0" customHeight="1">
      <c r="A812" s="32" t="s">
        <v>837</v>
      </c>
      <c r="B812" s="25"/>
      <c r="C812" s="25"/>
      <c r="D812" s="25"/>
      <c r="E812" s="25"/>
      <c r="F812" s="25"/>
      <c r="G812" s="35">
        <v>0.0</v>
      </c>
      <c r="H812" s="35">
        <v>1.0</v>
      </c>
      <c r="I812" s="25"/>
      <c r="J812" s="25"/>
      <c r="K812" s="25"/>
      <c r="L812" s="35"/>
      <c r="M812" s="35"/>
      <c r="N812" s="25"/>
      <c r="O812" s="25"/>
      <c r="P812" s="25"/>
      <c r="Q812" s="35">
        <v>2.0</v>
      </c>
      <c r="R812" s="35">
        <v>2.0</v>
      </c>
      <c r="S812" s="35">
        <v>2.0</v>
      </c>
      <c r="T812" s="35">
        <v>2.0</v>
      </c>
      <c r="U812" s="34"/>
      <c r="V812" s="34"/>
      <c r="W812" s="34"/>
      <c r="X812" s="34"/>
      <c r="Y812" s="34"/>
      <c r="Z812" s="34"/>
      <c r="AA812" s="25"/>
      <c r="AB812" s="25"/>
      <c r="AC812" s="25"/>
      <c r="AD812" s="25"/>
      <c r="AE812" s="25"/>
      <c r="AF812" s="25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25"/>
      <c r="AU812" s="34"/>
      <c r="AV812" s="34"/>
      <c r="AW812" s="34"/>
    </row>
    <row r="813" ht="15.0" customHeight="1">
      <c r="A813" s="32" t="s">
        <v>838</v>
      </c>
      <c r="B813" s="25"/>
      <c r="C813" s="25"/>
      <c r="D813" s="25"/>
      <c r="E813" s="25"/>
      <c r="F813" s="25"/>
      <c r="G813" s="35">
        <v>0.0</v>
      </c>
      <c r="H813" s="35">
        <v>1.0</v>
      </c>
      <c r="I813" s="25"/>
      <c r="J813" s="25"/>
      <c r="K813" s="25"/>
      <c r="L813" s="35"/>
      <c r="M813" s="35"/>
      <c r="N813" s="25"/>
      <c r="O813" s="25"/>
      <c r="P813" s="25"/>
      <c r="Q813" s="35">
        <v>2.0</v>
      </c>
      <c r="R813" s="35">
        <v>2.0</v>
      </c>
      <c r="S813" s="35">
        <v>2.0</v>
      </c>
      <c r="T813" s="35">
        <v>2.0</v>
      </c>
      <c r="U813" s="34"/>
      <c r="V813" s="34"/>
      <c r="W813" s="34"/>
      <c r="X813" s="34"/>
      <c r="Y813" s="34"/>
      <c r="Z813" s="34"/>
      <c r="AA813" s="25"/>
      <c r="AB813" s="25"/>
      <c r="AC813" s="25"/>
      <c r="AD813" s="25"/>
      <c r="AE813" s="25"/>
      <c r="AF813" s="25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25"/>
      <c r="AU813" s="34"/>
      <c r="AV813" s="34"/>
      <c r="AW813" s="34"/>
    </row>
    <row r="814" ht="15.0" customHeight="1">
      <c r="A814" s="32" t="s">
        <v>839</v>
      </c>
      <c r="B814" s="25"/>
      <c r="C814" s="25"/>
      <c r="D814" s="25"/>
      <c r="E814" s="25"/>
      <c r="F814" s="25"/>
      <c r="G814" s="35">
        <v>0.0</v>
      </c>
      <c r="H814" s="35">
        <v>1.0</v>
      </c>
      <c r="I814" s="25"/>
      <c r="J814" s="25"/>
      <c r="K814" s="25"/>
      <c r="L814" s="35"/>
      <c r="M814" s="35"/>
      <c r="N814" s="25"/>
      <c r="O814" s="25"/>
      <c r="P814" s="25"/>
      <c r="Q814" s="35">
        <v>2.0</v>
      </c>
      <c r="R814" s="35">
        <v>2.0</v>
      </c>
      <c r="S814" s="35">
        <v>2.0</v>
      </c>
      <c r="T814" s="35">
        <v>2.0</v>
      </c>
      <c r="U814" s="34"/>
      <c r="V814" s="34"/>
      <c r="W814" s="34"/>
      <c r="X814" s="34"/>
      <c r="Y814" s="34"/>
      <c r="Z814" s="34"/>
      <c r="AA814" s="25"/>
      <c r="AB814" s="25"/>
      <c r="AC814" s="25"/>
      <c r="AD814" s="25"/>
      <c r="AE814" s="25"/>
      <c r="AF814" s="25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25"/>
      <c r="AU814" s="34"/>
      <c r="AV814" s="34"/>
      <c r="AW814" s="34"/>
    </row>
    <row r="815" ht="15.0" customHeight="1">
      <c r="A815" s="32" t="s">
        <v>840</v>
      </c>
      <c r="B815" s="25"/>
      <c r="C815" s="25"/>
      <c r="D815" s="25"/>
      <c r="E815" s="25"/>
      <c r="F815" s="25"/>
      <c r="G815" s="35">
        <v>0.0</v>
      </c>
      <c r="H815" s="35">
        <v>1.0</v>
      </c>
      <c r="I815" s="25"/>
      <c r="J815" s="25"/>
      <c r="K815" s="25"/>
      <c r="L815" s="35"/>
      <c r="M815" s="35"/>
      <c r="N815" s="25"/>
      <c r="O815" s="25"/>
      <c r="P815" s="25"/>
      <c r="Q815" s="35">
        <v>2.0</v>
      </c>
      <c r="R815" s="35">
        <v>2.0</v>
      </c>
      <c r="S815" s="35">
        <v>2.0</v>
      </c>
      <c r="T815" s="35">
        <v>2.0</v>
      </c>
      <c r="U815" s="34"/>
      <c r="V815" s="34"/>
      <c r="W815" s="34"/>
      <c r="X815" s="34"/>
      <c r="Y815" s="34"/>
      <c r="Z815" s="34"/>
      <c r="AA815" s="25"/>
      <c r="AB815" s="25"/>
      <c r="AC815" s="25"/>
      <c r="AD815" s="25"/>
      <c r="AE815" s="25"/>
      <c r="AF815" s="25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25"/>
      <c r="AU815" s="34"/>
      <c r="AV815" s="34"/>
      <c r="AW815" s="34"/>
    </row>
    <row r="816" ht="15.0" customHeight="1">
      <c r="A816" s="32" t="s">
        <v>841</v>
      </c>
      <c r="B816" s="25"/>
      <c r="C816" s="25"/>
      <c r="D816" s="25"/>
      <c r="E816" s="25"/>
      <c r="F816" s="25"/>
      <c r="G816" s="35">
        <v>0.0</v>
      </c>
      <c r="H816" s="35">
        <v>1.0</v>
      </c>
      <c r="I816" s="25"/>
      <c r="J816" s="25"/>
      <c r="K816" s="25"/>
      <c r="L816" s="35"/>
      <c r="M816" s="35"/>
      <c r="N816" s="25"/>
      <c r="O816" s="25"/>
      <c r="P816" s="25"/>
      <c r="Q816" s="35">
        <v>2.0</v>
      </c>
      <c r="R816" s="35">
        <v>2.0</v>
      </c>
      <c r="S816" s="35">
        <v>2.0</v>
      </c>
      <c r="T816" s="35">
        <v>2.0</v>
      </c>
      <c r="U816" s="34"/>
      <c r="V816" s="34"/>
      <c r="W816" s="34"/>
      <c r="X816" s="34"/>
      <c r="Y816" s="34"/>
      <c r="Z816" s="34"/>
      <c r="AA816" s="25"/>
      <c r="AB816" s="25"/>
      <c r="AC816" s="25"/>
      <c r="AD816" s="25"/>
      <c r="AE816" s="25"/>
      <c r="AF816" s="25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25"/>
      <c r="AU816" s="34"/>
      <c r="AV816" s="34"/>
      <c r="AW816" s="34"/>
    </row>
    <row r="817" ht="15.0" customHeight="1">
      <c r="A817" s="32" t="s">
        <v>842</v>
      </c>
      <c r="B817" s="25"/>
      <c r="C817" s="25"/>
      <c r="D817" s="25"/>
      <c r="E817" s="25"/>
      <c r="F817" s="25"/>
      <c r="G817" s="35">
        <v>0.0</v>
      </c>
      <c r="H817" s="35">
        <v>1.0</v>
      </c>
      <c r="I817" s="25"/>
      <c r="J817" s="25"/>
      <c r="K817" s="25"/>
      <c r="L817" s="35"/>
      <c r="M817" s="35"/>
      <c r="N817" s="25"/>
      <c r="O817" s="25"/>
      <c r="P817" s="25"/>
      <c r="Q817" s="35">
        <v>2.0</v>
      </c>
      <c r="R817" s="35">
        <v>2.0</v>
      </c>
      <c r="S817" s="35">
        <v>2.0</v>
      </c>
      <c r="T817" s="35">
        <v>2.0</v>
      </c>
      <c r="U817" s="34"/>
      <c r="V817" s="34"/>
      <c r="W817" s="34"/>
      <c r="X817" s="34"/>
      <c r="Y817" s="34"/>
      <c r="Z817" s="34"/>
      <c r="AA817" s="25"/>
      <c r="AB817" s="25"/>
      <c r="AC817" s="25"/>
      <c r="AD817" s="25"/>
      <c r="AE817" s="25"/>
      <c r="AF817" s="25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25"/>
      <c r="AU817" s="34"/>
      <c r="AV817" s="34"/>
      <c r="AW817" s="34"/>
    </row>
    <row r="818" ht="15.0" customHeight="1">
      <c r="A818" s="32" t="s">
        <v>843</v>
      </c>
      <c r="B818" s="25"/>
      <c r="C818" s="25"/>
      <c r="D818" s="25"/>
      <c r="E818" s="25"/>
      <c r="F818" s="25"/>
      <c r="G818" s="35">
        <v>0.0</v>
      </c>
      <c r="H818" s="35">
        <v>1.0</v>
      </c>
      <c r="I818" s="25"/>
      <c r="J818" s="25"/>
      <c r="K818" s="25"/>
      <c r="L818" s="35"/>
      <c r="M818" s="35"/>
      <c r="N818" s="25"/>
      <c r="O818" s="25"/>
      <c r="P818" s="25"/>
      <c r="Q818" s="35">
        <v>2.0</v>
      </c>
      <c r="R818" s="35">
        <v>2.0</v>
      </c>
      <c r="S818" s="35">
        <v>2.0</v>
      </c>
      <c r="T818" s="35">
        <v>2.0</v>
      </c>
      <c r="U818" s="34"/>
      <c r="V818" s="34"/>
      <c r="W818" s="34"/>
      <c r="X818" s="34"/>
      <c r="Y818" s="34"/>
      <c r="Z818" s="34"/>
      <c r="AA818" s="25"/>
      <c r="AB818" s="25"/>
      <c r="AC818" s="25"/>
      <c r="AD818" s="25"/>
      <c r="AE818" s="25"/>
      <c r="AF818" s="25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25"/>
      <c r="AU818" s="34"/>
      <c r="AV818" s="34"/>
      <c r="AW818" s="34"/>
    </row>
    <row r="819" ht="15.0" customHeight="1">
      <c r="A819" s="32" t="s">
        <v>844</v>
      </c>
      <c r="B819" s="25"/>
      <c r="C819" s="25"/>
      <c r="D819" s="25"/>
      <c r="E819" s="25"/>
      <c r="F819" s="25"/>
      <c r="G819" s="35">
        <v>0.0</v>
      </c>
      <c r="H819" s="35">
        <v>1.0</v>
      </c>
      <c r="I819" s="25"/>
      <c r="J819" s="25"/>
      <c r="K819" s="25"/>
      <c r="L819" s="35"/>
      <c r="M819" s="35"/>
      <c r="N819" s="25"/>
      <c r="O819" s="25"/>
      <c r="P819" s="25"/>
      <c r="Q819" s="35">
        <v>2.0</v>
      </c>
      <c r="R819" s="35">
        <v>2.0</v>
      </c>
      <c r="S819" s="35">
        <v>2.0</v>
      </c>
      <c r="T819" s="35">
        <v>2.0</v>
      </c>
      <c r="U819" s="34"/>
      <c r="V819" s="34"/>
      <c r="W819" s="34"/>
      <c r="X819" s="34"/>
      <c r="Y819" s="34"/>
      <c r="Z819" s="34"/>
      <c r="AA819" s="25"/>
      <c r="AB819" s="25"/>
      <c r="AC819" s="25"/>
      <c r="AD819" s="25"/>
      <c r="AE819" s="25"/>
      <c r="AF819" s="25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25"/>
      <c r="AU819" s="34"/>
      <c r="AV819" s="34"/>
      <c r="AW819" s="34"/>
    </row>
    <row r="820" ht="15.0" customHeight="1">
      <c r="A820" s="32" t="s">
        <v>845</v>
      </c>
      <c r="B820" s="25"/>
      <c r="C820" s="25"/>
      <c r="D820" s="25"/>
      <c r="E820" s="25"/>
      <c r="F820" s="25"/>
      <c r="G820" s="35">
        <v>0.0</v>
      </c>
      <c r="H820" s="35">
        <v>1.0</v>
      </c>
      <c r="I820" s="25"/>
      <c r="J820" s="25"/>
      <c r="K820" s="25"/>
      <c r="L820" s="35"/>
      <c r="M820" s="35"/>
      <c r="N820" s="25"/>
      <c r="O820" s="25"/>
      <c r="P820" s="25"/>
      <c r="Q820" s="35">
        <v>2.0</v>
      </c>
      <c r="R820" s="35">
        <v>2.0</v>
      </c>
      <c r="S820" s="35">
        <v>2.0</v>
      </c>
      <c r="T820" s="35">
        <v>2.0</v>
      </c>
      <c r="U820" s="34"/>
      <c r="V820" s="34"/>
      <c r="W820" s="34"/>
      <c r="X820" s="34"/>
      <c r="Y820" s="34"/>
      <c r="Z820" s="34"/>
      <c r="AA820" s="25"/>
      <c r="AB820" s="25"/>
      <c r="AC820" s="25"/>
      <c r="AD820" s="25"/>
      <c r="AE820" s="25"/>
      <c r="AF820" s="25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25"/>
      <c r="AU820" s="34"/>
      <c r="AV820" s="34"/>
      <c r="AW820" s="34"/>
    </row>
    <row r="821" ht="15.0" customHeight="1">
      <c r="A821" s="32" t="s">
        <v>846</v>
      </c>
      <c r="B821" s="25"/>
      <c r="C821" s="25"/>
      <c r="D821" s="25"/>
      <c r="E821" s="25"/>
      <c r="F821" s="25"/>
      <c r="G821" s="35">
        <v>0.0</v>
      </c>
      <c r="H821" s="35">
        <v>1.0</v>
      </c>
      <c r="I821" s="25"/>
      <c r="J821" s="25"/>
      <c r="K821" s="25"/>
      <c r="L821" s="35"/>
      <c r="M821" s="35"/>
      <c r="N821" s="25"/>
      <c r="O821" s="25"/>
      <c r="P821" s="25"/>
      <c r="Q821" s="35">
        <v>2.0</v>
      </c>
      <c r="R821" s="35">
        <v>2.0</v>
      </c>
      <c r="S821" s="35">
        <v>2.0</v>
      </c>
      <c r="T821" s="35">
        <v>2.0</v>
      </c>
      <c r="U821" s="34"/>
      <c r="V821" s="34"/>
      <c r="W821" s="34"/>
      <c r="X821" s="34"/>
      <c r="Y821" s="34"/>
      <c r="Z821" s="34"/>
      <c r="AA821" s="25"/>
      <c r="AB821" s="25"/>
      <c r="AC821" s="25"/>
      <c r="AD821" s="25"/>
      <c r="AE821" s="25"/>
      <c r="AF821" s="25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25"/>
      <c r="AU821" s="34"/>
      <c r="AV821" s="34"/>
      <c r="AW821" s="34"/>
    </row>
    <row r="822" ht="15.0" customHeight="1">
      <c r="A822" s="32" t="s">
        <v>847</v>
      </c>
      <c r="B822" s="25"/>
      <c r="C822" s="25"/>
      <c r="D822" s="25"/>
      <c r="E822" s="25"/>
      <c r="F822" s="25"/>
      <c r="G822" s="35">
        <v>0.0</v>
      </c>
      <c r="H822" s="35">
        <v>1.0</v>
      </c>
      <c r="I822" s="25"/>
      <c r="J822" s="25"/>
      <c r="K822" s="25"/>
      <c r="L822" s="35"/>
      <c r="M822" s="35"/>
      <c r="N822" s="25"/>
      <c r="O822" s="25"/>
      <c r="P822" s="25"/>
      <c r="Q822" s="35">
        <v>2.0</v>
      </c>
      <c r="R822" s="35">
        <v>2.0</v>
      </c>
      <c r="S822" s="35">
        <v>2.0</v>
      </c>
      <c r="T822" s="35">
        <v>2.0</v>
      </c>
      <c r="U822" s="34"/>
      <c r="V822" s="34"/>
      <c r="W822" s="34"/>
      <c r="X822" s="34"/>
      <c r="Y822" s="34"/>
      <c r="Z822" s="34"/>
      <c r="AA822" s="25"/>
      <c r="AB822" s="25"/>
      <c r="AC822" s="25"/>
      <c r="AD822" s="25"/>
      <c r="AE822" s="25"/>
      <c r="AF822" s="25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25"/>
      <c r="AU822" s="34"/>
      <c r="AV822" s="34"/>
      <c r="AW822" s="34"/>
    </row>
    <row r="823" ht="15.0" customHeight="1">
      <c r="A823" s="32" t="s">
        <v>848</v>
      </c>
      <c r="B823" s="25"/>
      <c r="C823" s="25"/>
      <c r="D823" s="25"/>
      <c r="E823" s="25"/>
      <c r="F823" s="25"/>
      <c r="G823" s="35">
        <v>0.0</v>
      </c>
      <c r="H823" s="35">
        <v>1.0</v>
      </c>
      <c r="I823" s="25"/>
      <c r="J823" s="25"/>
      <c r="K823" s="25"/>
      <c r="L823" s="35"/>
      <c r="M823" s="35"/>
      <c r="N823" s="25"/>
      <c r="O823" s="25"/>
      <c r="P823" s="25"/>
      <c r="Q823" s="35">
        <v>2.0</v>
      </c>
      <c r="R823" s="35">
        <v>2.0</v>
      </c>
      <c r="S823" s="35">
        <v>2.0</v>
      </c>
      <c r="T823" s="35">
        <v>2.0</v>
      </c>
      <c r="U823" s="34"/>
      <c r="V823" s="34"/>
      <c r="W823" s="34"/>
      <c r="X823" s="34"/>
      <c r="Y823" s="34"/>
      <c r="Z823" s="34"/>
      <c r="AA823" s="25"/>
      <c r="AB823" s="25"/>
      <c r="AC823" s="25"/>
      <c r="AD823" s="25"/>
      <c r="AE823" s="25"/>
      <c r="AF823" s="25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25"/>
      <c r="AU823" s="34"/>
      <c r="AV823" s="34"/>
      <c r="AW823" s="34"/>
    </row>
    <row r="824" ht="15.0" customHeight="1">
      <c r="A824" s="32" t="s">
        <v>849</v>
      </c>
      <c r="B824" s="25"/>
      <c r="C824" s="25"/>
      <c r="D824" s="25"/>
      <c r="E824" s="25"/>
      <c r="F824" s="25"/>
      <c r="G824" s="35">
        <v>0.0</v>
      </c>
      <c r="H824" s="35">
        <v>1.0</v>
      </c>
      <c r="I824" s="25"/>
      <c r="J824" s="25"/>
      <c r="K824" s="25"/>
      <c r="L824" s="35"/>
      <c r="M824" s="35"/>
      <c r="N824" s="25"/>
      <c r="O824" s="25"/>
      <c r="P824" s="25"/>
      <c r="Q824" s="35">
        <v>2.0</v>
      </c>
      <c r="R824" s="35">
        <v>2.0</v>
      </c>
      <c r="S824" s="35">
        <v>2.0</v>
      </c>
      <c r="T824" s="35">
        <v>2.0</v>
      </c>
      <c r="U824" s="34"/>
      <c r="V824" s="34"/>
      <c r="W824" s="34"/>
      <c r="X824" s="34"/>
      <c r="Y824" s="34"/>
      <c r="Z824" s="34"/>
      <c r="AA824" s="25"/>
      <c r="AB824" s="25"/>
      <c r="AC824" s="25"/>
      <c r="AD824" s="25"/>
      <c r="AE824" s="25"/>
      <c r="AF824" s="25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25"/>
      <c r="AU824" s="34"/>
      <c r="AV824" s="34"/>
      <c r="AW824" s="34"/>
    </row>
    <row r="825" ht="15.0" customHeight="1">
      <c r="A825" s="32" t="s">
        <v>850</v>
      </c>
      <c r="B825" s="25"/>
      <c r="C825" s="25"/>
      <c r="D825" s="25"/>
      <c r="E825" s="25"/>
      <c r="F825" s="25"/>
      <c r="G825" s="35">
        <v>0.0</v>
      </c>
      <c r="H825" s="35">
        <v>1.0</v>
      </c>
      <c r="I825" s="25"/>
      <c r="J825" s="25"/>
      <c r="K825" s="25"/>
      <c r="L825" s="35"/>
      <c r="M825" s="35"/>
      <c r="N825" s="25"/>
      <c r="O825" s="25"/>
      <c r="P825" s="25"/>
      <c r="Q825" s="35">
        <v>2.0</v>
      </c>
      <c r="R825" s="35">
        <v>2.0</v>
      </c>
      <c r="S825" s="35">
        <v>2.0</v>
      </c>
      <c r="T825" s="35">
        <v>2.0</v>
      </c>
      <c r="U825" s="34"/>
      <c r="V825" s="34"/>
      <c r="W825" s="34"/>
      <c r="X825" s="34"/>
      <c r="Y825" s="34"/>
      <c r="Z825" s="34"/>
      <c r="AA825" s="25"/>
      <c r="AB825" s="25"/>
      <c r="AC825" s="25"/>
      <c r="AD825" s="25"/>
      <c r="AE825" s="25"/>
      <c r="AF825" s="25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25"/>
      <c r="AU825" s="34"/>
      <c r="AV825" s="34"/>
      <c r="AW825" s="34"/>
    </row>
    <row r="826" ht="15.0" customHeight="1">
      <c r="A826" s="32" t="s">
        <v>851</v>
      </c>
      <c r="B826" s="25"/>
      <c r="C826" s="25"/>
      <c r="D826" s="25"/>
      <c r="E826" s="25"/>
      <c r="F826" s="25"/>
      <c r="G826" s="35">
        <v>0.0</v>
      </c>
      <c r="H826" s="35">
        <v>1.0</v>
      </c>
      <c r="I826" s="25"/>
      <c r="J826" s="25"/>
      <c r="K826" s="25"/>
      <c r="L826" s="35"/>
      <c r="M826" s="35"/>
      <c r="N826" s="25"/>
      <c r="O826" s="25"/>
      <c r="P826" s="25"/>
      <c r="Q826" s="35">
        <v>2.0</v>
      </c>
      <c r="R826" s="35">
        <v>2.0</v>
      </c>
      <c r="S826" s="35">
        <v>2.0</v>
      </c>
      <c r="T826" s="35">
        <v>2.0</v>
      </c>
      <c r="U826" s="34"/>
      <c r="V826" s="34"/>
      <c r="W826" s="34"/>
      <c r="X826" s="34"/>
      <c r="Y826" s="34"/>
      <c r="Z826" s="34"/>
      <c r="AA826" s="25"/>
      <c r="AB826" s="25"/>
      <c r="AC826" s="25"/>
      <c r="AD826" s="25"/>
      <c r="AE826" s="25"/>
      <c r="AF826" s="25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25"/>
      <c r="AU826" s="34"/>
      <c r="AV826" s="34"/>
      <c r="AW826" s="34"/>
    </row>
    <row r="827" ht="15.0" customHeight="1">
      <c r="A827" s="32" t="s">
        <v>852</v>
      </c>
      <c r="B827" s="25"/>
      <c r="C827" s="25"/>
      <c r="D827" s="25"/>
      <c r="E827" s="25"/>
      <c r="F827" s="25"/>
      <c r="G827" s="35">
        <v>0.0</v>
      </c>
      <c r="H827" s="35">
        <v>1.0</v>
      </c>
      <c r="I827" s="25"/>
      <c r="J827" s="25"/>
      <c r="K827" s="25"/>
      <c r="L827" s="35"/>
      <c r="M827" s="35"/>
      <c r="N827" s="25"/>
      <c r="O827" s="25"/>
      <c r="P827" s="25"/>
      <c r="Q827" s="35">
        <v>2.0</v>
      </c>
      <c r="R827" s="35">
        <v>2.0</v>
      </c>
      <c r="S827" s="35">
        <v>2.0</v>
      </c>
      <c r="T827" s="35">
        <v>2.0</v>
      </c>
      <c r="U827" s="34"/>
      <c r="V827" s="34"/>
      <c r="W827" s="34"/>
      <c r="X827" s="34"/>
      <c r="Y827" s="34"/>
      <c r="Z827" s="34"/>
      <c r="AA827" s="25"/>
      <c r="AB827" s="25"/>
      <c r="AC827" s="25"/>
      <c r="AD827" s="25"/>
      <c r="AE827" s="25"/>
      <c r="AF827" s="25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25"/>
      <c r="AU827" s="34"/>
      <c r="AV827" s="34"/>
      <c r="AW827" s="34"/>
    </row>
    <row r="828" ht="15.0" customHeight="1">
      <c r="A828" s="32" t="s">
        <v>853</v>
      </c>
      <c r="B828" s="25"/>
      <c r="C828" s="25"/>
      <c r="D828" s="25"/>
      <c r="E828" s="25"/>
      <c r="F828" s="25"/>
      <c r="G828" s="35">
        <v>0.0</v>
      </c>
      <c r="H828" s="35">
        <v>1.0</v>
      </c>
      <c r="I828" s="25"/>
      <c r="J828" s="25"/>
      <c r="K828" s="25"/>
      <c r="L828" s="35"/>
      <c r="M828" s="35"/>
      <c r="N828" s="25"/>
      <c r="O828" s="25"/>
      <c r="P828" s="25"/>
      <c r="Q828" s="35">
        <v>2.0</v>
      </c>
      <c r="R828" s="35">
        <v>2.0</v>
      </c>
      <c r="S828" s="35">
        <v>2.0</v>
      </c>
      <c r="T828" s="35">
        <v>2.0</v>
      </c>
      <c r="U828" s="34"/>
      <c r="V828" s="34"/>
      <c r="W828" s="34"/>
      <c r="X828" s="34"/>
      <c r="Y828" s="34"/>
      <c r="Z828" s="34"/>
      <c r="AA828" s="25"/>
      <c r="AB828" s="25"/>
      <c r="AC828" s="25"/>
      <c r="AD828" s="25"/>
      <c r="AE828" s="25"/>
      <c r="AF828" s="25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25"/>
      <c r="AU828" s="34"/>
      <c r="AV828" s="34"/>
      <c r="AW828" s="34"/>
    </row>
    <row r="829" ht="15.0" customHeight="1">
      <c r="A829" s="32" t="s">
        <v>854</v>
      </c>
      <c r="B829" s="25"/>
      <c r="C829" s="25"/>
      <c r="D829" s="25"/>
      <c r="E829" s="25"/>
      <c r="F829" s="25"/>
      <c r="G829" s="35">
        <v>0.0</v>
      </c>
      <c r="H829" s="35">
        <v>1.0</v>
      </c>
      <c r="I829" s="25"/>
      <c r="J829" s="25"/>
      <c r="K829" s="25"/>
      <c r="L829" s="35"/>
      <c r="M829" s="35"/>
      <c r="N829" s="25"/>
      <c r="O829" s="25"/>
      <c r="P829" s="25"/>
      <c r="Q829" s="35">
        <v>2.0</v>
      </c>
      <c r="R829" s="35">
        <v>2.0</v>
      </c>
      <c r="S829" s="35">
        <v>2.0</v>
      </c>
      <c r="T829" s="35">
        <v>2.0</v>
      </c>
      <c r="U829" s="34"/>
      <c r="V829" s="34"/>
      <c r="W829" s="34"/>
      <c r="X829" s="34"/>
      <c r="Y829" s="34"/>
      <c r="Z829" s="34"/>
      <c r="AA829" s="25"/>
      <c r="AB829" s="25"/>
      <c r="AC829" s="25"/>
      <c r="AD829" s="25"/>
      <c r="AE829" s="25"/>
      <c r="AF829" s="25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25"/>
      <c r="AU829" s="34"/>
      <c r="AV829" s="34"/>
      <c r="AW829" s="34"/>
    </row>
    <row r="830" ht="15.0" customHeight="1">
      <c r="A830" s="32" t="s">
        <v>855</v>
      </c>
      <c r="B830" s="25"/>
      <c r="C830" s="25"/>
      <c r="D830" s="25"/>
      <c r="E830" s="25"/>
      <c r="F830" s="25"/>
      <c r="G830" s="35">
        <v>0.0</v>
      </c>
      <c r="H830" s="35">
        <v>1.0</v>
      </c>
      <c r="I830" s="25"/>
      <c r="J830" s="25"/>
      <c r="K830" s="25"/>
      <c r="L830" s="35"/>
      <c r="M830" s="35"/>
      <c r="N830" s="25"/>
      <c r="O830" s="25"/>
      <c r="P830" s="25"/>
      <c r="Q830" s="35">
        <v>2.0</v>
      </c>
      <c r="R830" s="35">
        <v>2.0</v>
      </c>
      <c r="S830" s="35">
        <v>2.0</v>
      </c>
      <c r="T830" s="35">
        <v>2.0</v>
      </c>
      <c r="U830" s="34"/>
      <c r="V830" s="34"/>
      <c r="W830" s="34"/>
      <c r="X830" s="34"/>
      <c r="Y830" s="34"/>
      <c r="Z830" s="34"/>
      <c r="AA830" s="25"/>
      <c r="AB830" s="25"/>
      <c r="AC830" s="25"/>
      <c r="AD830" s="25"/>
      <c r="AE830" s="25"/>
      <c r="AF830" s="25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25"/>
      <c r="AU830" s="34"/>
      <c r="AV830" s="34"/>
      <c r="AW830" s="34"/>
    </row>
    <row r="831" ht="15.0" customHeight="1">
      <c r="A831" s="32" t="s">
        <v>856</v>
      </c>
      <c r="B831" s="25"/>
      <c r="C831" s="25"/>
      <c r="D831" s="25"/>
      <c r="E831" s="25"/>
      <c r="F831" s="25"/>
      <c r="G831" s="35">
        <v>0.0</v>
      </c>
      <c r="H831" s="35">
        <v>1.0</v>
      </c>
      <c r="I831" s="25"/>
      <c r="J831" s="25"/>
      <c r="K831" s="25"/>
      <c r="L831" s="35"/>
      <c r="M831" s="35"/>
      <c r="N831" s="25"/>
      <c r="O831" s="25"/>
      <c r="P831" s="25"/>
      <c r="Q831" s="35">
        <v>2.0</v>
      </c>
      <c r="R831" s="35">
        <v>2.0</v>
      </c>
      <c r="S831" s="35">
        <v>2.0</v>
      </c>
      <c r="T831" s="35">
        <v>2.0</v>
      </c>
      <c r="U831" s="34"/>
      <c r="V831" s="34"/>
      <c r="W831" s="34"/>
      <c r="X831" s="34"/>
      <c r="Y831" s="34"/>
      <c r="Z831" s="34"/>
      <c r="AA831" s="25"/>
      <c r="AB831" s="25"/>
      <c r="AC831" s="25"/>
      <c r="AD831" s="25"/>
      <c r="AE831" s="25"/>
      <c r="AF831" s="25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25"/>
      <c r="AU831" s="34"/>
      <c r="AV831" s="34"/>
      <c r="AW831" s="34"/>
    </row>
    <row r="832" ht="15.0" customHeight="1">
      <c r="A832" s="32" t="s">
        <v>857</v>
      </c>
      <c r="B832" s="25"/>
      <c r="C832" s="25"/>
      <c r="D832" s="25"/>
      <c r="E832" s="25"/>
      <c r="F832" s="25"/>
      <c r="G832" s="35">
        <v>0.0</v>
      </c>
      <c r="H832" s="35">
        <v>1.0</v>
      </c>
      <c r="I832" s="25"/>
      <c r="J832" s="25"/>
      <c r="K832" s="25"/>
      <c r="L832" s="35"/>
      <c r="M832" s="35"/>
      <c r="N832" s="25"/>
      <c r="O832" s="25"/>
      <c r="P832" s="25"/>
      <c r="Q832" s="35">
        <v>2.0</v>
      </c>
      <c r="R832" s="35">
        <v>2.0</v>
      </c>
      <c r="S832" s="35">
        <v>2.0</v>
      </c>
      <c r="T832" s="35">
        <v>2.0</v>
      </c>
      <c r="U832" s="34"/>
      <c r="V832" s="34"/>
      <c r="W832" s="34"/>
      <c r="X832" s="34"/>
      <c r="Y832" s="34"/>
      <c r="Z832" s="34"/>
      <c r="AA832" s="25"/>
      <c r="AB832" s="25"/>
      <c r="AC832" s="25"/>
      <c r="AD832" s="25"/>
      <c r="AE832" s="25"/>
      <c r="AF832" s="25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25"/>
      <c r="AU832" s="34"/>
      <c r="AV832" s="34"/>
      <c r="AW832" s="34"/>
    </row>
    <row r="833" ht="15.0" customHeight="1">
      <c r="A833" s="32" t="s">
        <v>858</v>
      </c>
      <c r="B833" s="25"/>
      <c r="C833" s="25"/>
      <c r="D833" s="25"/>
      <c r="E833" s="25"/>
      <c r="F833" s="25"/>
      <c r="G833" s="35">
        <v>0.0</v>
      </c>
      <c r="H833" s="35">
        <v>1.0</v>
      </c>
      <c r="I833" s="25"/>
      <c r="J833" s="25"/>
      <c r="K833" s="25"/>
      <c r="L833" s="35"/>
      <c r="M833" s="35"/>
      <c r="N833" s="25"/>
      <c r="O833" s="25"/>
      <c r="P833" s="25"/>
      <c r="Q833" s="35">
        <v>2.0</v>
      </c>
      <c r="R833" s="35">
        <v>2.0</v>
      </c>
      <c r="S833" s="35">
        <v>2.0</v>
      </c>
      <c r="T833" s="35">
        <v>2.0</v>
      </c>
      <c r="U833" s="34"/>
      <c r="V833" s="34"/>
      <c r="W833" s="34"/>
      <c r="X833" s="34"/>
      <c r="Y833" s="34"/>
      <c r="Z833" s="34"/>
      <c r="AA833" s="25"/>
      <c r="AB833" s="25"/>
      <c r="AC833" s="25"/>
      <c r="AD833" s="25"/>
      <c r="AE833" s="25"/>
      <c r="AF833" s="25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25"/>
      <c r="AU833" s="34"/>
      <c r="AV833" s="34"/>
      <c r="AW833" s="34"/>
    </row>
    <row r="834" ht="15.0" customHeight="1">
      <c r="A834" s="32" t="s">
        <v>859</v>
      </c>
      <c r="B834" s="25"/>
      <c r="C834" s="25"/>
      <c r="D834" s="25"/>
      <c r="E834" s="25"/>
      <c r="F834" s="25"/>
      <c r="G834" s="35">
        <v>0.0</v>
      </c>
      <c r="H834" s="35">
        <v>1.0</v>
      </c>
      <c r="I834" s="25"/>
      <c r="J834" s="25"/>
      <c r="K834" s="25"/>
      <c r="L834" s="35"/>
      <c r="M834" s="35"/>
      <c r="N834" s="25"/>
      <c r="O834" s="25"/>
      <c r="P834" s="25"/>
      <c r="Q834" s="35">
        <v>2.0</v>
      </c>
      <c r="R834" s="35">
        <v>2.0</v>
      </c>
      <c r="S834" s="35">
        <v>2.0</v>
      </c>
      <c r="T834" s="35">
        <v>2.0</v>
      </c>
      <c r="U834" s="34"/>
      <c r="V834" s="34"/>
      <c r="W834" s="34"/>
      <c r="X834" s="34"/>
      <c r="Y834" s="34"/>
      <c r="Z834" s="34"/>
      <c r="AA834" s="25"/>
      <c r="AB834" s="25"/>
      <c r="AC834" s="25"/>
      <c r="AD834" s="25"/>
      <c r="AE834" s="25"/>
      <c r="AF834" s="25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25"/>
      <c r="AU834" s="34"/>
      <c r="AV834" s="34"/>
      <c r="AW834" s="34"/>
    </row>
    <row r="835" ht="15.0" customHeight="1">
      <c r="A835" s="32" t="s">
        <v>860</v>
      </c>
      <c r="B835" s="25"/>
      <c r="C835" s="25"/>
      <c r="D835" s="25"/>
      <c r="E835" s="25"/>
      <c r="F835" s="25"/>
      <c r="G835" s="35">
        <v>0.0</v>
      </c>
      <c r="H835" s="35">
        <v>1.0</v>
      </c>
      <c r="I835" s="25"/>
      <c r="J835" s="25"/>
      <c r="K835" s="25"/>
      <c r="L835" s="35"/>
      <c r="M835" s="35"/>
      <c r="N835" s="25"/>
      <c r="O835" s="25"/>
      <c r="P835" s="25"/>
      <c r="Q835" s="35">
        <v>2.0</v>
      </c>
      <c r="R835" s="35">
        <v>2.0</v>
      </c>
      <c r="S835" s="35">
        <v>2.0</v>
      </c>
      <c r="T835" s="35">
        <v>2.0</v>
      </c>
      <c r="U835" s="34"/>
      <c r="V835" s="34"/>
      <c r="W835" s="34"/>
      <c r="X835" s="34"/>
      <c r="Y835" s="34"/>
      <c r="Z835" s="34"/>
      <c r="AA835" s="25"/>
      <c r="AB835" s="25"/>
      <c r="AC835" s="25"/>
      <c r="AD835" s="25"/>
      <c r="AE835" s="25"/>
      <c r="AF835" s="25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25"/>
      <c r="AU835" s="34"/>
      <c r="AV835" s="34"/>
      <c r="AW835" s="34"/>
    </row>
    <row r="836" ht="15.0" customHeight="1">
      <c r="A836" s="32" t="s">
        <v>861</v>
      </c>
      <c r="B836" s="25"/>
      <c r="C836" s="25"/>
      <c r="D836" s="25"/>
      <c r="E836" s="25"/>
      <c r="F836" s="25"/>
      <c r="G836" s="35">
        <v>0.0</v>
      </c>
      <c r="H836" s="35">
        <v>1.0</v>
      </c>
      <c r="I836" s="25"/>
      <c r="J836" s="25"/>
      <c r="K836" s="25"/>
      <c r="L836" s="35"/>
      <c r="M836" s="35"/>
      <c r="N836" s="25"/>
      <c r="O836" s="25"/>
      <c r="P836" s="25"/>
      <c r="Q836" s="35">
        <v>2.0</v>
      </c>
      <c r="R836" s="35">
        <v>2.0</v>
      </c>
      <c r="S836" s="35">
        <v>2.0</v>
      </c>
      <c r="T836" s="35">
        <v>2.0</v>
      </c>
      <c r="U836" s="34"/>
      <c r="V836" s="34"/>
      <c r="W836" s="34"/>
      <c r="X836" s="34"/>
      <c r="Y836" s="34"/>
      <c r="Z836" s="34"/>
      <c r="AA836" s="25"/>
      <c r="AB836" s="25"/>
      <c r="AC836" s="25"/>
      <c r="AD836" s="25"/>
      <c r="AE836" s="25"/>
      <c r="AF836" s="25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25"/>
      <c r="AU836" s="34"/>
      <c r="AV836" s="34"/>
      <c r="AW836" s="34"/>
    </row>
    <row r="837" ht="15.0" customHeight="1">
      <c r="A837" s="32" t="s">
        <v>862</v>
      </c>
      <c r="B837" s="25"/>
      <c r="C837" s="25"/>
      <c r="D837" s="25"/>
      <c r="E837" s="25"/>
      <c r="F837" s="25"/>
      <c r="G837" s="35">
        <v>0.0</v>
      </c>
      <c r="H837" s="35">
        <v>1.0</v>
      </c>
      <c r="I837" s="25"/>
      <c r="J837" s="25"/>
      <c r="K837" s="25"/>
      <c r="L837" s="35"/>
      <c r="M837" s="35"/>
      <c r="N837" s="25"/>
      <c r="O837" s="25"/>
      <c r="P837" s="25"/>
      <c r="Q837" s="35">
        <v>2.0</v>
      </c>
      <c r="R837" s="35">
        <v>2.0</v>
      </c>
      <c r="S837" s="35">
        <v>2.0</v>
      </c>
      <c r="T837" s="35">
        <v>2.0</v>
      </c>
      <c r="U837" s="34"/>
      <c r="V837" s="34"/>
      <c r="W837" s="34"/>
      <c r="X837" s="34"/>
      <c r="Y837" s="34"/>
      <c r="Z837" s="34"/>
      <c r="AA837" s="25"/>
      <c r="AB837" s="25"/>
      <c r="AC837" s="25"/>
      <c r="AD837" s="25"/>
      <c r="AE837" s="25"/>
      <c r="AF837" s="25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25"/>
      <c r="AU837" s="34"/>
      <c r="AV837" s="34"/>
      <c r="AW837" s="34"/>
    </row>
    <row r="838" ht="15.0" customHeight="1">
      <c r="A838" s="32" t="s">
        <v>863</v>
      </c>
      <c r="B838" s="25"/>
      <c r="C838" s="25"/>
      <c r="D838" s="25"/>
      <c r="E838" s="25"/>
      <c r="F838" s="25"/>
      <c r="G838" s="35">
        <v>0.0</v>
      </c>
      <c r="H838" s="35">
        <v>1.0</v>
      </c>
      <c r="I838" s="25"/>
      <c r="J838" s="25"/>
      <c r="K838" s="25"/>
      <c r="L838" s="35"/>
      <c r="M838" s="35"/>
      <c r="N838" s="25"/>
      <c r="O838" s="25"/>
      <c r="P838" s="25"/>
      <c r="Q838" s="35">
        <v>2.0</v>
      </c>
      <c r="R838" s="35">
        <v>2.0</v>
      </c>
      <c r="S838" s="35">
        <v>2.0</v>
      </c>
      <c r="T838" s="35">
        <v>2.0</v>
      </c>
      <c r="U838" s="34"/>
      <c r="V838" s="34"/>
      <c r="W838" s="34"/>
      <c r="X838" s="34"/>
      <c r="Y838" s="34"/>
      <c r="Z838" s="34"/>
      <c r="AA838" s="25"/>
      <c r="AB838" s="25"/>
      <c r="AC838" s="25"/>
      <c r="AD838" s="25"/>
      <c r="AE838" s="25"/>
      <c r="AF838" s="25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25"/>
      <c r="AU838" s="34"/>
      <c r="AV838" s="34"/>
      <c r="AW838" s="34"/>
    </row>
    <row r="839" ht="15.0" customHeight="1">
      <c r="A839" s="32" t="s">
        <v>864</v>
      </c>
      <c r="B839" s="25"/>
      <c r="C839" s="25"/>
      <c r="D839" s="25"/>
      <c r="E839" s="25"/>
      <c r="F839" s="25"/>
      <c r="G839" s="35">
        <v>0.0</v>
      </c>
      <c r="H839" s="35">
        <v>1.0</v>
      </c>
      <c r="I839" s="25"/>
      <c r="J839" s="25"/>
      <c r="K839" s="25"/>
      <c r="L839" s="35"/>
      <c r="M839" s="35"/>
      <c r="N839" s="25"/>
      <c r="O839" s="25"/>
      <c r="P839" s="25"/>
      <c r="Q839" s="35">
        <v>2.0</v>
      </c>
      <c r="R839" s="35">
        <v>2.0</v>
      </c>
      <c r="S839" s="35">
        <v>2.0</v>
      </c>
      <c r="T839" s="35">
        <v>2.0</v>
      </c>
      <c r="U839" s="34"/>
      <c r="V839" s="34"/>
      <c r="W839" s="34"/>
      <c r="X839" s="34"/>
      <c r="Y839" s="34"/>
      <c r="Z839" s="34"/>
      <c r="AA839" s="25"/>
      <c r="AB839" s="25"/>
      <c r="AC839" s="25"/>
      <c r="AD839" s="25"/>
      <c r="AE839" s="25"/>
      <c r="AF839" s="25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25"/>
      <c r="AU839" s="34"/>
      <c r="AV839" s="34"/>
      <c r="AW839" s="34"/>
    </row>
    <row r="840" ht="15.0" customHeight="1">
      <c r="A840" s="32" t="s">
        <v>865</v>
      </c>
      <c r="B840" s="25"/>
      <c r="C840" s="25"/>
      <c r="D840" s="25"/>
      <c r="E840" s="25"/>
      <c r="F840" s="25"/>
      <c r="G840" s="35">
        <v>0.0</v>
      </c>
      <c r="H840" s="35">
        <v>1.0</v>
      </c>
      <c r="I840" s="25"/>
      <c r="J840" s="25"/>
      <c r="K840" s="25"/>
      <c r="L840" s="35"/>
      <c r="M840" s="35"/>
      <c r="N840" s="25"/>
      <c r="O840" s="25"/>
      <c r="P840" s="25"/>
      <c r="Q840" s="35">
        <v>2.0</v>
      </c>
      <c r="R840" s="35">
        <v>2.0</v>
      </c>
      <c r="S840" s="35">
        <v>2.0</v>
      </c>
      <c r="T840" s="35">
        <v>2.0</v>
      </c>
      <c r="U840" s="34"/>
      <c r="V840" s="34"/>
      <c r="W840" s="34"/>
      <c r="X840" s="34"/>
      <c r="Y840" s="34"/>
      <c r="Z840" s="34"/>
      <c r="AA840" s="25"/>
      <c r="AB840" s="25"/>
      <c r="AC840" s="25"/>
      <c r="AD840" s="25"/>
      <c r="AE840" s="25"/>
      <c r="AF840" s="25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25"/>
      <c r="AU840" s="34"/>
      <c r="AV840" s="34"/>
      <c r="AW840" s="34"/>
    </row>
    <row r="841" ht="15.0" customHeight="1">
      <c r="A841" s="32" t="s">
        <v>866</v>
      </c>
      <c r="B841" s="25"/>
      <c r="C841" s="25"/>
      <c r="D841" s="25"/>
      <c r="E841" s="25"/>
      <c r="F841" s="25"/>
      <c r="G841" s="35">
        <v>0.0</v>
      </c>
      <c r="H841" s="35">
        <v>1.0</v>
      </c>
      <c r="I841" s="25"/>
      <c r="J841" s="25"/>
      <c r="K841" s="25"/>
      <c r="L841" s="35"/>
      <c r="M841" s="35"/>
      <c r="N841" s="25"/>
      <c r="O841" s="25"/>
      <c r="P841" s="25"/>
      <c r="Q841" s="35">
        <v>2.0</v>
      </c>
      <c r="R841" s="35">
        <v>2.0</v>
      </c>
      <c r="S841" s="35">
        <v>2.0</v>
      </c>
      <c r="T841" s="35">
        <v>2.0</v>
      </c>
      <c r="U841" s="34"/>
      <c r="V841" s="34"/>
      <c r="W841" s="34"/>
      <c r="X841" s="34"/>
      <c r="Y841" s="34"/>
      <c r="Z841" s="34"/>
      <c r="AA841" s="25"/>
      <c r="AB841" s="25"/>
      <c r="AC841" s="25"/>
      <c r="AD841" s="25"/>
      <c r="AE841" s="25"/>
      <c r="AF841" s="25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25"/>
      <c r="AU841" s="34"/>
      <c r="AV841" s="34"/>
      <c r="AW841" s="34"/>
    </row>
    <row r="842" ht="15.0" customHeight="1">
      <c r="A842" s="32" t="s">
        <v>867</v>
      </c>
      <c r="B842" s="25"/>
      <c r="C842" s="25"/>
      <c r="D842" s="25"/>
      <c r="E842" s="25"/>
      <c r="F842" s="25"/>
      <c r="G842" s="35">
        <v>0.0</v>
      </c>
      <c r="H842" s="35">
        <v>1.0</v>
      </c>
      <c r="I842" s="25"/>
      <c r="J842" s="25"/>
      <c r="K842" s="25"/>
      <c r="L842" s="35"/>
      <c r="M842" s="35"/>
      <c r="N842" s="25"/>
      <c r="O842" s="25"/>
      <c r="P842" s="25"/>
      <c r="Q842" s="35">
        <v>2.0</v>
      </c>
      <c r="R842" s="35">
        <v>2.0</v>
      </c>
      <c r="S842" s="35">
        <v>2.0</v>
      </c>
      <c r="T842" s="35">
        <v>2.0</v>
      </c>
      <c r="U842" s="34"/>
      <c r="V842" s="34"/>
      <c r="W842" s="34"/>
      <c r="X842" s="34"/>
      <c r="Y842" s="34"/>
      <c r="Z842" s="34"/>
      <c r="AA842" s="25"/>
      <c r="AB842" s="25"/>
      <c r="AC842" s="25"/>
      <c r="AD842" s="25"/>
      <c r="AE842" s="25"/>
      <c r="AF842" s="25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25"/>
      <c r="AU842" s="34"/>
      <c r="AV842" s="34"/>
      <c r="AW842" s="34"/>
    </row>
    <row r="843" ht="15.0" customHeight="1">
      <c r="A843" s="32" t="s">
        <v>868</v>
      </c>
      <c r="B843" s="25"/>
      <c r="C843" s="25"/>
      <c r="D843" s="25"/>
      <c r="E843" s="25"/>
      <c r="F843" s="25"/>
      <c r="G843" s="35">
        <v>0.0</v>
      </c>
      <c r="H843" s="35">
        <v>1.0</v>
      </c>
      <c r="I843" s="25"/>
      <c r="J843" s="25"/>
      <c r="K843" s="25"/>
      <c r="L843" s="35"/>
      <c r="M843" s="35"/>
      <c r="N843" s="25"/>
      <c r="O843" s="25"/>
      <c r="P843" s="25"/>
      <c r="Q843" s="35">
        <v>2.0</v>
      </c>
      <c r="R843" s="35">
        <v>2.0</v>
      </c>
      <c r="S843" s="35">
        <v>2.0</v>
      </c>
      <c r="T843" s="35">
        <v>2.0</v>
      </c>
      <c r="U843" s="34"/>
      <c r="V843" s="34"/>
      <c r="W843" s="34"/>
      <c r="X843" s="34"/>
      <c r="Y843" s="34"/>
      <c r="Z843" s="34"/>
      <c r="AA843" s="25"/>
      <c r="AB843" s="25"/>
      <c r="AC843" s="25"/>
      <c r="AD843" s="25"/>
      <c r="AE843" s="25"/>
      <c r="AF843" s="25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25"/>
      <c r="AU843" s="34"/>
      <c r="AV843" s="34"/>
      <c r="AW843" s="34"/>
    </row>
    <row r="844" ht="15.0" customHeight="1">
      <c r="A844" s="32" t="s">
        <v>869</v>
      </c>
      <c r="B844" s="25"/>
      <c r="C844" s="25"/>
      <c r="D844" s="25"/>
      <c r="E844" s="25"/>
      <c r="F844" s="25"/>
      <c r="G844" s="35">
        <v>0.0</v>
      </c>
      <c r="H844" s="35">
        <v>1.0</v>
      </c>
      <c r="I844" s="25"/>
      <c r="J844" s="25"/>
      <c r="K844" s="25"/>
      <c r="L844" s="35"/>
      <c r="M844" s="35"/>
      <c r="N844" s="25"/>
      <c r="O844" s="25"/>
      <c r="P844" s="25"/>
      <c r="Q844" s="35">
        <v>2.0</v>
      </c>
      <c r="R844" s="35">
        <v>2.0</v>
      </c>
      <c r="S844" s="35">
        <v>2.0</v>
      </c>
      <c r="T844" s="35">
        <v>2.0</v>
      </c>
      <c r="U844" s="34"/>
      <c r="V844" s="34"/>
      <c r="W844" s="34"/>
      <c r="X844" s="34"/>
      <c r="Y844" s="34"/>
      <c r="Z844" s="34"/>
      <c r="AA844" s="25"/>
      <c r="AB844" s="25"/>
      <c r="AC844" s="25"/>
      <c r="AD844" s="25"/>
      <c r="AE844" s="25"/>
      <c r="AF844" s="25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25"/>
      <c r="AU844" s="34"/>
      <c r="AV844" s="34"/>
      <c r="AW844" s="34"/>
    </row>
    <row r="845" ht="15.0" customHeight="1">
      <c r="A845" s="32" t="s">
        <v>870</v>
      </c>
      <c r="B845" s="25"/>
      <c r="C845" s="25"/>
      <c r="D845" s="25"/>
      <c r="E845" s="25"/>
      <c r="F845" s="25"/>
      <c r="G845" s="35">
        <v>0.0</v>
      </c>
      <c r="H845" s="35">
        <v>1.0</v>
      </c>
      <c r="I845" s="25"/>
      <c r="J845" s="25"/>
      <c r="K845" s="25"/>
      <c r="L845" s="35"/>
      <c r="M845" s="35"/>
      <c r="N845" s="25"/>
      <c r="O845" s="25"/>
      <c r="P845" s="25"/>
      <c r="Q845" s="35">
        <v>2.0</v>
      </c>
      <c r="R845" s="35">
        <v>2.0</v>
      </c>
      <c r="S845" s="35">
        <v>2.0</v>
      </c>
      <c r="T845" s="35">
        <v>2.0</v>
      </c>
      <c r="U845" s="34"/>
      <c r="V845" s="34"/>
      <c r="W845" s="34"/>
      <c r="X845" s="34"/>
      <c r="Y845" s="34"/>
      <c r="Z845" s="34"/>
      <c r="AA845" s="25"/>
      <c r="AB845" s="25"/>
      <c r="AC845" s="25"/>
      <c r="AD845" s="25"/>
      <c r="AE845" s="25"/>
      <c r="AF845" s="25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25"/>
      <c r="AU845" s="34"/>
      <c r="AV845" s="34"/>
      <c r="AW845" s="34"/>
    </row>
    <row r="846" ht="15.0" customHeight="1">
      <c r="A846" s="32" t="s">
        <v>871</v>
      </c>
      <c r="B846" s="25"/>
      <c r="C846" s="25"/>
      <c r="D846" s="25"/>
      <c r="E846" s="25"/>
      <c r="F846" s="25"/>
      <c r="G846" s="35">
        <v>0.0</v>
      </c>
      <c r="H846" s="35">
        <v>1.0</v>
      </c>
      <c r="I846" s="25"/>
      <c r="J846" s="25"/>
      <c r="K846" s="25"/>
      <c r="L846" s="35"/>
      <c r="M846" s="35"/>
      <c r="N846" s="25"/>
      <c r="O846" s="25"/>
      <c r="P846" s="25"/>
      <c r="Q846" s="35">
        <v>2.0</v>
      </c>
      <c r="R846" s="35">
        <v>2.0</v>
      </c>
      <c r="S846" s="35">
        <v>2.0</v>
      </c>
      <c r="T846" s="35">
        <v>2.0</v>
      </c>
      <c r="U846" s="34"/>
      <c r="V846" s="34"/>
      <c r="W846" s="34"/>
      <c r="X846" s="34"/>
      <c r="Y846" s="34"/>
      <c r="Z846" s="34"/>
      <c r="AA846" s="25"/>
      <c r="AB846" s="25"/>
      <c r="AC846" s="25"/>
      <c r="AD846" s="25"/>
      <c r="AE846" s="25"/>
      <c r="AF846" s="25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25"/>
      <c r="AU846" s="34"/>
      <c r="AV846" s="34"/>
      <c r="AW846" s="34"/>
    </row>
    <row r="847" ht="15.0" customHeight="1">
      <c r="A847" s="32" t="s">
        <v>872</v>
      </c>
      <c r="B847" s="25"/>
      <c r="C847" s="25"/>
      <c r="D847" s="25"/>
      <c r="E847" s="25"/>
      <c r="F847" s="25"/>
      <c r="G847" s="35">
        <v>0.0</v>
      </c>
      <c r="H847" s="35">
        <v>1.0</v>
      </c>
      <c r="I847" s="25"/>
      <c r="J847" s="25"/>
      <c r="K847" s="25"/>
      <c r="L847" s="35"/>
      <c r="M847" s="35"/>
      <c r="N847" s="25"/>
      <c r="O847" s="25"/>
      <c r="P847" s="25"/>
      <c r="Q847" s="35">
        <v>2.0</v>
      </c>
      <c r="R847" s="35">
        <v>2.0</v>
      </c>
      <c r="S847" s="35">
        <v>2.0</v>
      </c>
      <c r="T847" s="35">
        <v>2.0</v>
      </c>
      <c r="U847" s="34"/>
      <c r="V847" s="34"/>
      <c r="W847" s="34"/>
      <c r="X847" s="34"/>
      <c r="Y847" s="34"/>
      <c r="Z847" s="34"/>
      <c r="AA847" s="25"/>
      <c r="AB847" s="25"/>
      <c r="AC847" s="25"/>
      <c r="AD847" s="25"/>
      <c r="AE847" s="25"/>
      <c r="AF847" s="25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25"/>
      <c r="AU847" s="34"/>
      <c r="AV847" s="34"/>
      <c r="AW847" s="34"/>
    </row>
    <row r="848" ht="15.0" customHeight="1">
      <c r="A848" s="32" t="s">
        <v>873</v>
      </c>
      <c r="B848" s="25"/>
      <c r="C848" s="25"/>
      <c r="D848" s="25"/>
      <c r="E848" s="25"/>
      <c r="F848" s="25"/>
      <c r="G848" s="35">
        <v>0.0</v>
      </c>
      <c r="H848" s="35">
        <v>1.0</v>
      </c>
      <c r="I848" s="25"/>
      <c r="J848" s="25"/>
      <c r="K848" s="25"/>
      <c r="L848" s="35"/>
      <c r="M848" s="35"/>
      <c r="N848" s="25"/>
      <c r="O848" s="25"/>
      <c r="P848" s="25"/>
      <c r="Q848" s="35">
        <v>2.0</v>
      </c>
      <c r="R848" s="35">
        <v>2.0</v>
      </c>
      <c r="S848" s="35">
        <v>2.0</v>
      </c>
      <c r="T848" s="35">
        <v>2.0</v>
      </c>
      <c r="U848" s="34"/>
      <c r="V848" s="34"/>
      <c r="W848" s="34"/>
      <c r="X848" s="34"/>
      <c r="Y848" s="34"/>
      <c r="Z848" s="34"/>
      <c r="AA848" s="25"/>
      <c r="AB848" s="25"/>
      <c r="AC848" s="25"/>
      <c r="AD848" s="25"/>
      <c r="AE848" s="25"/>
      <c r="AF848" s="25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25"/>
      <c r="AU848" s="34"/>
      <c r="AV848" s="34"/>
      <c r="AW848" s="34"/>
    </row>
    <row r="849" ht="15.0" customHeight="1">
      <c r="A849" s="32" t="s">
        <v>874</v>
      </c>
      <c r="B849" s="25"/>
      <c r="C849" s="25"/>
      <c r="D849" s="25"/>
      <c r="E849" s="25"/>
      <c r="F849" s="25"/>
      <c r="G849" s="35">
        <v>0.0</v>
      </c>
      <c r="H849" s="35">
        <v>1.0</v>
      </c>
      <c r="I849" s="25"/>
      <c r="J849" s="25"/>
      <c r="K849" s="25"/>
      <c r="L849" s="35"/>
      <c r="M849" s="35"/>
      <c r="N849" s="25"/>
      <c r="O849" s="25"/>
      <c r="P849" s="25"/>
      <c r="Q849" s="35">
        <v>2.0</v>
      </c>
      <c r="R849" s="35">
        <v>2.0</v>
      </c>
      <c r="S849" s="35">
        <v>2.0</v>
      </c>
      <c r="T849" s="35">
        <v>2.0</v>
      </c>
      <c r="U849" s="34"/>
      <c r="V849" s="34"/>
      <c r="W849" s="34"/>
      <c r="X849" s="34"/>
      <c r="Y849" s="34"/>
      <c r="Z849" s="34"/>
      <c r="AA849" s="25"/>
      <c r="AB849" s="25"/>
      <c r="AC849" s="25"/>
      <c r="AD849" s="25"/>
      <c r="AE849" s="25"/>
      <c r="AF849" s="25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25"/>
      <c r="AU849" s="34"/>
      <c r="AV849" s="34"/>
      <c r="AW849" s="34"/>
    </row>
    <row r="850" ht="15.0" customHeight="1">
      <c r="A850" s="32" t="s">
        <v>875</v>
      </c>
      <c r="B850" s="25"/>
      <c r="C850" s="25"/>
      <c r="D850" s="25"/>
      <c r="E850" s="25"/>
      <c r="F850" s="25"/>
      <c r="G850" s="35">
        <v>0.0</v>
      </c>
      <c r="H850" s="35">
        <v>1.0</v>
      </c>
      <c r="I850" s="25"/>
      <c r="J850" s="25"/>
      <c r="K850" s="25"/>
      <c r="L850" s="35"/>
      <c r="M850" s="35"/>
      <c r="N850" s="25"/>
      <c r="O850" s="25"/>
      <c r="P850" s="25"/>
      <c r="Q850" s="35">
        <v>2.0</v>
      </c>
      <c r="R850" s="35">
        <v>2.0</v>
      </c>
      <c r="S850" s="35">
        <v>2.0</v>
      </c>
      <c r="T850" s="35">
        <v>2.0</v>
      </c>
      <c r="U850" s="34"/>
      <c r="V850" s="34"/>
      <c r="W850" s="34"/>
      <c r="X850" s="34"/>
      <c r="Y850" s="34"/>
      <c r="Z850" s="34"/>
      <c r="AA850" s="25"/>
      <c r="AB850" s="25"/>
      <c r="AC850" s="25"/>
      <c r="AD850" s="25"/>
      <c r="AE850" s="25"/>
      <c r="AF850" s="25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25"/>
      <c r="AU850" s="34"/>
      <c r="AV850" s="34"/>
      <c r="AW850" s="34"/>
    </row>
    <row r="851" ht="15.0" customHeight="1">
      <c r="A851" s="32" t="s">
        <v>876</v>
      </c>
      <c r="B851" s="25"/>
      <c r="C851" s="25"/>
      <c r="D851" s="25"/>
      <c r="E851" s="25"/>
      <c r="F851" s="25"/>
      <c r="G851" s="35">
        <v>0.0</v>
      </c>
      <c r="H851" s="35">
        <v>1.0</v>
      </c>
      <c r="I851" s="25"/>
      <c r="J851" s="25"/>
      <c r="K851" s="25"/>
      <c r="L851" s="35"/>
      <c r="M851" s="35"/>
      <c r="N851" s="25"/>
      <c r="O851" s="25"/>
      <c r="P851" s="25"/>
      <c r="Q851" s="35">
        <v>2.0</v>
      </c>
      <c r="R851" s="35">
        <v>2.0</v>
      </c>
      <c r="S851" s="35">
        <v>2.0</v>
      </c>
      <c r="T851" s="35">
        <v>2.0</v>
      </c>
      <c r="U851" s="34"/>
      <c r="V851" s="34"/>
      <c r="W851" s="34"/>
      <c r="X851" s="34"/>
      <c r="Y851" s="34"/>
      <c r="Z851" s="34"/>
      <c r="AA851" s="25"/>
      <c r="AB851" s="25"/>
      <c r="AC851" s="25"/>
      <c r="AD851" s="25"/>
      <c r="AE851" s="25"/>
      <c r="AF851" s="25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25"/>
      <c r="AU851" s="34"/>
      <c r="AV851" s="34"/>
      <c r="AW851" s="34"/>
    </row>
    <row r="852" ht="15.0" customHeight="1">
      <c r="A852" s="32" t="s">
        <v>877</v>
      </c>
      <c r="B852" s="25"/>
      <c r="C852" s="25"/>
      <c r="D852" s="25"/>
      <c r="E852" s="25"/>
      <c r="F852" s="25"/>
      <c r="G852" s="35">
        <v>0.0</v>
      </c>
      <c r="H852" s="35">
        <v>1.0</v>
      </c>
      <c r="I852" s="25"/>
      <c r="J852" s="25"/>
      <c r="K852" s="25"/>
      <c r="L852" s="35"/>
      <c r="M852" s="35"/>
      <c r="N852" s="25"/>
      <c r="O852" s="25"/>
      <c r="P852" s="25"/>
      <c r="Q852" s="35">
        <v>2.0</v>
      </c>
      <c r="R852" s="35">
        <v>2.0</v>
      </c>
      <c r="S852" s="35">
        <v>2.0</v>
      </c>
      <c r="T852" s="35">
        <v>2.0</v>
      </c>
      <c r="U852" s="34"/>
      <c r="V852" s="34"/>
      <c r="W852" s="34"/>
      <c r="X852" s="34"/>
      <c r="Y852" s="34"/>
      <c r="Z852" s="34"/>
      <c r="AA852" s="25"/>
      <c r="AB852" s="25"/>
      <c r="AC852" s="25"/>
      <c r="AD852" s="25"/>
      <c r="AE852" s="25"/>
      <c r="AF852" s="25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25"/>
      <c r="AU852" s="34"/>
      <c r="AV852" s="34"/>
      <c r="AW852" s="34"/>
    </row>
    <row r="853" ht="15.0" customHeight="1">
      <c r="A853" s="32" t="s">
        <v>878</v>
      </c>
      <c r="B853" s="25"/>
      <c r="C853" s="25"/>
      <c r="D853" s="25"/>
      <c r="E853" s="25"/>
      <c r="F853" s="25"/>
      <c r="G853" s="35">
        <v>0.0</v>
      </c>
      <c r="H853" s="35">
        <v>1.0</v>
      </c>
      <c r="I853" s="25"/>
      <c r="J853" s="25"/>
      <c r="K853" s="25"/>
      <c r="L853" s="35"/>
      <c r="M853" s="35"/>
      <c r="N853" s="25"/>
      <c r="O853" s="25"/>
      <c r="P853" s="25"/>
      <c r="Q853" s="35">
        <v>2.0</v>
      </c>
      <c r="R853" s="35">
        <v>2.0</v>
      </c>
      <c r="S853" s="35">
        <v>2.0</v>
      </c>
      <c r="T853" s="35">
        <v>2.0</v>
      </c>
      <c r="U853" s="34"/>
      <c r="V853" s="34"/>
      <c r="W853" s="34"/>
      <c r="X853" s="34"/>
      <c r="Y853" s="34"/>
      <c r="Z853" s="34"/>
      <c r="AA853" s="25"/>
      <c r="AB853" s="25"/>
      <c r="AC853" s="25"/>
      <c r="AD853" s="25"/>
      <c r="AE853" s="25"/>
      <c r="AF853" s="25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25"/>
      <c r="AU853" s="34"/>
      <c r="AV853" s="34"/>
      <c r="AW853" s="34"/>
    </row>
    <row r="854" ht="15.0" customHeight="1">
      <c r="A854" s="32" t="s">
        <v>879</v>
      </c>
      <c r="B854" s="25"/>
      <c r="C854" s="25"/>
      <c r="D854" s="25"/>
      <c r="E854" s="25"/>
      <c r="F854" s="25"/>
      <c r="G854" s="35">
        <v>0.0</v>
      </c>
      <c r="H854" s="35">
        <v>1.0</v>
      </c>
      <c r="I854" s="25"/>
      <c r="J854" s="25"/>
      <c r="K854" s="25"/>
      <c r="L854" s="35"/>
      <c r="M854" s="35"/>
      <c r="N854" s="25"/>
      <c r="O854" s="25"/>
      <c r="P854" s="25"/>
      <c r="Q854" s="35">
        <v>2.0</v>
      </c>
      <c r="R854" s="35">
        <v>2.0</v>
      </c>
      <c r="S854" s="35">
        <v>2.0</v>
      </c>
      <c r="T854" s="35">
        <v>2.0</v>
      </c>
      <c r="U854" s="34"/>
      <c r="V854" s="34"/>
      <c r="W854" s="34"/>
      <c r="X854" s="34"/>
      <c r="Y854" s="34"/>
      <c r="Z854" s="34"/>
      <c r="AA854" s="25"/>
      <c r="AB854" s="25"/>
      <c r="AC854" s="25"/>
      <c r="AD854" s="25"/>
      <c r="AE854" s="25"/>
      <c r="AF854" s="25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25"/>
      <c r="AU854" s="34"/>
      <c r="AV854" s="34"/>
      <c r="AW854" s="34"/>
    </row>
    <row r="855" ht="15.0" customHeight="1">
      <c r="A855" s="32" t="s">
        <v>880</v>
      </c>
      <c r="B855" s="25"/>
      <c r="C855" s="25"/>
      <c r="D855" s="25"/>
      <c r="E855" s="25"/>
      <c r="F855" s="25"/>
      <c r="G855" s="35">
        <v>0.0</v>
      </c>
      <c r="H855" s="35">
        <v>1.0</v>
      </c>
      <c r="I855" s="25"/>
      <c r="J855" s="25"/>
      <c r="K855" s="25"/>
      <c r="L855" s="35"/>
      <c r="M855" s="35"/>
      <c r="N855" s="25"/>
      <c r="O855" s="25"/>
      <c r="P855" s="25"/>
      <c r="Q855" s="35">
        <v>2.0</v>
      </c>
      <c r="R855" s="35">
        <v>2.0</v>
      </c>
      <c r="S855" s="35">
        <v>2.0</v>
      </c>
      <c r="T855" s="35">
        <v>2.0</v>
      </c>
      <c r="U855" s="34"/>
      <c r="V855" s="34"/>
      <c r="W855" s="34"/>
      <c r="X855" s="34"/>
      <c r="Y855" s="34"/>
      <c r="Z855" s="34"/>
      <c r="AA855" s="25"/>
      <c r="AB855" s="25"/>
      <c r="AC855" s="25"/>
      <c r="AD855" s="25"/>
      <c r="AE855" s="25"/>
      <c r="AF855" s="25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25"/>
      <c r="AU855" s="34"/>
      <c r="AV855" s="34"/>
      <c r="AW855" s="34"/>
    </row>
    <row r="856" ht="15.0" customHeight="1">
      <c r="A856" s="32" t="s">
        <v>881</v>
      </c>
      <c r="B856" s="25"/>
      <c r="C856" s="25"/>
      <c r="D856" s="25"/>
      <c r="E856" s="25"/>
      <c r="F856" s="25"/>
      <c r="G856" s="35">
        <v>0.0</v>
      </c>
      <c r="H856" s="35">
        <v>1.0</v>
      </c>
      <c r="I856" s="25"/>
      <c r="J856" s="25"/>
      <c r="K856" s="25"/>
      <c r="L856" s="35"/>
      <c r="M856" s="35"/>
      <c r="N856" s="25"/>
      <c r="O856" s="25"/>
      <c r="P856" s="25"/>
      <c r="Q856" s="35">
        <v>2.0</v>
      </c>
      <c r="R856" s="35">
        <v>2.0</v>
      </c>
      <c r="S856" s="35">
        <v>2.0</v>
      </c>
      <c r="T856" s="35">
        <v>2.0</v>
      </c>
      <c r="U856" s="34"/>
      <c r="V856" s="34"/>
      <c r="W856" s="34"/>
      <c r="X856" s="34"/>
      <c r="Y856" s="34"/>
      <c r="Z856" s="34"/>
      <c r="AA856" s="25"/>
      <c r="AB856" s="25"/>
      <c r="AC856" s="25"/>
      <c r="AD856" s="25"/>
      <c r="AE856" s="25"/>
      <c r="AF856" s="25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25"/>
      <c r="AU856" s="34"/>
      <c r="AV856" s="34"/>
      <c r="AW856" s="34"/>
    </row>
    <row r="857" ht="15.0" customHeight="1">
      <c r="A857" s="32" t="s">
        <v>882</v>
      </c>
      <c r="B857" s="25"/>
      <c r="C857" s="25"/>
      <c r="D857" s="25"/>
      <c r="E857" s="25"/>
      <c r="F857" s="25"/>
      <c r="G857" s="35">
        <v>0.0</v>
      </c>
      <c r="H857" s="35">
        <v>1.0</v>
      </c>
      <c r="I857" s="25"/>
      <c r="J857" s="25"/>
      <c r="K857" s="25"/>
      <c r="L857" s="35"/>
      <c r="M857" s="35"/>
      <c r="N857" s="25"/>
      <c r="O857" s="25"/>
      <c r="P857" s="25"/>
      <c r="Q857" s="35">
        <v>2.0</v>
      </c>
      <c r="R857" s="35">
        <v>2.0</v>
      </c>
      <c r="S857" s="35">
        <v>2.0</v>
      </c>
      <c r="T857" s="35">
        <v>2.0</v>
      </c>
      <c r="U857" s="34"/>
      <c r="V857" s="34"/>
      <c r="W857" s="34"/>
      <c r="X857" s="34"/>
      <c r="Y857" s="34"/>
      <c r="Z857" s="34"/>
      <c r="AA857" s="25"/>
      <c r="AB857" s="25"/>
      <c r="AC857" s="25"/>
      <c r="AD857" s="25"/>
      <c r="AE857" s="25"/>
      <c r="AF857" s="25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25"/>
      <c r="AU857" s="34"/>
      <c r="AV857" s="34"/>
      <c r="AW857" s="34"/>
    </row>
    <row r="858" ht="15.0" customHeight="1">
      <c r="A858" s="32" t="s">
        <v>883</v>
      </c>
      <c r="B858" s="25"/>
      <c r="C858" s="25"/>
      <c r="D858" s="25"/>
      <c r="E858" s="25"/>
      <c r="F858" s="25"/>
      <c r="G858" s="35">
        <v>0.0</v>
      </c>
      <c r="H858" s="35">
        <v>1.0</v>
      </c>
      <c r="I858" s="25"/>
      <c r="J858" s="25"/>
      <c r="K858" s="25"/>
      <c r="L858" s="35"/>
      <c r="M858" s="35"/>
      <c r="N858" s="25"/>
      <c r="O858" s="25"/>
      <c r="P858" s="25"/>
      <c r="Q858" s="35">
        <v>2.0</v>
      </c>
      <c r="R858" s="35">
        <v>2.0</v>
      </c>
      <c r="S858" s="35">
        <v>2.0</v>
      </c>
      <c r="T858" s="35">
        <v>2.0</v>
      </c>
      <c r="U858" s="34"/>
      <c r="V858" s="34"/>
      <c r="W858" s="34"/>
      <c r="X858" s="34"/>
      <c r="Y858" s="34"/>
      <c r="Z858" s="34"/>
      <c r="AA858" s="25"/>
      <c r="AB858" s="25"/>
      <c r="AC858" s="25"/>
      <c r="AD858" s="25"/>
      <c r="AE858" s="25"/>
      <c r="AF858" s="25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25"/>
      <c r="AU858" s="34"/>
      <c r="AV858" s="34"/>
      <c r="AW858" s="34"/>
    </row>
    <row r="859" ht="15.0" customHeight="1">
      <c r="A859" s="32" t="s">
        <v>884</v>
      </c>
      <c r="B859" s="25"/>
      <c r="C859" s="25"/>
      <c r="D859" s="25"/>
      <c r="E859" s="25"/>
      <c r="F859" s="25"/>
      <c r="G859" s="35">
        <v>0.0</v>
      </c>
      <c r="H859" s="35">
        <v>1.0</v>
      </c>
      <c r="I859" s="25"/>
      <c r="J859" s="25"/>
      <c r="K859" s="25"/>
      <c r="L859" s="35"/>
      <c r="M859" s="35"/>
      <c r="N859" s="25"/>
      <c r="O859" s="25"/>
      <c r="P859" s="25"/>
      <c r="Q859" s="35">
        <v>2.0</v>
      </c>
      <c r="R859" s="35">
        <v>2.0</v>
      </c>
      <c r="S859" s="35">
        <v>2.0</v>
      </c>
      <c r="T859" s="35">
        <v>2.0</v>
      </c>
      <c r="U859" s="34"/>
      <c r="V859" s="34"/>
      <c r="W859" s="34"/>
      <c r="X859" s="34"/>
      <c r="Y859" s="34"/>
      <c r="Z859" s="34"/>
      <c r="AA859" s="25"/>
      <c r="AB859" s="25"/>
      <c r="AC859" s="25"/>
      <c r="AD859" s="25"/>
      <c r="AE859" s="25"/>
      <c r="AF859" s="25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25"/>
      <c r="AU859" s="34"/>
      <c r="AV859" s="34"/>
      <c r="AW859" s="34"/>
    </row>
    <row r="860" ht="15.0" customHeight="1">
      <c r="A860" s="32" t="s">
        <v>885</v>
      </c>
      <c r="B860" s="25"/>
      <c r="C860" s="25"/>
      <c r="D860" s="25"/>
      <c r="E860" s="25"/>
      <c r="F860" s="25"/>
      <c r="G860" s="35">
        <v>0.0</v>
      </c>
      <c r="H860" s="35">
        <v>1.0</v>
      </c>
      <c r="I860" s="25"/>
      <c r="J860" s="25"/>
      <c r="K860" s="25"/>
      <c r="L860" s="35"/>
      <c r="M860" s="35"/>
      <c r="N860" s="25"/>
      <c r="O860" s="25"/>
      <c r="P860" s="25"/>
      <c r="Q860" s="35">
        <v>2.0</v>
      </c>
      <c r="R860" s="35">
        <v>2.0</v>
      </c>
      <c r="S860" s="35">
        <v>2.0</v>
      </c>
      <c r="T860" s="35">
        <v>2.0</v>
      </c>
      <c r="U860" s="34"/>
      <c r="V860" s="34"/>
      <c r="W860" s="34"/>
      <c r="X860" s="34"/>
      <c r="Y860" s="34"/>
      <c r="Z860" s="34"/>
      <c r="AA860" s="25"/>
      <c r="AB860" s="25"/>
      <c r="AC860" s="25"/>
      <c r="AD860" s="25"/>
      <c r="AE860" s="25"/>
      <c r="AF860" s="25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25"/>
      <c r="AU860" s="34"/>
      <c r="AV860" s="34"/>
      <c r="AW860" s="34"/>
    </row>
    <row r="861" ht="15.0" customHeight="1">
      <c r="A861" s="32" t="s">
        <v>886</v>
      </c>
      <c r="B861" s="25"/>
      <c r="C861" s="25"/>
      <c r="D861" s="25"/>
      <c r="E861" s="25"/>
      <c r="F861" s="25"/>
      <c r="G861" s="35">
        <v>0.0</v>
      </c>
      <c r="H861" s="35">
        <v>1.0</v>
      </c>
      <c r="I861" s="25"/>
      <c r="J861" s="25"/>
      <c r="K861" s="25"/>
      <c r="L861" s="35"/>
      <c r="M861" s="35"/>
      <c r="N861" s="25"/>
      <c r="O861" s="25"/>
      <c r="P861" s="25"/>
      <c r="Q861" s="35">
        <v>2.0</v>
      </c>
      <c r="R861" s="35">
        <v>2.0</v>
      </c>
      <c r="S861" s="35">
        <v>2.0</v>
      </c>
      <c r="T861" s="35">
        <v>2.0</v>
      </c>
      <c r="U861" s="34"/>
      <c r="V861" s="34"/>
      <c r="W861" s="34"/>
      <c r="X861" s="34"/>
      <c r="Y861" s="34"/>
      <c r="Z861" s="34"/>
      <c r="AA861" s="25"/>
      <c r="AB861" s="25"/>
      <c r="AC861" s="25"/>
      <c r="AD861" s="25"/>
      <c r="AE861" s="25"/>
      <c r="AF861" s="25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25"/>
      <c r="AU861" s="34"/>
      <c r="AV861" s="34"/>
      <c r="AW861" s="34"/>
    </row>
    <row r="862" ht="15.0" customHeight="1">
      <c r="A862" s="32" t="s">
        <v>887</v>
      </c>
      <c r="B862" s="25"/>
      <c r="C862" s="25"/>
      <c r="D862" s="25"/>
      <c r="E862" s="25"/>
      <c r="F862" s="25"/>
      <c r="G862" s="35">
        <v>0.0</v>
      </c>
      <c r="H862" s="35">
        <v>1.0</v>
      </c>
      <c r="I862" s="25"/>
      <c r="J862" s="25"/>
      <c r="K862" s="25"/>
      <c r="L862" s="35"/>
      <c r="M862" s="35"/>
      <c r="N862" s="25"/>
      <c r="O862" s="25"/>
      <c r="P862" s="25"/>
      <c r="Q862" s="35">
        <v>2.0</v>
      </c>
      <c r="R862" s="35">
        <v>2.0</v>
      </c>
      <c r="S862" s="35">
        <v>2.0</v>
      </c>
      <c r="T862" s="35">
        <v>2.0</v>
      </c>
      <c r="U862" s="34"/>
      <c r="V862" s="34"/>
      <c r="W862" s="34"/>
      <c r="X862" s="34"/>
      <c r="Y862" s="34"/>
      <c r="Z862" s="34"/>
      <c r="AA862" s="25"/>
      <c r="AB862" s="25"/>
      <c r="AC862" s="25"/>
      <c r="AD862" s="25"/>
      <c r="AE862" s="25"/>
      <c r="AF862" s="25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25"/>
      <c r="AU862" s="34"/>
      <c r="AV862" s="34"/>
      <c r="AW862" s="34"/>
    </row>
    <row r="863" ht="15.0" customHeight="1">
      <c r="A863" s="32" t="s">
        <v>888</v>
      </c>
      <c r="B863" s="25"/>
      <c r="C863" s="25"/>
      <c r="D863" s="25"/>
      <c r="E863" s="25"/>
      <c r="F863" s="25"/>
      <c r="G863" s="35">
        <v>0.0</v>
      </c>
      <c r="H863" s="35">
        <v>1.0</v>
      </c>
      <c r="I863" s="25"/>
      <c r="J863" s="25"/>
      <c r="K863" s="25"/>
      <c r="L863" s="35"/>
      <c r="M863" s="35"/>
      <c r="N863" s="25"/>
      <c r="O863" s="25"/>
      <c r="P863" s="25"/>
      <c r="Q863" s="35">
        <v>2.0</v>
      </c>
      <c r="R863" s="35">
        <v>2.0</v>
      </c>
      <c r="S863" s="35">
        <v>2.0</v>
      </c>
      <c r="T863" s="35">
        <v>2.0</v>
      </c>
      <c r="U863" s="34"/>
      <c r="V863" s="34"/>
      <c r="W863" s="34"/>
      <c r="X863" s="34"/>
      <c r="Y863" s="34"/>
      <c r="Z863" s="34"/>
      <c r="AA863" s="25"/>
      <c r="AB863" s="25"/>
      <c r="AC863" s="25"/>
      <c r="AD863" s="25"/>
      <c r="AE863" s="25"/>
      <c r="AF863" s="25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25"/>
      <c r="AU863" s="34"/>
      <c r="AV863" s="34"/>
      <c r="AW863" s="34"/>
    </row>
    <row r="864" ht="15.0" customHeight="1">
      <c r="A864" s="32" t="s">
        <v>889</v>
      </c>
      <c r="B864" s="25"/>
      <c r="C864" s="25"/>
      <c r="D864" s="25"/>
      <c r="E864" s="25"/>
      <c r="F864" s="25"/>
      <c r="G864" s="35">
        <v>0.0</v>
      </c>
      <c r="H864" s="35">
        <v>1.0</v>
      </c>
      <c r="I864" s="25"/>
      <c r="J864" s="25"/>
      <c r="K864" s="25"/>
      <c r="L864" s="35"/>
      <c r="M864" s="35"/>
      <c r="N864" s="25"/>
      <c r="O864" s="25"/>
      <c r="P864" s="25"/>
      <c r="Q864" s="35">
        <v>2.0</v>
      </c>
      <c r="R864" s="35">
        <v>2.0</v>
      </c>
      <c r="S864" s="35">
        <v>2.0</v>
      </c>
      <c r="T864" s="35">
        <v>2.0</v>
      </c>
      <c r="U864" s="34"/>
      <c r="V864" s="34"/>
      <c r="W864" s="34"/>
      <c r="X864" s="34"/>
      <c r="Y864" s="34"/>
      <c r="Z864" s="34"/>
      <c r="AA864" s="25"/>
      <c r="AB864" s="25"/>
      <c r="AC864" s="25"/>
      <c r="AD864" s="25"/>
      <c r="AE864" s="25"/>
      <c r="AF864" s="25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25"/>
      <c r="AU864" s="34"/>
      <c r="AV864" s="34"/>
      <c r="AW864" s="34"/>
    </row>
    <row r="865" ht="15.0" customHeight="1">
      <c r="A865" s="32" t="s">
        <v>890</v>
      </c>
      <c r="B865" s="25"/>
      <c r="C865" s="25"/>
      <c r="D865" s="25"/>
      <c r="E865" s="25"/>
      <c r="F865" s="25"/>
      <c r="G865" s="35">
        <v>0.0</v>
      </c>
      <c r="H865" s="35">
        <v>1.0</v>
      </c>
      <c r="I865" s="25"/>
      <c r="J865" s="25"/>
      <c r="K865" s="25"/>
      <c r="L865" s="35"/>
      <c r="M865" s="35"/>
      <c r="N865" s="25"/>
      <c r="O865" s="25"/>
      <c r="P865" s="25"/>
      <c r="Q865" s="35">
        <v>2.0</v>
      </c>
      <c r="R865" s="35">
        <v>2.0</v>
      </c>
      <c r="S865" s="35">
        <v>2.0</v>
      </c>
      <c r="T865" s="35">
        <v>2.0</v>
      </c>
      <c r="U865" s="34"/>
      <c r="V865" s="34"/>
      <c r="W865" s="34"/>
      <c r="X865" s="34"/>
      <c r="Y865" s="34"/>
      <c r="Z865" s="34"/>
      <c r="AA865" s="25"/>
      <c r="AB865" s="25"/>
      <c r="AC865" s="25"/>
      <c r="AD865" s="25"/>
      <c r="AE865" s="25"/>
      <c r="AF865" s="25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25"/>
      <c r="AU865" s="34"/>
      <c r="AV865" s="34"/>
      <c r="AW865" s="34"/>
    </row>
    <row r="866" ht="15.0" customHeight="1">
      <c r="A866" s="32" t="s">
        <v>891</v>
      </c>
      <c r="B866" s="25"/>
      <c r="C866" s="25"/>
      <c r="D866" s="25"/>
      <c r="E866" s="25"/>
      <c r="F866" s="25"/>
      <c r="G866" s="35">
        <v>0.0</v>
      </c>
      <c r="H866" s="35">
        <v>1.0</v>
      </c>
      <c r="I866" s="25"/>
      <c r="J866" s="25"/>
      <c r="K866" s="25"/>
      <c r="L866" s="35"/>
      <c r="M866" s="35"/>
      <c r="N866" s="25"/>
      <c r="O866" s="25"/>
      <c r="P866" s="25"/>
      <c r="Q866" s="35">
        <v>2.0</v>
      </c>
      <c r="R866" s="35">
        <v>2.0</v>
      </c>
      <c r="S866" s="35">
        <v>2.0</v>
      </c>
      <c r="T866" s="35">
        <v>2.0</v>
      </c>
      <c r="U866" s="34"/>
      <c r="V866" s="34"/>
      <c r="W866" s="34"/>
      <c r="X866" s="34"/>
      <c r="Y866" s="34"/>
      <c r="Z866" s="34"/>
      <c r="AA866" s="25"/>
      <c r="AB866" s="25"/>
      <c r="AC866" s="25"/>
      <c r="AD866" s="25"/>
      <c r="AE866" s="25"/>
      <c r="AF866" s="25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25"/>
      <c r="AU866" s="34"/>
      <c r="AV866" s="34"/>
      <c r="AW866" s="34"/>
    </row>
    <row r="867" ht="15.0" customHeight="1">
      <c r="A867" s="32" t="s">
        <v>892</v>
      </c>
      <c r="B867" s="25"/>
      <c r="C867" s="25"/>
      <c r="D867" s="25"/>
      <c r="E867" s="25"/>
      <c r="F867" s="25"/>
      <c r="G867" s="35">
        <v>0.0</v>
      </c>
      <c r="H867" s="35">
        <v>1.0</v>
      </c>
      <c r="I867" s="25"/>
      <c r="J867" s="25"/>
      <c r="K867" s="25"/>
      <c r="L867" s="35"/>
      <c r="M867" s="35"/>
      <c r="N867" s="25"/>
      <c r="O867" s="25"/>
      <c r="P867" s="25"/>
      <c r="Q867" s="35">
        <v>2.0</v>
      </c>
      <c r="R867" s="35">
        <v>2.0</v>
      </c>
      <c r="S867" s="35">
        <v>2.0</v>
      </c>
      <c r="T867" s="35">
        <v>2.0</v>
      </c>
      <c r="U867" s="34"/>
      <c r="V867" s="34"/>
      <c r="W867" s="34"/>
      <c r="X867" s="34"/>
      <c r="Y867" s="34"/>
      <c r="Z867" s="34"/>
      <c r="AA867" s="25"/>
      <c r="AB867" s="25"/>
      <c r="AC867" s="25"/>
      <c r="AD867" s="25"/>
      <c r="AE867" s="25"/>
      <c r="AF867" s="25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25"/>
      <c r="AU867" s="34"/>
      <c r="AV867" s="34"/>
      <c r="AW867" s="34"/>
    </row>
    <row r="868" ht="15.0" customHeight="1">
      <c r="A868" s="32" t="s">
        <v>893</v>
      </c>
      <c r="B868" s="25"/>
      <c r="C868" s="25"/>
      <c r="D868" s="25"/>
      <c r="E868" s="25"/>
      <c r="F868" s="25"/>
      <c r="G868" s="35">
        <v>0.0</v>
      </c>
      <c r="H868" s="35">
        <v>1.0</v>
      </c>
      <c r="I868" s="25"/>
      <c r="J868" s="25"/>
      <c r="K868" s="25"/>
      <c r="L868" s="35"/>
      <c r="M868" s="35"/>
      <c r="N868" s="25"/>
      <c r="O868" s="25"/>
      <c r="P868" s="25"/>
      <c r="Q868" s="35">
        <v>2.0</v>
      </c>
      <c r="R868" s="35">
        <v>2.0</v>
      </c>
      <c r="S868" s="35">
        <v>2.0</v>
      </c>
      <c r="T868" s="35">
        <v>2.0</v>
      </c>
      <c r="U868" s="34"/>
      <c r="V868" s="34"/>
      <c r="W868" s="34"/>
      <c r="X868" s="34"/>
      <c r="Y868" s="34"/>
      <c r="Z868" s="34"/>
      <c r="AA868" s="25"/>
      <c r="AB868" s="25"/>
      <c r="AC868" s="25"/>
      <c r="AD868" s="25"/>
      <c r="AE868" s="25"/>
      <c r="AF868" s="25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25"/>
      <c r="AU868" s="34"/>
      <c r="AV868" s="34"/>
      <c r="AW868" s="34"/>
    </row>
    <row r="869" ht="15.0" customHeight="1">
      <c r="A869" s="32" t="s">
        <v>894</v>
      </c>
      <c r="B869" s="25"/>
      <c r="C869" s="25"/>
      <c r="D869" s="25"/>
      <c r="E869" s="25"/>
      <c r="F869" s="25"/>
      <c r="G869" s="35">
        <v>0.0</v>
      </c>
      <c r="H869" s="35">
        <v>1.0</v>
      </c>
      <c r="I869" s="25"/>
      <c r="J869" s="25"/>
      <c r="K869" s="25"/>
      <c r="L869" s="35"/>
      <c r="M869" s="35"/>
      <c r="N869" s="25"/>
      <c r="O869" s="25"/>
      <c r="P869" s="25"/>
      <c r="Q869" s="35">
        <v>2.0</v>
      </c>
      <c r="R869" s="35">
        <v>2.0</v>
      </c>
      <c r="S869" s="35">
        <v>2.0</v>
      </c>
      <c r="T869" s="35">
        <v>2.0</v>
      </c>
      <c r="U869" s="34"/>
      <c r="V869" s="34"/>
      <c r="W869" s="34"/>
      <c r="X869" s="34"/>
      <c r="Y869" s="34"/>
      <c r="Z869" s="34"/>
      <c r="AA869" s="25"/>
      <c r="AB869" s="25"/>
      <c r="AC869" s="25"/>
      <c r="AD869" s="25"/>
      <c r="AE869" s="25"/>
      <c r="AF869" s="25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25"/>
      <c r="AU869" s="34"/>
      <c r="AV869" s="34"/>
      <c r="AW869" s="34"/>
    </row>
    <row r="870" ht="15.0" customHeight="1">
      <c r="A870" s="32" t="s">
        <v>895</v>
      </c>
      <c r="B870" s="25"/>
      <c r="C870" s="25"/>
      <c r="D870" s="25"/>
      <c r="E870" s="25"/>
      <c r="F870" s="25"/>
      <c r="G870" s="35">
        <v>0.0</v>
      </c>
      <c r="H870" s="35">
        <v>1.0</v>
      </c>
      <c r="I870" s="25"/>
      <c r="J870" s="25"/>
      <c r="K870" s="25"/>
      <c r="L870" s="35"/>
      <c r="M870" s="35"/>
      <c r="N870" s="25"/>
      <c r="O870" s="25"/>
      <c r="P870" s="25"/>
      <c r="Q870" s="35">
        <v>2.0</v>
      </c>
      <c r="R870" s="35">
        <v>2.0</v>
      </c>
      <c r="S870" s="35">
        <v>2.0</v>
      </c>
      <c r="T870" s="35">
        <v>2.0</v>
      </c>
      <c r="U870" s="34"/>
      <c r="V870" s="34"/>
      <c r="W870" s="34"/>
      <c r="X870" s="34"/>
      <c r="Y870" s="34"/>
      <c r="Z870" s="34"/>
      <c r="AA870" s="25"/>
      <c r="AB870" s="25"/>
      <c r="AC870" s="25"/>
      <c r="AD870" s="25"/>
      <c r="AE870" s="25"/>
      <c r="AF870" s="25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25"/>
      <c r="AU870" s="34"/>
      <c r="AV870" s="34"/>
      <c r="AW870" s="34"/>
    </row>
    <row r="871" ht="15.0" customHeight="1">
      <c r="A871" s="32" t="s">
        <v>896</v>
      </c>
      <c r="B871" s="25"/>
      <c r="C871" s="25"/>
      <c r="D871" s="25"/>
      <c r="E871" s="25"/>
      <c r="F871" s="25"/>
      <c r="G871" s="35">
        <v>0.0</v>
      </c>
      <c r="H871" s="35">
        <v>1.0</v>
      </c>
      <c r="I871" s="25"/>
      <c r="J871" s="25"/>
      <c r="K871" s="25"/>
      <c r="L871" s="35"/>
      <c r="M871" s="35"/>
      <c r="N871" s="25"/>
      <c r="O871" s="25"/>
      <c r="P871" s="25"/>
      <c r="Q871" s="35">
        <v>2.0</v>
      </c>
      <c r="R871" s="35">
        <v>2.0</v>
      </c>
      <c r="S871" s="35">
        <v>2.0</v>
      </c>
      <c r="T871" s="35">
        <v>2.0</v>
      </c>
      <c r="U871" s="34"/>
      <c r="V871" s="34"/>
      <c r="W871" s="34"/>
      <c r="X871" s="34"/>
      <c r="Y871" s="34"/>
      <c r="Z871" s="34"/>
      <c r="AA871" s="25"/>
      <c r="AB871" s="25"/>
      <c r="AC871" s="25"/>
      <c r="AD871" s="25"/>
      <c r="AE871" s="25"/>
      <c r="AF871" s="25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25"/>
      <c r="AU871" s="34"/>
      <c r="AV871" s="34"/>
      <c r="AW871" s="34"/>
    </row>
    <row r="872" ht="15.0" customHeight="1">
      <c r="A872" s="32" t="s">
        <v>897</v>
      </c>
      <c r="B872" s="25"/>
      <c r="C872" s="25"/>
      <c r="D872" s="25"/>
      <c r="E872" s="25"/>
      <c r="F872" s="25"/>
      <c r="G872" s="35">
        <v>0.0</v>
      </c>
      <c r="H872" s="35">
        <v>1.0</v>
      </c>
      <c r="I872" s="25"/>
      <c r="J872" s="25"/>
      <c r="K872" s="25"/>
      <c r="L872" s="35"/>
      <c r="M872" s="35"/>
      <c r="N872" s="25"/>
      <c r="O872" s="25"/>
      <c r="P872" s="25"/>
      <c r="Q872" s="35">
        <v>2.0</v>
      </c>
      <c r="R872" s="35">
        <v>2.0</v>
      </c>
      <c r="S872" s="35">
        <v>2.0</v>
      </c>
      <c r="T872" s="35">
        <v>2.0</v>
      </c>
      <c r="U872" s="34"/>
      <c r="V872" s="34"/>
      <c r="W872" s="34"/>
      <c r="X872" s="34"/>
      <c r="Y872" s="34"/>
      <c r="Z872" s="34"/>
      <c r="AA872" s="25"/>
      <c r="AB872" s="25"/>
      <c r="AC872" s="25"/>
      <c r="AD872" s="25"/>
      <c r="AE872" s="25"/>
      <c r="AF872" s="25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25"/>
      <c r="AU872" s="34"/>
      <c r="AV872" s="34"/>
      <c r="AW872" s="34"/>
    </row>
    <row r="873" ht="15.0" customHeight="1">
      <c r="A873" s="32" t="s">
        <v>898</v>
      </c>
      <c r="B873" s="25"/>
      <c r="C873" s="25"/>
      <c r="D873" s="25"/>
      <c r="E873" s="25"/>
      <c r="F873" s="25"/>
      <c r="G873" s="35">
        <v>0.0</v>
      </c>
      <c r="H873" s="35">
        <v>1.0</v>
      </c>
      <c r="I873" s="25"/>
      <c r="J873" s="25"/>
      <c r="K873" s="25"/>
      <c r="L873" s="35"/>
      <c r="M873" s="35"/>
      <c r="N873" s="25"/>
      <c r="O873" s="25"/>
      <c r="P873" s="25"/>
      <c r="Q873" s="35">
        <v>2.0</v>
      </c>
      <c r="R873" s="35">
        <v>2.0</v>
      </c>
      <c r="S873" s="35">
        <v>2.0</v>
      </c>
      <c r="T873" s="35">
        <v>2.0</v>
      </c>
      <c r="U873" s="34"/>
      <c r="V873" s="34"/>
      <c r="W873" s="34"/>
      <c r="X873" s="34"/>
      <c r="Y873" s="34"/>
      <c r="Z873" s="34"/>
      <c r="AA873" s="25"/>
      <c r="AB873" s="25"/>
      <c r="AC873" s="25"/>
      <c r="AD873" s="25"/>
      <c r="AE873" s="25"/>
      <c r="AF873" s="25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25"/>
      <c r="AU873" s="34"/>
      <c r="AV873" s="34"/>
      <c r="AW873" s="34"/>
    </row>
    <row r="874" ht="15.0" customHeight="1">
      <c r="A874" s="32" t="s">
        <v>899</v>
      </c>
      <c r="B874" s="25"/>
      <c r="C874" s="25"/>
      <c r="D874" s="25"/>
      <c r="E874" s="25"/>
      <c r="F874" s="25"/>
      <c r="G874" s="35">
        <v>0.0</v>
      </c>
      <c r="H874" s="35">
        <v>1.0</v>
      </c>
      <c r="I874" s="25"/>
      <c r="J874" s="25"/>
      <c r="K874" s="25"/>
      <c r="L874" s="35"/>
      <c r="M874" s="35"/>
      <c r="N874" s="25"/>
      <c r="O874" s="25"/>
      <c r="P874" s="25"/>
      <c r="Q874" s="35">
        <v>2.0</v>
      </c>
      <c r="R874" s="35">
        <v>2.0</v>
      </c>
      <c r="S874" s="35">
        <v>2.0</v>
      </c>
      <c r="T874" s="35">
        <v>2.0</v>
      </c>
      <c r="U874" s="34"/>
      <c r="V874" s="34"/>
      <c r="W874" s="34"/>
      <c r="X874" s="34"/>
      <c r="Y874" s="34"/>
      <c r="Z874" s="34"/>
      <c r="AA874" s="25"/>
      <c r="AB874" s="25"/>
      <c r="AC874" s="25"/>
      <c r="AD874" s="25"/>
      <c r="AE874" s="25"/>
      <c r="AF874" s="25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25"/>
      <c r="AU874" s="34"/>
      <c r="AV874" s="34"/>
      <c r="AW874" s="34"/>
    </row>
    <row r="875" ht="15.0" customHeight="1">
      <c r="A875" s="32" t="s">
        <v>900</v>
      </c>
      <c r="B875" s="25"/>
      <c r="C875" s="25"/>
      <c r="D875" s="25"/>
      <c r="E875" s="25"/>
      <c r="F875" s="25"/>
      <c r="G875" s="35">
        <v>0.0</v>
      </c>
      <c r="H875" s="35">
        <v>1.0</v>
      </c>
      <c r="I875" s="25"/>
      <c r="J875" s="25"/>
      <c r="K875" s="25"/>
      <c r="L875" s="35"/>
      <c r="M875" s="35"/>
      <c r="N875" s="25"/>
      <c r="O875" s="25"/>
      <c r="P875" s="25"/>
      <c r="Q875" s="35">
        <v>2.0</v>
      </c>
      <c r="R875" s="35">
        <v>2.0</v>
      </c>
      <c r="S875" s="35">
        <v>2.0</v>
      </c>
      <c r="T875" s="35">
        <v>2.0</v>
      </c>
      <c r="U875" s="34"/>
      <c r="V875" s="34"/>
      <c r="W875" s="34"/>
      <c r="X875" s="34"/>
      <c r="Y875" s="34"/>
      <c r="Z875" s="34"/>
      <c r="AA875" s="25"/>
      <c r="AB875" s="25"/>
      <c r="AC875" s="25"/>
      <c r="AD875" s="25"/>
      <c r="AE875" s="25"/>
      <c r="AF875" s="25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25"/>
      <c r="AU875" s="34"/>
      <c r="AV875" s="34"/>
      <c r="AW875" s="34"/>
    </row>
    <row r="876" ht="15.0" customHeight="1">
      <c r="A876" s="32" t="s">
        <v>901</v>
      </c>
      <c r="B876" s="25"/>
      <c r="C876" s="25"/>
      <c r="D876" s="25"/>
      <c r="E876" s="25"/>
      <c r="F876" s="25"/>
      <c r="G876" s="35">
        <v>0.0</v>
      </c>
      <c r="H876" s="35">
        <v>1.0</v>
      </c>
      <c r="I876" s="25"/>
      <c r="J876" s="25"/>
      <c r="K876" s="25"/>
      <c r="L876" s="35"/>
      <c r="M876" s="35"/>
      <c r="N876" s="25"/>
      <c r="O876" s="25"/>
      <c r="P876" s="25"/>
      <c r="Q876" s="35">
        <v>2.0</v>
      </c>
      <c r="R876" s="35">
        <v>2.0</v>
      </c>
      <c r="S876" s="35">
        <v>2.0</v>
      </c>
      <c r="T876" s="35">
        <v>2.0</v>
      </c>
      <c r="U876" s="34"/>
      <c r="V876" s="34"/>
      <c r="W876" s="34"/>
      <c r="X876" s="34"/>
      <c r="Y876" s="34"/>
      <c r="Z876" s="34"/>
      <c r="AA876" s="25"/>
      <c r="AB876" s="25"/>
      <c r="AC876" s="25"/>
      <c r="AD876" s="25"/>
      <c r="AE876" s="25"/>
      <c r="AF876" s="25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25"/>
      <c r="AU876" s="34"/>
      <c r="AV876" s="34"/>
      <c r="AW876" s="34"/>
    </row>
    <row r="877" ht="15.0" customHeight="1">
      <c r="A877" s="32" t="s">
        <v>902</v>
      </c>
      <c r="B877" s="25"/>
      <c r="C877" s="25"/>
      <c r="D877" s="25"/>
      <c r="E877" s="25"/>
      <c r="F877" s="25"/>
      <c r="G877" s="35">
        <v>0.0</v>
      </c>
      <c r="H877" s="35">
        <v>1.0</v>
      </c>
      <c r="I877" s="25"/>
      <c r="J877" s="25"/>
      <c r="K877" s="25"/>
      <c r="L877" s="35"/>
      <c r="M877" s="35"/>
      <c r="N877" s="25"/>
      <c r="O877" s="25"/>
      <c r="P877" s="25"/>
      <c r="Q877" s="35">
        <v>2.0</v>
      </c>
      <c r="R877" s="35">
        <v>2.0</v>
      </c>
      <c r="S877" s="35">
        <v>2.0</v>
      </c>
      <c r="T877" s="35">
        <v>2.0</v>
      </c>
      <c r="U877" s="34"/>
      <c r="V877" s="34"/>
      <c r="W877" s="34"/>
      <c r="X877" s="34"/>
      <c r="Y877" s="34"/>
      <c r="Z877" s="34"/>
      <c r="AA877" s="25"/>
      <c r="AB877" s="25"/>
      <c r="AC877" s="25"/>
      <c r="AD877" s="25"/>
      <c r="AE877" s="25"/>
      <c r="AF877" s="25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25"/>
      <c r="AU877" s="34"/>
      <c r="AV877" s="34"/>
      <c r="AW877" s="34"/>
    </row>
    <row r="878" ht="15.0" customHeight="1">
      <c r="A878" s="32" t="s">
        <v>903</v>
      </c>
      <c r="B878" s="25"/>
      <c r="C878" s="25"/>
      <c r="D878" s="25"/>
      <c r="E878" s="25"/>
      <c r="F878" s="25"/>
      <c r="G878" s="35">
        <v>0.0</v>
      </c>
      <c r="H878" s="35">
        <v>1.0</v>
      </c>
      <c r="I878" s="25"/>
      <c r="J878" s="25"/>
      <c r="K878" s="25"/>
      <c r="L878" s="35"/>
      <c r="M878" s="35"/>
      <c r="N878" s="25"/>
      <c r="O878" s="25"/>
      <c r="P878" s="25"/>
      <c r="Q878" s="35">
        <v>2.0</v>
      </c>
      <c r="R878" s="35">
        <v>2.0</v>
      </c>
      <c r="S878" s="35">
        <v>2.0</v>
      </c>
      <c r="T878" s="35">
        <v>2.0</v>
      </c>
      <c r="U878" s="34"/>
      <c r="V878" s="34"/>
      <c r="W878" s="34"/>
      <c r="X878" s="34"/>
      <c r="Y878" s="34"/>
      <c r="Z878" s="34"/>
      <c r="AA878" s="25"/>
      <c r="AB878" s="25"/>
      <c r="AC878" s="25"/>
      <c r="AD878" s="25"/>
      <c r="AE878" s="25"/>
      <c r="AF878" s="25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25"/>
      <c r="AU878" s="34"/>
      <c r="AV878" s="34"/>
      <c r="AW878" s="34"/>
    </row>
    <row r="879" ht="15.0" customHeight="1">
      <c r="A879" s="32" t="s">
        <v>904</v>
      </c>
      <c r="B879" s="25"/>
      <c r="C879" s="25"/>
      <c r="D879" s="25"/>
      <c r="E879" s="25"/>
      <c r="F879" s="25"/>
      <c r="G879" s="35">
        <v>0.0</v>
      </c>
      <c r="H879" s="35">
        <v>1.0</v>
      </c>
      <c r="I879" s="25"/>
      <c r="J879" s="25"/>
      <c r="K879" s="25"/>
      <c r="L879" s="35"/>
      <c r="M879" s="35"/>
      <c r="N879" s="25"/>
      <c r="O879" s="25"/>
      <c r="P879" s="25"/>
      <c r="Q879" s="35">
        <v>2.0</v>
      </c>
      <c r="R879" s="35">
        <v>2.0</v>
      </c>
      <c r="S879" s="35">
        <v>2.0</v>
      </c>
      <c r="T879" s="35">
        <v>2.0</v>
      </c>
      <c r="U879" s="34"/>
      <c r="V879" s="34"/>
      <c r="W879" s="34"/>
      <c r="X879" s="34"/>
      <c r="Y879" s="34"/>
      <c r="Z879" s="34"/>
      <c r="AA879" s="25"/>
      <c r="AB879" s="25"/>
      <c r="AC879" s="25"/>
      <c r="AD879" s="25"/>
      <c r="AE879" s="25"/>
      <c r="AF879" s="25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25"/>
      <c r="AU879" s="34"/>
      <c r="AV879" s="34"/>
      <c r="AW879" s="34"/>
    </row>
    <row r="880" ht="15.0" customHeight="1">
      <c r="A880" s="32" t="s">
        <v>905</v>
      </c>
      <c r="B880" s="25"/>
      <c r="C880" s="25"/>
      <c r="D880" s="25"/>
      <c r="E880" s="25"/>
      <c r="F880" s="25"/>
      <c r="G880" s="35">
        <v>0.0</v>
      </c>
      <c r="H880" s="35">
        <v>1.0</v>
      </c>
      <c r="I880" s="25"/>
      <c r="J880" s="25"/>
      <c r="K880" s="25"/>
      <c r="L880" s="35"/>
      <c r="M880" s="35"/>
      <c r="N880" s="25"/>
      <c r="O880" s="25"/>
      <c r="P880" s="25"/>
      <c r="Q880" s="35">
        <v>2.0</v>
      </c>
      <c r="R880" s="35">
        <v>2.0</v>
      </c>
      <c r="S880" s="35">
        <v>2.0</v>
      </c>
      <c r="T880" s="35">
        <v>2.0</v>
      </c>
      <c r="U880" s="34"/>
      <c r="V880" s="34"/>
      <c r="W880" s="34"/>
      <c r="X880" s="34"/>
      <c r="Y880" s="34"/>
      <c r="Z880" s="34"/>
      <c r="AA880" s="25"/>
      <c r="AB880" s="25"/>
      <c r="AC880" s="25"/>
      <c r="AD880" s="25"/>
      <c r="AE880" s="25"/>
      <c r="AF880" s="25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25"/>
      <c r="AU880" s="34"/>
      <c r="AV880" s="34"/>
      <c r="AW880" s="34"/>
    </row>
    <row r="881" ht="15.0" customHeight="1">
      <c r="A881" s="32" t="s">
        <v>906</v>
      </c>
      <c r="B881" s="25"/>
      <c r="C881" s="25"/>
      <c r="D881" s="25"/>
      <c r="E881" s="25"/>
      <c r="F881" s="25"/>
      <c r="G881" s="35">
        <v>0.0</v>
      </c>
      <c r="H881" s="35">
        <v>1.0</v>
      </c>
      <c r="I881" s="25"/>
      <c r="J881" s="25"/>
      <c r="K881" s="25"/>
      <c r="L881" s="35"/>
      <c r="M881" s="35"/>
      <c r="N881" s="25"/>
      <c r="O881" s="25"/>
      <c r="P881" s="25"/>
      <c r="Q881" s="35">
        <v>2.0</v>
      </c>
      <c r="R881" s="35">
        <v>2.0</v>
      </c>
      <c r="S881" s="35">
        <v>2.0</v>
      </c>
      <c r="T881" s="35">
        <v>2.0</v>
      </c>
      <c r="U881" s="34"/>
      <c r="V881" s="34"/>
      <c r="W881" s="34"/>
      <c r="X881" s="34"/>
      <c r="Y881" s="34"/>
      <c r="Z881" s="34"/>
      <c r="AA881" s="25"/>
      <c r="AB881" s="25"/>
      <c r="AC881" s="25"/>
      <c r="AD881" s="25"/>
      <c r="AE881" s="25"/>
      <c r="AF881" s="25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25"/>
      <c r="AU881" s="34"/>
      <c r="AV881" s="34"/>
      <c r="AW881" s="34"/>
    </row>
    <row r="882" ht="15.0" customHeight="1">
      <c r="A882" s="32" t="s">
        <v>907</v>
      </c>
      <c r="B882" s="25"/>
      <c r="C882" s="25"/>
      <c r="D882" s="25"/>
      <c r="E882" s="25"/>
      <c r="F882" s="25"/>
      <c r="G882" s="35">
        <v>0.0</v>
      </c>
      <c r="H882" s="35">
        <v>1.0</v>
      </c>
      <c r="I882" s="25"/>
      <c r="J882" s="25"/>
      <c r="K882" s="25"/>
      <c r="L882" s="35"/>
      <c r="M882" s="35"/>
      <c r="N882" s="25"/>
      <c r="O882" s="25"/>
      <c r="P882" s="25"/>
      <c r="Q882" s="35">
        <v>2.0</v>
      </c>
      <c r="R882" s="35">
        <v>2.0</v>
      </c>
      <c r="S882" s="35">
        <v>2.0</v>
      </c>
      <c r="T882" s="35">
        <v>2.0</v>
      </c>
      <c r="U882" s="34"/>
      <c r="V882" s="34"/>
      <c r="W882" s="34"/>
      <c r="X882" s="34"/>
      <c r="Y882" s="34"/>
      <c r="Z882" s="34"/>
      <c r="AA882" s="25"/>
      <c r="AB882" s="25"/>
      <c r="AC882" s="25"/>
      <c r="AD882" s="25"/>
      <c r="AE882" s="25"/>
      <c r="AF882" s="25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25"/>
      <c r="AU882" s="34"/>
      <c r="AV882" s="34"/>
      <c r="AW882" s="34"/>
    </row>
    <row r="883" ht="15.0" customHeight="1">
      <c r="A883" s="32" t="s">
        <v>908</v>
      </c>
      <c r="B883" s="25"/>
      <c r="C883" s="25"/>
      <c r="D883" s="25"/>
      <c r="E883" s="25"/>
      <c r="F883" s="25"/>
      <c r="G883" s="35">
        <v>0.0</v>
      </c>
      <c r="H883" s="35">
        <v>1.0</v>
      </c>
      <c r="I883" s="25"/>
      <c r="J883" s="25"/>
      <c r="K883" s="25"/>
      <c r="L883" s="35"/>
      <c r="M883" s="35"/>
      <c r="N883" s="25"/>
      <c r="O883" s="25"/>
      <c r="P883" s="25"/>
      <c r="Q883" s="35">
        <v>2.0</v>
      </c>
      <c r="R883" s="35">
        <v>2.0</v>
      </c>
      <c r="S883" s="35">
        <v>2.0</v>
      </c>
      <c r="T883" s="35">
        <v>2.0</v>
      </c>
      <c r="U883" s="34"/>
      <c r="V883" s="34"/>
      <c r="W883" s="34"/>
      <c r="X883" s="34"/>
      <c r="Y883" s="34"/>
      <c r="Z883" s="34"/>
      <c r="AA883" s="25"/>
      <c r="AB883" s="25"/>
      <c r="AC883" s="25"/>
      <c r="AD883" s="25"/>
      <c r="AE883" s="25"/>
      <c r="AF883" s="25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25"/>
      <c r="AU883" s="34"/>
      <c r="AV883" s="34"/>
      <c r="AW883" s="34"/>
    </row>
    <row r="884" ht="15.0" customHeight="1">
      <c r="A884" s="32" t="s">
        <v>909</v>
      </c>
      <c r="B884" s="25"/>
      <c r="C884" s="25"/>
      <c r="D884" s="25"/>
      <c r="E884" s="25"/>
      <c r="F884" s="25"/>
      <c r="G884" s="35">
        <v>0.0</v>
      </c>
      <c r="H884" s="35">
        <v>1.0</v>
      </c>
      <c r="I884" s="25"/>
      <c r="J884" s="25"/>
      <c r="K884" s="25"/>
      <c r="L884" s="35"/>
      <c r="M884" s="35"/>
      <c r="N884" s="25"/>
      <c r="O884" s="25"/>
      <c r="P884" s="25"/>
      <c r="Q884" s="35">
        <v>2.0</v>
      </c>
      <c r="R884" s="35">
        <v>2.0</v>
      </c>
      <c r="S884" s="35">
        <v>2.0</v>
      </c>
      <c r="T884" s="35">
        <v>2.0</v>
      </c>
      <c r="U884" s="34"/>
      <c r="V884" s="34"/>
      <c r="W884" s="34"/>
      <c r="X884" s="34"/>
      <c r="Y884" s="34"/>
      <c r="Z884" s="34"/>
      <c r="AA884" s="25"/>
      <c r="AB884" s="25"/>
      <c r="AC884" s="25"/>
      <c r="AD884" s="25"/>
      <c r="AE884" s="25"/>
      <c r="AF884" s="25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25"/>
      <c r="AU884" s="34"/>
      <c r="AV884" s="34"/>
      <c r="AW884" s="34"/>
    </row>
    <row r="885" ht="15.0" customHeight="1">
      <c r="A885" s="32" t="s">
        <v>910</v>
      </c>
      <c r="B885" s="25"/>
      <c r="C885" s="25"/>
      <c r="D885" s="25"/>
      <c r="E885" s="25"/>
      <c r="F885" s="25"/>
      <c r="G885" s="35">
        <v>0.0</v>
      </c>
      <c r="H885" s="35">
        <v>1.0</v>
      </c>
      <c r="I885" s="25"/>
      <c r="J885" s="25"/>
      <c r="K885" s="25"/>
      <c r="L885" s="35"/>
      <c r="M885" s="35"/>
      <c r="N885" s="25"/>
      <c r="O885" s="25"/>
      <c r="P885" s="25"/>
      <c r="Q885" s="35">
        <v>2.0</v>
      </c>
      <c r="R885" s="35">
        <v>2.0</v>
      </c>
      <c r="S885" s="35">
        <v>2.0</v>
      </c>
      <c r="T885" s="35">
        <v>2.0</v>
      </c>
      <c r="U885" s="34"/>
      <c r="V885" s="34"/>
      <c r="W885" s="34"/>
      <c r="X885" s="34"/>
      <c r="Y885" s="34"/>
      <c r="Z885" s="34"/>
      <c r="AA885" s="25"/>
      <c r="AB885" s="25"/>
      <c r="AC885" s="25"/>
      <c r="AD885" s="25"/>
      <c r="AE885" s="25"/>
      <c r="AF885" s="25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25"/>
      <c r="AU885" s="34"/>
      <c r="AV885" s="34"/>
      <c r="AW885" s="34"/>
    </row>
    <row r="886" ht="15.0" customHeight="1">
      <c r="A886" s="32" t="s">
        <v>911</v>
      </c>
      <c r="B886" s="25"/>
      <c r="C886" s="25"/>
      <c r="D886" s="25"/>
      <c r="E886" s="25"/>
      <c r="F886" s="25"/>
      <c r="G886" s="35">
        <v>0.0</v>
      </c>
      <c r="H886" s="35">
        <v>1.0</v>
      </c>
      <c r="I886" s="25"/>
      <c r="J886" s="25"/>
      <c r="K886" s="25"/>
      <c r="L886" s="35"/>
      <c r="M886" s="35"/>
      <c r="N886" s="25"/>
      <c r="O886" s="25"/>
      <c r="P886" s="25"/>
      <c r="Q886" s="35">
        <v>2.0</v>
      </c>
      <c r="R886" s="35">
        <v>2.0</v>
      </c>
      <c r="S886" s="35">
        <v>2.0</v>
      </c>
      <c r="T886" s="35">
        <v>2.0</v>
      </c>
      <c r="U886" s="34"/>
      <c r="V886" s="34"/>
      <c r="W886" s="34"/>
      <c r="X886" s="34"/>
      <c r="Y886" s="34"/>
      <c r="Z886" s="34"/>
      <c r="AA886" s="25"/>
      <c r="AB886" s="25"/>
      <c r="AC886" s="25"/>
      <c r="AD886" s="25"/>
      <c r="AE886" s="25"/>
      <c r="AF886" s="25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25"/>
      <c r="AU886" s="34"/>
      <c r="AV886" s="34"/>
      <c r="AW886" s="34"/>
    </row>
    <row r="887" ht="15.0" customHeight="1">
      <c r="A887" s="32" t="s">
        <v>912</v>
      </c>
      <c r="B887" s="25"/>
      <c r="C887" s="25"/>
      <c r="D887" s="25"/>
      <c r="E887" s="25"/>
      <c r="F887" s="25"/>
      <c r="G887" s="35">
        <v>0.0</v>
      </c>
      <c r="H887" s="35">
        <v>1.0</v>
      </c>
      <c r="I887" s="25"/>
      <c r="J887" s="25"/>
      <c r="K887" s="25"/>
      <c r="L887" s="35"/>
      <c r="M887" s="35"/>
      <c r="N887" s="25"/>
      <c r="O887" s="25"/>
      <c r="P887" s="25"/>
      <c r="Q887" s="35">
        <v>2.0</v>
      </c>
      <c r="R887" s="35">
        <v>2.0</v>
      </c>
      <c r="S887" s="35">
        <v>2.0</v>
      </c>
      <c r="T887" s="35">
        <v>2.0</v>
      </c>
      <c r="U887" s="34"/>
      <c r="V887" s="34"/>
      <c r="W887" s="34"/>
      <c r="X887" s="34"/>
      <c r="Y887" s="34"/>
      <c r="Z887" s="34"/>
      <c r="AA887" s="25"/>
      <c r="AB887" s="25"/>
      <c r="AC887" s="25"/>
      <c r="AD887" s="25"/>
      <c r="AE887" s="25"/>
      <c r="AF887" s="25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25"/>
      <c r="AU887" s="34"/>
      <c r="AV887" s="34"/>
      <c r="AW887" s="34"/>
    </row>
    <row r="888" ht="15.0" customHeight="1">
      <c r="A888" s="32" t="s">
        <v>913</v>
      </c>
      <c r="B888" s="25"/>
      <c r="C888" s="25"/>
      <c r="D888" s="25"/>
      <c r="E888" s="25"/>
      <c r="F888" s="25"/>
      <c r="G888" s="35">
        <v>0.0</v>
      </c>
      <c r="H888" s="35">
        <v>1.0</v>
      </c>
      <c r="I888" s="25"/>
      <c r="J888" s="25"/>
      <c r="K888" s="25"/>
      <c r="L888" s="35"/>
      <c r="M888" s="35"/>
      <c r="N888" s="25"/>
      <c r="O888" s="25"/>
      <c r="P888" s="25"/>
      <c r="Q888" s="35">
        <v>2.0</v>
      </c>
      <c r="R888" s="35">
        <v>2.0</v>
      </c>
      <c r="S888" s="35">
        <v>2.0</v>
      </c>
      <c r="T888" s="35">
        <v>2.0</v>
      </c>
      <c r="U888" s="34"/>
      <c r="V888" s="34"/>
      <c r="W888" s="34"/>
      <c r="X888" s="34"/>
      <c r="Y888" s="34"/>
      <c r="Z888" s="34"/>
      <c r="AA888" s="25"/>
      <c r="AB888" s="25"/>
      <c r="AC888" s="25"/>
      <c r="AD888" s="25"/>
      <c r="AE888" s="25"/>
      <c r="AF888" s="25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25"/>
      <c r="AU888" s="34"/>
      <c r="AV888" s="34"/>
      <c r="AW888" s="34"/>
    </row>
    <row r="889" ht="15.0" customHeight="1">
      <c r="A889" s="32" t="s">
        <v>914</v>
      </c>
      <c r="B889" s="25"/>
      <c r="C889" s="25"/>
      <c r="D889" s="25"/>
      <c r="E889" s="25"/>
      <c r="F889" s="25"/>
      <c r="G889" s="35">
        <v>0.0</v>
      </c>
      <c r="H889" s="35">
        <v>1.0</v>
      </c>
      <c r="I889" s="25"/>
      <c r="J889" s="25"/>
      <c r="K889" s="25"/>
      <c r="L889" s="35"/>
      <c r="M889" s="35"/>
      <c r="N889" s="25"/>
      <c r="O889" s="25"/>
      <c r="P889" s="25"/>
      <c r="Q889" s="35">
        <v>2.0</v>
      </c>
      <c r="R889" s="35">
        <v>2.0</v>
      </c>
      <c r="S889" s="35">
        <v>2.0</v>
      </c>
      <c r="T889" s="35">
        <v>2.0</v>
      </c>
      <c r="U889" s="34"/>
      <c r="V889" s="34"/>
      <c r="W889" s="34"/>
      <c r="X889" s="34"/>
      <c r="Y889" s="34"/>
      <c r="Z889" s="34"/>
      <c r="AA889" s="25"/>
      <c r="AB889" s="25"/>
      <c r="AC889" s="25"/>
      <c r="AD889" s="25"/>
      <c r="AE889" s="25"/>
      <c r="AF889" s="25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25"/>
      <c r="AU889" s="34"/>
      <c r="AV889" s="34"/>
      <c r="AW889" s="34"/>
    </row>
    <row r="890" ht="15.0" customHeight="1">
      <c r="A890" s="32" t="s">
        <v>915</v>
      </c>
      <c r="B890" s="25"/>
      <c r="C890" s="25"/>
      <c r="D890" s="25"/>
      <c r="E890" s="25"/>
      <c r="F890" s="25"/>
      <c r="G890" s="35">
        <v>0.0</v>
      </c>
      <c r="H890" s="35">
        <v>1.0</v>
      </c>
      <c r="I890" s="25"/>
      <c r="J890" s="25"/>
      <c r="K890" s="25"/>
      <c r="L890" s="35"/>
      <c r="M890" s="35"/>
      <c r="N890" s="25"/>
      <c r="O890" s="25"/>
      <c r="P890" s="25"/>
      <c r="Q890" s="35">
        <v>2.0</v>
      </c>
      <c r="R890" s="35">
        <v>2.0</v>
      </c>
      <c r="S890" s="35">
        <v>2.0</v>
      </c>
      <c r="T890" s="35">
        <v>2.0</v>
      </c>
      <c r="U890" s="34"/>
      <c r="V890" s="34"/>
      <c r="W890" s="34"/>
      <c r="X890" s="34"/>
      <c r="Y890" s="34"/>
      <c r="Z890" s="34"/>
      <c r="AA890" s="25"/>
      <c r="AB890" s="25"/>
      <c r="AC890" s="25"/>
      <c r="AD890" s="25"/>
      <c r="AE890" s="25"/>
      <c r="AF890" s="25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25"/>
      <c r="AU890" s="34"/>
      <c r="AV890" s="34"/>
      <c r="AW890" s="34"/>
    </row>
    <row r="891" ht="15.0" customHeight="1">
      <c r="A891" s="32" t="s">
        <v>916</v>
      </c>
      <c r="B891" s="25"/>
      <c r="C891" s="25"/>
      <c r="D891" s="25"/>
      <c r="E891" s="25"/>
      <c r="F891" s="25"/>
      <c r="G891" s="35">
        <v>0.0</v>
      </c>
      <c r="H891" s="35">
        <v>1.0</v>
      </c>
      <c r="I891" s="25"/>
      <c r="J891" s="25"/>
      <c r="K891" s="25"/>
      <c r="L891" s="35"/>
      <c r="M891" s="35"/>
      <c r="N891" s="25"/>
      <c r="O891" s="25"/>
      <c r="P891" s="25"/>
      <c r="Q891" s="35">
        <v>2.0</v>
      </c>
      <c r="R891" s="35">
        <v>2.0</v>
      </c>
      <c r="S891" s="35">
        <v>2.0</v>
      </c>
      <c r="T891" s="35">
        <v>2.0</v>
      </c>
      <c r="U891" s="34"/>
      <c r="V891" s="34"/>
      <c r="W891" s="34"/>
      <c r="X891" s="34"/>
      <c r="Y891" s="34"/>
      <c r="Z891" s="34"/>
      <c r="AA891" s="25"/>
      <c r="AB891" s="25"/>
      <c r="AC891" s="25"/>
      <c r="AD891" s="25"/>
      <c r="AE891" s="25"/>
      <c r="AF891" s="25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25"/>
      <c r="AU891" s="34"/>
      <c r="AV891" s="34"/>
      <c r="AW891" s="34"/>
    </row>
    <row r="892" ht="15.0" customHeight="1">
      <c r="A892" s="32" t="s">
        <v>917</v>
      </c>
      <c r="B892" s="25"/>
      <c r="C892" s="25"/>
      <c r="D892" s="25"/>
      <c r="E892" s="25"/>
      <c r="F892" s="25"/>
      <c r="G892" s="35">
        <v>0.0</v>
      </c>
      <c r="H892" s="35">
        <v>1.0</v>
      </c>
      <c r="I892" s="25"/>
      <c r="J892" s="25"/>
      <c r="K892" s="25"/>
      <c r="L892" s="35"/>
      <c r="M892" s="35"/>
      <c r="N892" s="25"/>
      <c r="O892" s="25"/>
      <c r="P892" s="25"/>
      <c r="Q892" s="35">
        <v>2.0</v>
      </c>
      <c r="R892" s="35">
        <v>2.0</v>
      </c>
      <c r="S892" s="35">
        <v>2.0</v>
      </c>
      <c r="T892" s="35">
        <v>2.0</v>
      </c>
      <c r="U892" s="34"/>
      <c r="V892" s="34"/>
      <c r="W892" s="34"/>
      <c r="X892" s="34"/>
      <c r="Y892" s="34"/>
      <c r="Z892" s="34"/>
      <c r="AA892" s="25"/>
      <c r="AB892" s="25"/>
      <c r="AC892" s="25"/>
      <c r="AD892" s="25"/>
      <c r="AE892" s="25"/>
      <c r="AF892" s="25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25"/>
      <c r="AU892" s="34"/>
      <c r="AV892" s="34"/>
      <c r="AW892" s="34"/>
    </row>
    <row r="893" ht="15.0" customHeight="1">
      <c r="A893" s="32" t="s">
        <v>918</v>
      </c>
      <c r="B893" s="25"/>
      <c r="C893" s="25"/>
      <c r="D893" s="25"/>
      <c r="E893" s="25"/>
      <c r="F893" s="25"/>
      <c r="G893" s="35">
        <v>0.0</v>
      </c>
      <c r="H893" s="35">
        <v>1.0</v>
      </c>
      <c r="I893" s="25"/>
      <c r="J893" s="25"/>
      <c r="K893" s="25"/>
      <c r="L893" s="35"/>
      <c r="M893" s="35"/>
      <c r="N893" s="25"/>
      <c r="O893" s="25"/>
      <c r="P893" s="25"/>
      <c r="Q893" s="35">
        <v>2.0</v>
      </c>
      <c r="R893" s="35">
        <v>2.0</v>
      </c>
      <c r="S893" s="35">
        <v>2.0</v>
      </c>
      <c r="T893" s="35">
        <v>2.0</v>
      </c>
      <c r="U893" s="34"/>
      <c r="V893" s="34"/>
      <c r="W893" s="34"/>
      <c r="X893" s="34"/>
      <c r="Y893" s="34"/>
      <c r="Z893" s="34"/>
      <c r="AA893" s="25"/>
      <c r="AB893" s="25"/>
      <c r="AC893" s="25"/>
      <c r="AD893" s="25"/>
      <c r="AE893" s="25"/>
      <c r="AF893" s="25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25"/>
      <c r="AU893" s="34"/>
      <c r="AV893" s="34"/>
      <c r="AW893" s="34"/>
    </row>
    <row r="894" ht="15.0" customHeight="1">
      <c r="A894" s="32" t="s">
        <v>919</v>
      </c>
      <c r="B894" s="25"/>
      <c r="C894" s="25"/>
      <c r="D894" s="25"/>
      <c r="E894" s="25"/>
      <c r="F894" s="25"/>
      <c r="G894" s="35">
        <v>0.0</v>
      </c>
      <c r="H894" s="35">
        <v>1.0</v>
      </c>
      <c r="I894" s="25"/>
      <c r="J894" s="25"/>
      <c r="K894" s="25"/>
      <c r="L894" s="35"/>
      <c r="M894" s="35"/>
      <c r="N894" s="25"/>
      <c r="O894" s="25"/>
      <c r="P894" s="25"/>
      <c r="Q894" s="35">
        <v>2.0</v>
      </c>
      <c r="R894" s="35">
        <v>2.0</v>
      </c>
      <c r="S894" s="35">
        <v>2.0</v>
      </c>
      <c r="T894" s="35">
        <v>2.0</v>
      </c>
      <c r="U894" s="34"/>
      <c r="V894" s="34"/>
      <c r="W894" s="34"/>
      <c r="X894" s="34"/>
      <c r="Y894" s="34"/>
      <c r="Z894" s="34"/>
      <c r="AA894" s="25"/>
      <c r="AB894" s="25"/>
      <c r="AC894" s="25"/>
      <c r="AD894" s="25"/>
      <c r="AE894" s="25"/>
      <c r="AF894" s="25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25"/>
      <c r="AU894" s="34"/>
      <c r="AV894" s="34"/>
      <c r="AW894" s="34"/>
    </row>
    <row r="895" ht="15.0" customHeight="1">
      <c r="A895" s="32" t="s">
        <v>920</v>
      </c>
      <c r="B895" s="25"/>
      <c r="C895" s="25"/>
      <c r="D895" s="25"/>
      <c r="E895" s="25"/>
      <c r="F895" s="25"/>
      <c r="G895" s="35">
        <v>0.0</v>
      </c>
      <c r="H895" s="35">
        <v>1.0</v>
      </c>
      <c r="I895" s="25"/>
      <c r="J895" s="25"/>
      <c r="K895" s="25"/>
      <c r="L895" s="35"/>
      <c r="M895" s="35"/>
      <c r="N895" s="25"/>
      <c r="O895" s="25"/>
      <c r="P895" s="25"/>
      <c r="Q895" s="35">
        <v>2.0</v>
      </c>
      <c r="R895" s="35">
        <v>2.0</v>
      </c>
      <c r="S895" s="35">
        <v>2.0</v>
      </c>
      <c r="T895" s="35">
        <v>2.0</v>
      </c>
      <c r="U895" s="34"/>
      <c r="V895" s="34"/>
      <c r="W895" s="34"/>
      <c r="X895" s="34"/>
      <c r="Y895" s="34"/>
      <c r="Z895" s="34"/>
      <c r="AA895" s="25"/>
      <c r="AB895" s="25"/>
      <c r="AC895" s="25"/>
      <c r="AD895" s="25"/>
      <c r="AE895" s="25"/>
      <c r="AF895" s="25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25"/>
      <c r="AU895" s="34"/>
      <c r="AV895" s="34"/>
      <c r="AW895" s="34"/>
    </row>
    <row r="896" ht="15.0" customHeight="1">
      <c r="A896" s="32" t="s">
        <v>921</v>
      </c>
      <c r="B896" s="25"/>
      <c r="C896" s="25"/>
      <c r="D896" s="25"/>
      <c r="E896" s="25"/>
      <c r="F896" s="25"/>
      <c r="G896" s="35">
        <v>0.0</v>
      </c>
      <c r="H896" s="35">
        <v>1.0</v>
      </c>
      <c r="I896" s="25"/>
      <c r="J896" s="25"/>
      <c r="K896" s="25"/>
      <c r="L896" s="35"/>
      <c r="M896" s="35"/>
      <c r="N896" s="25"/>
      <c r="O896" s="25"/>
      <c r="P896" s="25"/>
      <c r="Q896" s="35">
        <v>2.0</v>
      </c>
      <c r="R896" s="35">
        <v>2.0</v>
      </c>
      <c r="S896" s="35">
        <v>2.0</v>
      </c>
      <c r="T896" s="35">
        <v>2.0</v>
      </c>
      <c r="U896" s="34"/>
      <c r="V896" s="34"/>
      <c r="W896" s="34"/>
      <c r="X896" s="34"/>
      <c r="Y896" s="34"/>
      <c r="Z896" s="34"/>
      <c r="AA896" s="25"/>
      <c r="AB896" s="25"/>
      <c r="AC896" s="25"/>
      <c r="AD896" s="25"/>
      <c r="AE896" s="25"/>
      <c r="AF896" s="25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25"/>
      <c r="AU896" s="34"/>
      <c r="AV896" s="34"/>
      <c r="AW896" s="34"/>
    </row>
    <row r="897" ht="15.0" customHeight="1">
      <c r="A897" s="32" t="s">
        <v>922</v>
      </c>
      <c r="B897" s="25"/>
      <c r="C897" s="25"/>
      <c r="D897" s="25"/>
      <c r="E897" s="25"/>
      <c r="F897" s="25"/>
      <c r="G897" s="35">
        <v>0.0</v>
      </c>
      <c r="H897" s="35">
        <v>1.0</v>
      </c>
      <c r="I897" s="25"/>
      <c r="J897" s="25"/>
      <c r="K897" s="25"/>
      <c r="L897" s="35"/>
      <c r="M897" s="35"/>
      <c r="N897" s="25"/>
      <c r="O897" s="25"/>
      <c r="P897" s="25"/>
      <c r="Q897" s="35">
        <v>2.0</v>
      </c>
      <c r="R897" s="35">
        <v>2.0</v>
      </c>
      <c r="S897" s="35">
        <v>2.0</v>
      </c>
      <c r="T897" s="35">
        <v>2.0</v>
      </c>
      <c r="U897" s="34"/>
      <c r="V897" s="34"/>
      <c r="W897" s="34"/>
      <c r="X897" s="34"/>
      <c r="Y897" s="34"/>
      <c r="Z897" s="34"/>
      <c r="AA897" s="25"/>
      <c r="AB897" s="25"/>
      <c r="AC897" s="25"/>
      <c r="AD897" s="25"/>
      <c r="AE897" s="25"/>
      <c r="AF897" s="25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25"/>
      <c r="AU897" s="34"/>
      <c r="AV897" s="34"/>
      <c r="AW897" s="34"/>
    </row>
    <row r="898" ht="15.0" customHeight="1">
      <c r="A898" s="32" t="s">
        <v>923</v>
      </c>
      <c r="B898" s="25"/>
      <c r="C898" s="25"/>
      <c r="D898" s="25"/>
      <c r="E898" s="25"/>
      <c r="F898" s="25"/>
      <c r="G898" s="35">
        <v>0.0</v>
      </c>
      <c r="H898" s="35">
        <v>1.0</v>
      </c>
      <c r="I898" s="25"/>
      <c r="J898" s="25"/>
      <c r="K898" s="25"/>
      <c r="L898" s="35"/>
      <c r="M898" s="35"/>
      <c r="N898" s="25"/>
      <c r="O898" s="25"/>
      <c r="P898" s="25"/>
      <c r="Q898" s="35">
        <v>2.0</v>
      </c>
      <c r="R898" s="35">
        <v>2.0</v>
      </c>
      <c r="S898" s="35">
        <v>2.0</v>
      </c>
      <c r="T898" s="35">
        <v>2.0</v>
      </c>
      <c r="U898" s="34"/>
      <c r="V898" s="34"/>
      <c r="W898" s="34"/>
      <c r="X898" s="34"/>
      <c r="Y898" s="34"/>
      <c r="Z898" s="34"/>
      <c r="AA898" s="25"/>
      <c r="AB898" s="25"/>
      <c r="AC898" s="25"/>
      <c r="AD898" s="25"/>
      <c r="AE898" s="25"/>
      <c r="AF898" s="25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25"/>
      <c r="AU898" s="34"/>
      <c r="AV898" s="34"/>
      <c r="AW898" s="34"/>
    </row>
    <row r="899" ht="15.0" customHeight="1">
      <c r="A899" s="32" t="s">
        <v>924</v>
      </c>
      <c r="B899" s="25"/>
      <c r="C899" s="25"/>
      <c r="D899" s="25"/>
      <c r="E899" s="25"/>
      <c r="F899" s="25"/>
      <c r="G899" s="35">
        <v>0.0</v>
      </c>
      <c r="H899" s="35">
        <v>1.0</v>
      </c>
      <c r="I899" s="25"/>
      <c r="J899" s="25"/>
      <c r="K899" s="25"/>
      <c r="L899" s="35"/>
      <c r="M899" s="35"/>
      <c r="N899" s="25"/>
      <c r="O899" s="25"/>
      <c r="P899" s="25"/>
      <c r="Q899" s="35">
        <v>2.0</v>
      </c>
      <c r="R899" s="35">
        <v>2.0</v>
      </c>
      <c r="S899" s="35">
        <v>2.0</v>
      </c>
      <c r="T899" s="35">
        <v>2.0</v>
      </c>
      <c r="U899" s="34"/>
      <c r="V899" s="34"/>
      <c r="W899" s="34"/>
      <c r="X899" s="34"/>
      <c r="Y899" s="34"/>
      <c r="Z899" s="34"/>
      <c r="AA899" s="25"/>
      <c r="AB899" s="25"/>
      <c r="AC899" s="25"/>
      <c r="AD899" s="25"/>
      <c r="AE899" s="25"/>
      <c r="AF899" s="25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25"/>
      <c r="AU899" s="34"/>
      <c r="AV899" s="34"/>
      <c r="AW899" s="34"/>
    </row>
    <row r="900" ht="15.0" customHeight="1">
      <c r="A900" s="32" t="s">
        <v>925</v>
      </c>
      <c r="B900" s="25"/>
      <c r="C900" s="25"/>
      <c r="D900" s="25"/>
      <c r="E900" s="25"/>
      <c r="F900" s="25"/>
      <c r="G900" s="35">
        <v>0.0</v>
      </c>
      <c r="H900" s="35">
        <v>1.0</v>
      </c>
      <c r="I900" s="25"/>
      <c r="J900" s="25"/>
      <c r="K900" s="25"/>
      <c r="L900" s="35"/>
      <c r="M900" s="35"/>
      <c r="N900" s="25"/>
      <c r="O900" s="25"/>
      <c r="P900" s="25"/>
      <c r="Q900" s="35">
        <v>2.0</v>
      </c>
      <c r="R900" s="35">
        <v>2.0</v>
      </c>
      <c r="S900" s="35">
        <v>2.0</v>
      </c>
      <c r="T900" s="35">
        <v>2.0</v>
      </c>
      <c r="U900" s="34"/>
      <c r="V900" s="34"/>
      <c r="W900" s="34"/>
      <c r="X900" s="34"/>
      <c r="Y900" s="34"/>
      <c r="Z900" s="34"/>
      <c r="AA900" s="25"/>
      <c r="AB900" s="25"/>
      <c r="AC900" s="25"/>
      <c r="AD900" s="25"/>
      <c r="AE900" s="25"/>
      <c r="AF900" s="25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25"/>
      <c r="AU900" s="34"/>
      <c r="AV900" s="34"/>
      <c r="AW900" s="34"/>
    </row>
    <row r="901" ht="15.0" customHeight="1">
      <c r="A901" s="32" t="s">
        <v>926</v>
      </c>
      <c r="B901" s="25"/>
      <c r="C901" s="25"/>
      <c r="D901" s="25"/>
      <c r="E901" s="25"/>
      <c r="F901" s="25"/>
      <c r="G901" s="35">
        <v>0.0</v>
      </c>
      <c r="H901" s="35">
        <v>1.0</v>
      </c>
      <c r="I901" s="25"/>
      <c r="J901" s="25"/>
      <c r="K901" s="25"/>
      <c r="L901" s="35"/>
      <c r="M901" s="35"/>
      <c r="N901" s="25"/>
      <c r="O901" s="25"/>
      <c r="P901" s="25"/>
      <c r="Q901" s="35">
        <v>2.0</v>
      </c>
      <c r="R901" s="35">
        <v>2.0</v>
      </c>
      <c r="S901" s="35">
        <v>2.0</v>
      </c>
      <c r="T901" s="35">
        <v>2.0</v>
      </c>
      <c r="U901" s="34"/>
      <c r="V901" s="34"/>
      <c r="W901" s="34"/>
      <c r="X901" s="34"/>
      <c r="Y901" s="34"/>
      <c r="Z901" s="34"/>
      <c r="AA901" s="25"/>
      <c r="AB901" s="25"/>
      <c r="AC901" s="25"/>
      <c r="AD901" s="25"/>
      <c r="AE901" s="25"/>
      <c r="AF901" s="25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25"/>
      <c r="AU901" s="34"/>
      <c r="AV901" s="34"/>
      <c r="AW901" s="34"/>
    </row>
    <row r="902" ht="15.0" customHeight="1">
      <c r="A902" s="32" t="s">
        <v>927</v>
      </c>
      <c r="B902" s="25"/>
      <c r="C902" s="25"/>
      <c r="D902" s="25"/>
      <c r="E902" s="25"/>
      <c r="F902" s="25"/>
      <c r="G902" s="35">
        <v>0.0</v>
      </c>
      <c r="H902" s="35">
        <v>1.0</v>
      </c>
      <c r="I902" s="25"/>
      <c r="J902" s="25"/>
      <c r="K902" s="25"/>
      <c r="L902" s="35"/>
      <c r="M902" s="35"/>
      <c r="N902" s="25"/>
      <c r="O902" s="25"/>
      <c r="P902" s="25"/>
      <c r="Q902" s="35">
        <v>2.0</v>
      </c>
      <c r="R902" s="35">
        <v>2.0</v>
      </c>
      <c r="S902" s="35">
        <v>2.0</v>
      </c>
      <c r="T902" s="35">
        <v>2.0</v>
      </c>
      <c r="U902" s="34"/>
      <c r="V902" s="34"/>
      <c r="W902" s="34"/>
      <c r="X902" s="34"/>
      <c r="Y902" s="34"/>
      <c r="Z902" s="34"/>
      <c r="AA902" s="25"/>
      <c r="AB902" s="25"/>
      <c r="AC902" s="25"/>
      <c r="AD902" s="25"/>
      <c r="AE902" s="25"/>
      <c r="AF902" s="25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25"/>
      <c r="AU902" s="34"/>
      <c r="AV902" s="34"/>
      <c r="AW902" s="34"/>
    </row>
    <row r="903" ht="15.0" customHeight="1">
      <c r="A903" s="32" t="s">
        <v>928</v>
      </c>
      <c r="B903" s="25"/>
      <c r="C903" s="25"/>
      <c r="D903" s="25"/>
      <c r="E903" s="25"/>
      <c r="F903" s="25"/>
      <c r="G903" s="35">
        <v>0.0</v>
      </c>
      <c r="H903" s="35">
        <v>1.0</v>
      </c>
      <c r="I903" s="25"/>
      <c r="J903" s="25"/>
      <c r="K903" s="25"/>
      <c r="L903" s="35"/>
      <c r="M903" s="35"/>
      <c r="N903" s="25"/>
      <c r="O903" s="25"/>
      <c r="P903" s="25"/>
      <c r="Q903" s="35">
        <v>2.0</v>
      </c>
      <c r="R903" s="35">
        <v>2.0</v>
      </c>
      <c r="S903" s="35">
        <v>2.0</v>
      </c>
      <c r="T903" s="35">
        <v>2.0</v>
      </c>
      <c r="U903" s="34"/>
      <c r="V903" s="34"/>
      <c r="W903" s="34"/>
      <c r="X903" s="34"/>
      <c r="Y903" s="34"/>
      <c r="Z903" s="34"/>
      <c r="AA903" s="25"/>
      <c r="AB903" s="25"/>
      <c r="AC903" s="25"/>
      <c r="AD903" s="25"/>
      <c r="AE903" s="25"/>
      <c r="AF903" s="25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25"/>
      <c r="AU903" s="34"/>
      <c r="AV903" s="34"/>
      <c r="AW903" s="34"/>
    </row>
    <row r="904" ht="15.0" customHeight="1">
      <c r="A904" s="32" t="s">
        <v>929</v>
      </c>
      <c r="B904" s="25"/>
      <c r="C904" s="25"/>
      <c r="D904" s="25"/>
      <c r="E904" s="25"/>
      <c r="F904" s="25"/>
      <c r="G904" s="35">
        <v>0.0</v>
      </c>
      <c r="H904" s="35">
        <v>1.0</v>
      </c>
      <c r="I904" s="25"/>
      <c r="J904" s="25"/>
      <c r="K904" s="25"/>
      <c r="L904" s="35"/>
      <c r="M904" s="35"/>
      <c r="N904" s="25"/>
      <c r="O904" s="25"/>
      <c r="P904" s="25"/>
      <c r="Q904" s="35">
        <v>2.0</v>
      </c>
      <c r="R904" s="35">
        <v>2.0</v>
      </c>
      <c r="S904" s="35">
        <v>2.0</v>
      </c>
      <c r="T904" s="35">
        <v>2.0</v>
      </c>
      <c r="U904" s="34"/>
      <c r="V904" s="34"/>
      <c r="W904" s="34"/>
      <c r="X904" s="34"/>
      <c r="Y904" s="34"/>
      <c r="Z904" s="34"/>
      <c r="AA904" s="25"/>
      <c r="AB904" s="25"/>
      <c r="AC904" s="25"/>
      <c r="AD904" s="25"/>
      <c r="AE904" s="25"/>
      <c r="AF904" s="25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25"/>
      <c r="AU904" s="34"/>
      <c r="AV904" s="34"/>
      <c r="AW904" s="34"/>
    </row>
    <row r="905" ht="15.0" customHeight="1">
      <c r="A905" s="32" t="s">
        <v>930</v>
      </c>
      <c r="B905" s="25"/>
      <c r="C905" s="25"/>
      <c r="D905" s="25"/>
      <c r="E905" s="25"/>
      <c r="F905" s="25"/>
      <c r="G905" s="35">
        <v>0.0</v>
      </c>
      <c r="H905" s="35">
        <v>1.0</v>
      </c>
      <c r="I905" s="25"/>
      <c r="J905" s="25"/>
      <c r="K905" s="25"/>
      <c r="L905" s="35"/>
      <c r="M905" s="35"/>
      <c r="N905" s="25"/>
      <c r="O905" s="25"/>
      <c r="P905" s="25"/>
      <c r="Q905" s="35">
        <v>2.0</v>
      </c>
      <c r="R905" s="35">
        <v>2.0</v>
      </c>
      <c r="S905" s="35">
        <v>2.0</v>
      </c>
      <c r="T905" s="35">
        <v>2.0</v>
      </c>
      <c r="U905" s="34"/>
      <c r="V905" s="34"/>
      <c r="W905" s="34"/>
      <c r="X905" s="34"/>
      <c r="Y905" s="34"/>
      <c r="Z905" s="34"/>
      <c r="AA905" s="25"/>
      <c r="AB905" s="25"/>
      <c r="AC905" s="25"/>
      <c r="AD905" s="25"/>
      <c r="AE905" s="25"/>
      <c r="AF905" s="25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25"/>
      <c r="AU905" s="34"/>
      <c r="AV905" s="34"/>
      <c r="AW905" s="34"/>
    </row>
    <row r="906" ht="15.0" customHeight="1">
      <c r="A906" s="32" t="s">
        <v>931</v>
      </c>
      <c r="B906" s="25"/>
      <c r="C906" s="25"/>
      <c r="D906" s="25"/>
      <c r="E906" s="25"/>
      <c r="F906" s="25"/>
      <c r="G906" s="35">
        <v>0.0</v>
      </c>
      <c r="H906" s="35">
        <v>1.0</v>
      </c>
      <c r="I906" s="25"/>
      <c r="J906" s="25"/>
      <c r="K906" s="25"/>
      <c r="L906" s="35"/>
      <c r="M906" s="35"/>
      <c r="N906" s="25"/>
      <c r="O906" s="25"/>
      <c r="P906" s="25"/>
      <c r="Q906" s="35">
        <v>2.0</v>
      </c>
      <c r="R906" s="35">
        <v>2.0</v>
      </c>
      <c r="S906" s="35">
        <v>2.0</v>
      </c>
      <c r="T906" s="35">
        <v>2.0</v>
      </c>
      <c r="U906" s="34"/>
      <c r="V906" s="34"/>
      <c r="W906" s="34"/>
      <c r="X906" s="34"/>
      <c r="Y906" s="34"/>
      <c r="Z906" s="34"/>
      <c r="AA906" s="25"/>
      <c r="AB906" s="25"/>
      <c r="AC906" s="25"/>
      <c r="AD906" s="25"/>
      <c r="AE906" s="25"/>
      <c r="AF906" s="25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25"/>
      <c r="AU906" s="34"/>
      <c r="AV906" s="34"/>
      <c r="AW906" s="34"/>
    </row>
    <row r="907" ht="15.0" customHeight="1">
      <c r="A907" s="32" t="s">
        <v>932</v>
      </c>
      <c r="B907" s="25"/>
      <c r="C907" s="25"/>
      <c r="D907" s="25"/>
      <c r="E907" s="25"/>
      <c r="F907" s="25"/>
      <c r="G907" s="35">
        <v>0.0</v>
      </c>
      <c r="H907" s="35">
        <v>1.0</v>
      </c>
      <c r="I907" s="25"/>
      <c r="J907" s="25"/>
      <c r="K907" s="25"/>
      <c r="L907" s="35"/>
      <c r="M907" s="35"/>
      <c r="N907" s="25"/>
      <c r="O907" s="25"/>
      <c r="P907" s="25"/>
      <c r="Q907" s="35">
        <v>2.0</v>
      </c>
      <c r="R907" s="35">
        <v>2.0</v>
      </c>
      <c r="S907" s="35">
        <v>2.0</v>
      </c>
      <c r="T907" s="35">
        <v>2.0</v>
      </c>
      <c r="U907" s="34"/>
      <c r="V907" s="34"/>
      <c r="W907" s="34"/>
      <c r="X907" s="34"/>
      <c r="Y907" s="34"/>
      <c r="Z907" s="34"/>
      <c r="AA907" s="25"/>
      <c r="AB907" s="25"/>
      <c r="AC907" s="25"/>
      <c r="AD907" s="25"/>
      <c r="AE907" s="25"/>
      <c r="AF907" s="25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25"/>
      <c r="AU907" s="34"/>
      <c r="AV907" s="34"/>
      <c r="AW907" s="34"/>
    </row>
    <row r="908" ht="15.0" customHeight="1">
      <c r="A908" s="32" t="s">
        <v>933</v>
      </c>
      <c r="B908" s="25"/>
      <c r="C908" s="25"/>
      <c r="D908" s="25"/>
      <c r="E908" s="25"/>
      <c r="F908" s="25"/>
      <c r="G908" s="35">
        <v>0.0</v>
      </c>
      <c r="H908" s="35">
        <v>1.0</v>
      </c>
      <c r="I908" s="25"/>
      <c r="J908" s="25"/>
      <c r="K908" s="25"/>
      <c r="L908" s="35"/>
      <c r="M908" s="35"/>
      <c r="N908" s="25"/>
      <c r="O908" s="25"/>
      <c r="P908" s="25"/>
      <c r="Q908" s="35">
        <v>2.0</v>
      </c>
      <c r="R908" s="35">
        <v>2.0</v>
      </c>
      <c r="S908" s="35">
        <v>2.0</v>
      </c>
      <c r="T908" s="35">
        <v>2.0</v>
      </c>
      <c r="U908" s="34"/>
      <c r="V908" s="34"/>
      <c r="W908" s="34"/>
      <c r="X908" s="34"/>
      <c r="Y908" s="34"/>
      <c r="Z908" s="34"/>
      <c r="AA908" s="25"/>
      <c r="AB908" s="25"/>
      <c r="AC908" s="25"/>
      <c r="AD908" s="25"/>
      <c r="AE908" s="25"/>
      <c r="AF908" s="25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25"/>
      <c r="AU908" s="34"/>
      <c r="AV908" s="34"/>
      <c r="AW908" s="34"/>
    </row>
    <row r="909" ht="15.0" customHeight="1">
      <c r="A909" s="32" t="s">
        <v>934</v>
      </c>
      <c r="B909" s="25"/>
      <c r="C909" s="25"/>
      <c r="D909" s="25"/>
      <c r="E909" s="25"/>
      <c r="F909" s="25"/>
      <c r="G909" s="35">
        <v>0.0</v>
      </c>
      <c r="H909" s="35">
        <v>1.0</v>
      </c>
      <c r="I909" s="25"/>
      <c r="J909" s="25"/>
      <c r="K909" s="25"/>
      <c r="L909" s="35"/>
      <c r="M909" s="35"/>
      <c r="N909" s="25"/>
      <c r="O909" s="25"/>
      <c r="P909" s="25"/>
      <c r="Q909" s="35">
        <v>2.0</v>
      </c>
      <c r="R909" s="35">
        <v>2.0</v>
      </c>
      <c r="S909" s="35">
        <v>2.0</v>
      </c>
      <c r="T909" s="35">
        <v>2.0</v>
      </c>
      <c r="U909" s="34"/>
      <c r="V909" s="34"/>
      <c r="W909" s="34"/>
      <c r="X909" s="34"/>
      <c r="Y909" s="34"/>
      <c r="Z909" s="34"/>
      <c r="AA909" s="25"/>
      <c r="AB909" s="25"/>
      <c r="AC909" s="25"/>
      <c r="AD909" s="25"/>
      <c r="AE909" s="25"/>
      <c r="AF909" s="25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25"/>
      <c r="AU909" s="34"/>
      <c r="AV909" s="34"/>
      <c r="AW909" s="34"/>
    </row>
    <row r="910" ht="15.0" customHeight="1">
      <c r="A910" s="32" t="s">
        <v>935</v>
      </c>
      <c r="B910" s="25"/>
      <c r="C910" s="25"/>
      <c r="D910" s="25"/>
      <c r="E910" s="25"/>
      <c r="F910" s="25"/>
      <c r="G910" s="35">
        <v>0.0</v>
      </c>
      <c r="H910" s="35">
        <v>1.0</v>
      </c>
      <c r="I910" s="25"/>
      <c r="J910" s="25"/>
      <c r="K910" s="25"/>
      <c r="L910" s="35"/>
      <c r="M910" s="35"/>
      <c r="N910" s="25"/>
      <c r="O910" s="25"/>
      <c r="P910" s="25"/>
      <c r="Q910" s="35">
        <v>2.0</v>
      </c>
      <c r="R910" s="35">
        <v>2.0</v>
      </c>
      <c r="S910" s="35">
        <v>2.0</v>
      </c>
      <c r="T910" s="35">
        <v>2.0</v>
      </c>
      <c r="U910" s="34"/>
      <c r="V910" s="34"/>
      <c r="W910" s="34"/>
      <c r="X910" s="34"/>
      <c r="Y910" s="34"/>
      <c r="Z910" s="34"/>
      <c r="AA910" s="25"/>
      <c r="AB910" s="25"/>
      <c r="AC910" s="25"/>
      <c r="AD910" s="25"/>
      <c r="AE910" s="25"/>
      <c r="AF910" s="25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25"/>
      <c r="AU910" s="34"/>
      <c r="AV910" s="34"/>
      <c r="AW910" s="34"/>
    </row>
    <row r="911" ht="15.0" customHeight="1">
      <c r="A911" s="32" t="s">
        <v>936</v>
      </c>
      <c r="B911" s="25"/>
      <c r="C911" s="25"/>
      <c r="D911" s="25"/>
      <c r="E911" s="25"/>
      <c r="F911" s="25"/>
      <c r="G911" s="35">
        <v>0.0</v>
      </c>
      <c r="H911" s="35">
        <v>1.0</v>
      </c>
      <c r="I911" s="25"/>
      <c r="J911" s="25"/>
      <c r="K911" s="25"/>
      <c r="L911" s="35"/>
      <c r="M911" s="35"/>
      <c r="N911" s="25"/>
      <c r="O911" s="25"/>
      <c r="P911" s="25"/>
      <c r="Q911" s="35">
        <v>2.0</v>
      </c>
      <c r="R911" s="35">
        <v>2.0</v>
      </c>
      <c r="S911" s="35">
        <v>2.0</v>
      </c>
      <c r="T911" s="35">
        <v>2.0</v>
      </c>
      <c r="U911" s="34"/>
      <c r="V911" s="34"/>
      <c r="W911" s="34"/>
      <c r="X911" s="34"/>
      <c r="Y911" s="34"/>
      <c r="Z911" s="34"/>
      <c r="AA911" s="25"/>
      <c r="AB911" s="25"/>
      <c r="AC911" s="25"/>
      <c r="AD911" s="25"/>
      <c r="AE911" s="25"/>
      <c r="AF911" s="25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25"/>
      <c r="AU911" s="34"/>
      <c r="AV911" s="34"/>
      <c r="AW911" s="34"/>
    </row>
    <row r="912" ht="15.0" customHeight="1">
      <c r="A912" s="32" t="s">
        <v>937</v>
      </c>
      <c r="B912" s="25"/>
      <c r="C912" s="25"/>
      <c r="D912" s="25"/>
      <c r="E912" s="25"/>
      <c r="F912" s="25"/>
      <c r="G912" s="35">
        <v>0.0</v>
      </c>
      <c r="H912" s="35">
        <v>1.0</v>
      </c>
      <c r="I912" s="25"/>
      <c r="J912" s="25"/>
      <c r="K912" s="25"/>
      <c r="L912" s="35"/>
      <c r="M912" s="35"/>
      <c r="N912" s="25"/>
      <c r="O912" s="25"/>
      <c r="P912" s="25"/>
      <c r="Q912" s="35">
        <v>2.0</v>
      </c>
      <c r="R912" s="35">
        <v>2.0</v>
      </c>
      <c r="S912" s="35">
        <v>2.0</v>
      </c>
      <c r="T912" s="35">
        <v>2.0</v>
      </c>
      <c r="U912" s="34"/>
      <c r="V912" s="34"/>
      <c r="W912" s="34"/>
      <c r="X912" s="34"/>
      <c r="Y912" s="34"/>
      <c r="Z912" s="34"/>
      <c r="AA912" s="25"/>
      <c r="AB912" s="25"/>
      <c r="AC912" s="25"/>
      <c r="AD912" s="25"/>
      <c r="AE912" s="25"/>
      <c r="AF912" s="25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25"/>
      <c r="AU912" s="34"/>
      <c r="AV912" s="34"/>
      <c r="AW912" s="34"/>
    </row>
    <row r="913" ht="15.0" customHeight="1">
      <c r="A913" s="32" t="s">
        <v>938</v>
      </c>
      <c r="B913" s="25"/>
      <c r="C913" s="25"/>
      <c r="D913" s="25"/>
      <c r="E913" s="25"/>
      <c r="F913" s="25"/>
      <c r="G913" s="35">
        <v>0.0</v>
      </c>
      <c r="H913" s="35">
        <v>1.0</v>
      </c>
      <c r="I913" s="25"/>
      <c r="J913" s="25"/>
      <c r="K913" s="25"/>
      <c r="L913" s="35"/>
      <c r="M913" s="35"/>
      <c r="N913" s="25"/>
      <c r="O913" s="25"/>
      <c r="P913" s="25"/>
      <c r="Q913" s="35">
        <v>2.0</v>
      </c>
      <c r="R913" s="35">
        <v>2.0</v>
      </c>
      <c r="S913" s="35">
        <v>2.0</v>
      </c>
      <c r="T913" s="35">
        <v>2.0</v>
      </c>
      <c r="U913" s="34"/>
      <c r="V913" s="34"/>
      <c r="W913" s="34"/>
      <c r="X913" s="34"/>
      <c r="Y913" s="34"/>
      <c r="Z913" s="34"/>
      <c r="AA913" s="25"/>
      <c r="AB913" s="25"/>
      <c r="AC913" s="25"/>
      <c r="AD913" s="25"/>
      <c r="AE913" s="25"/>
      <c r="AF913" s="25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25"/>
      <c r="AU913" s="34"/>
      <c r="AV913" s="34"/>
      <c r="AW913" s="34"/>
    </row>
    <row r="914" ht="15.0" customHeight="1">
      <c r="A914" s="32" t="s">
        <v>939</v>
      </c>
      <c r="B914" s="25"/>
      <c r="C914" s="25"/>
      <c r="D914" s="25"/>
      <c r="E914" s="25"/>
      <c r="F914" s="25"/>
      <c r="G914" s="35">
        <v>0.0</v>
      </c>
      <c r="H914" s="35">
        <v>1.0</v>
      </c>
      <c r="I914" s="25"/>
      <c r="J914" s="25"/>
      <c r="K914" s="25"/>
      <c r="L914" s="35"/>
      <c r="M914" s="35"/>
      <c r="N914" s="25"/>
      <c r="O914" s="25"/>
      <c r="P914" s="25"/>
      <c r="Q914" s="35">
        <v>2.0</v>
      </c>
      <c r="R914" s="35">
        <v>2.0</v>
      </c>
      <c r="S914" s="35">
        <v>2.0</v>
      </c>
      <c r="T914" s="35">
        <v>2.0</v>
      </c>
      <c r="U914" s="34"/>
      <c r="V914" s="34"/>
      <c r="W914" s="34"/>
      <c r="X914" s="34"/>
      <c r="Y914" s="34"/>
      <c r="Z914" s="34"/>
      <c r="AA914" s="25"/>
      <c r="AB914" s="25"/>
      <c r="AC914" s="25"/>
      <c r="AD914" s="25"/>
      <c r="AE914" s="25"/>
      <c r="AF914" s="25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25"/>
      <c r="AU914" s="34"/>
      <c r="AV914" s="34"/>
      <c r="AW914" s="34"/>
    </row>
    <row r="915" ht="15.0" customHeight="1">
      <c r="A915" s="32" t="s">
        <v>940</v>
      </c>
      <c r="B915" s="25"/>
      <c r="C915" s="25"/>
      <c r="D915" s="25"/>
      <c r="E915" s="25"/>
      <c r="F915" s="25"/>
      <c r="G915" s="35">
        <v>0.0</v>
      </c>
      <c r="H915" s="35">
        <v>1.0</v>
      </c>
      <c r="I915" s="25"/>
      <c r="J915" s="25"/>
      <c r="K915" s="25"/>
      <c r="L915" s="35"/>
      <c r="M915" s="35"/>
      <c r="N915" s="25"/>
      <c r="O915" s="25"/>
      <c r="P915" s="25"/>
      <c r="Q915" s="35">
        <v>2.0</v>
      </c>
      <c r="R915" s="35">
        <v>2.0</v>
      </c>
      <c r="S915" s="35">
        <v>2.0</v>
      </c>
      <c r="T915" s="35">
        <v>2.0</v>
      </c>
      <c r="U915" s="34"/>
      <c r="V915" s="34"/>
      <c r="W915" s="34"/>
      <c r="X915" s="34"/>
      <c r="Y915" s="34"/>
      <c r="Z915" s="34"/>
      <c r="AA915" s="25"/>
      <c r="AB915" s="25"/>
      <c r="AC915" s="25"/>
      <c r="AD915" s="25"/>
      <c r="AE915" s="25"/>
      <c r="AF915" s="25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25"/>
      <c r="AU915" s="34"/>
      <c r="AV915" s="34"/>
      <c r="AW915" s="34"/>
    </row>
    <row r="916" ht="15.0" customHeight="1">
      <c r="A916" s="32" t="s">
        <v>941</v>
      </c>
      <c r="B916" s="25"/>
      <c r="C916" s="25"/>
      <c r="D916" s="25"/>
      <c r="E916" s="25"/>
      <c r="F916" s="25"/>
      <c r="G916" s="35">
        <v>0.0</v>
      </c>
      <c r="H916" s="35">
        <v>1.0</v>
      </c>
      <c r="I916" s="25"/>
      <c r="J916" s="25"/>
      <c r="K916" s="25"/>
      <c r="L916" s="35"/>
      <c r="M916" s="35"/>
      <c r="N916" s="25"/>
      <c r="O916" s="25"/>
      <c r="P916" s="25"/>
      <c r="Q916" s="35">
        <v>2.0</v>
      </c>
      <c r="R916" s="35">
        <v>2.0</v>
      </c>
      <c r="S916" s="35">
        <v>2.0</v>
      </c>
      <c r="T916" s="35">
        <v>2.0</v>
      </c>
      <c r="U916" s="34"/>
      <c r="V916" s="34"/>
      <c r="W916" s="34"/>
      <c r="X916" s="34"/>
      <c r="Y916" s="34"/>
      <c r="Z916" s="34"/>
      <c r="AA916" s="25"/>
      <c r="AB916" s="25"/>
      <c r="AC916" s="25"/>
      <c r="AD916" s="25"/>
      <c r="AE916" s="25"/>
      <c r="AF916" s="25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25"/>
      <c r="AU916" s="34"/>
      <c r="AV916" s="34"/>
      <c r="AW916" s="34"/>
    </row>
    <row r="917" ht="15.0" customHeight="1">
      <c r="A917" s="32" t="s">
        <v>942</v>
      </c>
      <c r="B917" s="25"/>
      <c r="C917" s="25"/>
      <c r="D917" s="25"/>
      <c r="E917" s="25"/>
      <c r="F917" s="25"/>
      <c r="G917" s="35">
        <v>0.0</v>
      </c>
      <c r="H917" s="35">
        <v>1.0</v>
      </c>
      <c r="I917" s="25"/>
      <c r="J917" s="25"/>
      <c r="K917" s="25"/>
      <c r="L917" s="35"/>
      <c r="M917" s="35"/>
      <c r="N917" s="25"/>
      <c r="O917" s="25"/>
      <c r="P917" s="25"/>
      <c r="Q917" s="35">
        <v>2.0</v>
      </c>
      <c r="R917" s="35">
        <v>2.0</v>
      </c>
      <c r="S917" s="35">
        <v>2.0</v>
      </c>
      <c r="T917" s="35">
        <v>2.0</v>
      </c>
      <c r="U917" s="34"/>
      <c r="V917" s="34"/>
      <c r="W917" s="34"/>
      <c r="X917" s="34"/>
      <c r="Y917" s="34"/>
      <c r="Z917" s="34"/>
      <c r="AA917" s="25"/>
      <c r="AB917" s="25"/>
      <c r="AC917" s="25"/>
      <c r="AD917" s="25"/>
      <c r="AE917" s="25"/>
      <c r="AF917" s="25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25"/>
      <c r="AU917" s="34"/>
      <c r="AV917" s="34"/>
      <c r="AW917" s="34"/>
    </row>
    <row r="918" ht="15.0" customHeight="1">
      <c r="A918" s="32" t="s">
        <v>943</v>
      </c>
      <c r="B918" s="25"/>
      <c r="C918" s="25"/>
      <c r="D918" s="25"/>
      <c r="E918" s="25"/>
      <c r="F918" s="25"/>
      <c r="G918" s="35">
        <v>0.0</v>
      </c>
      <c r="H918" s="35">
        <v>1.0</v>
      </c>
      <c r="I918" s="25"/>
      <c r="J918" s="25"/>
      <c r="K918" s="25"/>
      <c r="L918" s="35"/>
      <c r="M918" s="35"/>
      <c r="N918" s="25"/>
      <c r="O918" s="25"/>
      <c r="P918" s="25"/>
      <c r="Q918" s="35">
        <v>2.0</v>
      </c>
      <c r="R918" s="35">
        <v>2.0</v>
      </c>
      <c r="S918" s="35">
        <v>2.0</v>
      </c>
      <c r="T918" s="35">
        <v>2.0</v>
      </c>
      <c r="U918" s="34"/>
      <c r="V918" s="34"/>
      <c r="W918" s="34"/>
      <c r="X918" s="34"/>
      <c r="Y918" s="34"/>
      <c r="Z918" s="34"/>
      <c r="AA918" s="25"/>
      <c r="AB918" s="25"/>
      <c r="AC918" s="25"/>
      <c r="AD918" s="25"/>
      <c r="AE918" s="25"/>
      <c r="AF918" s="25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25"/>
      <c r="AU918" s="34"/>
      <c r="AV918" s="34"/>
      <c r="AW918" s="34"/>
    </row>
    <row r="919" ht="15.0" customHeight="1">
      <c r="A919" s="32" t="s">
        <v>944</v>
      </c>
      <c r="B919" s="25"/>
      <c r="C919" s="25"/>
      <c r="D919" s="25"/>
      <c r="E919" s="25"/>
      <c r="F919" s="25"/>
      <c r="G919" s="35">
        <v>0.0</v>
      </c>
      <c r="H919" s="35">
        <v>1.0</v>
      </c>
      <c r="I919" s="25"/>
      <c r="J919" s="25"/>
      <c r="K919" s="25"/>
      <c r="L919" s="35"/>
      <c r="M919" s="35"/>
      <c r="N919" s="25"/>
      <c r="O919" s="25"/>
      <c r="P919" s="25"/>
      <c r="Q919" s="35">
        <v>2.0</v>
      </c>
      <c r="R919" s="35">
        <v>2.0</v>
      </c>
      <c r="S919" s="35">
        <v>2.0</v>
      </c>
      <c r="T919" s="35">
        <v>2.0</v>
      </c>
      <c r="U919" s="34"/>
      <c r="V919" s="34"/>
      <c r="W919" s="34"/>
      <c r="X919" s="34"/>
      <c r="Y919" s="34"/>
      <c r="Z919" s="34"/>
      <c r="AA919" s="25"/>
      <c r="AB919" s="25"/>
      <c r="AC919" s="25"/>
      <c r="AD919" s="25"/>
      <c r="AE919" s="25"/>
      <c r="AF919" s="25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25"/>
      <c r="AU919" s="34"/>
      <c r="AV919" s="34"/>
      <c r="AW919" s="34"/>
    </row>
    <row r="920" ht="15.0" customHeight="1">
      <c r="A920" s="32" t="s">
        <v>945</v>
      </c>
      <c r="B920" s="25"/>
      <c r="C920" s="25"/>
      <c r="D920" s="25"/>
      <c r="E920" s="25"/>
      <c r="F920" s="25"/>
      <c r="G920" s="35">
        <v>0.0</v>
      </c>
      <c r="H920" s="35">
        <v>1.0</v>
      </c>
      <c r="I920" s="25"/>
      <c r="J920" s="25"/>
      <c r="K920" s="25"/>
      <c r="L920" s="35"/>
      <c r="M920" s="35"/>
      <c r="N920" s="25"/>
      <c r="O920" s="25"/>
      <c r="P920" s="25"/>
      <c r="Q920" s="35">
        <v>2.0</v>
      </c>
      <c r="R920" s="35">
        <v>2.0</v>
      </c>
      <c r="S920" s="35">
        <v>2.0</v>
      </c>
      <c r="T920" s="35">
        <v>2.0</v>
      </c>
      <c r="U920" s="34"/>
      <c r="V920" s="34"/>
      <c r="W920" s="34"/>
      <c r="X920" s="34"/>
      <c r="Y920" s="34"/>
      <c r="Z920" s="34"/>
      <c r="AA920" s="25"/>
      <c r="AB920" s="25"/>
      <c r="AC920" s="25"/>
      <c r="AD920" s="25"/>
      <c r="AE920" s="25"/>
      <c r="AF920" s="25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25"/>
      <c r="AU920" s="34"/>
      <c r="AV920" s="34"/>
      <c r="AW920" s="34"/>
    </row>
    <row r="921" ht="15.0" customHeight="1">
      <c r="A921" s="32" t="s">
        <v>946</v>
      </c>
      <c r="B921" s="25"/>
      <c r="C921" s="25"/>
      <c r="D921" s="25"/>
      <c r="E921" s="25"/>
      <c r="F921" s="25"/>
      <c r="G921" s="35">
        <v>0.0</v>
      </c>
      <c r="H921" s="35">
        <v>1.0</v>
      </c>
      <c r="I921" s="25"/>
      <c r="J921" s="25"/>
      <c r="K921" s="25"/>
      <c r="L921" s="35"/>
      <c r="M921" s="35"/>
      <c r="N921" s="25"/>
      <c r="O921" s="25"/>
      <c r="P921" s="25"/>
      <c r="Q921" s="35">
        <v>2.0</v>
      </c>
      <c r="R921" s="35">
        <v>2.0</v>
      </c>
      <c r="S921" s="35">
        <v>2.0</v>
      </c>
      <c r="T921" s="35">
        <v>2.0</v>
      </c>
      <c r="U921" s="34"/>
      <c r="V921" s="34"/>
      <c r="W921" s="34"/>
      <c r="X921" s="34"/>
      <c r="Y921" s="34"/>
      <c r="Z921" s="34"/>
      <c r="AA921" s="25"/>
      <c r="AB921" s="25"/>
      <c r="AC921" s="25"/>
      <c r="AD921" s="25"/>
      <c r="AE921" s="25"/>
      <c r="AF921" s="25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25"/>
      <c r="AU921" s="34"/>
      <c r="AV921" s="34"/>
      <c r="AW921" s="34"/>
    </row>
    <row r="922" ht="15.0" customHeight="1">
      <c r="A922" s="32" t="s">
        <v>947</v>
      </c>
      <c r="B922" s="25"/>
      <c r="C922" s="25"/>
      <c r="D922" s="25"/>
      <c r="E922" s="25"/>
      <c r="F922" s="25"/>
      <c r="G922" s="35">
        <v>0.0</v>
      </c>
      <c r="H922" s="35">
        <v>1.0</v>
      </c>
      <c r="I922" s="25"/>
      <c r="J922" s="25"/>
      <c r="K922" s="25"/>
      <c r="L922" s="35"/>
      <c r="M922" s="35"/>
      <c r="N922" s="25"/>
      <c r="O922" s="25"/>
      <c r="P922" s="25"/>
      <c r="Q922" s="35">
        <v>2.0</v>
      </c>
      <c r="R922" s="35">
        <v>2.0</v>
      </c>
      <c r="S922" s="35">
        <v>2.0</v>
      </c>
      <c r="T922" s="35">
        <v>2.0</v>
      </c>
      <c r="U922" s="34"/>
      <c r="V922" s="34"/>
      <c r="W922" s="34"/>
      <c r="X922" s="34"/>
      <c r="Y922" s="34"/>
      <c r="Z922" s="34"/>
      <c r="AA922" s="25"/>
      <c r="AB922" s="25"/>
      <c r="AC922" s="25"/>
      <c r="AD922" s="25"/>
      <c r="AE922" s="25"/>
      <c r="AF922" s="25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25"/>
      <c r="AU922" s="34"/>
      <c r="AV922" s="34"/>
      <c r="AW922" s="34"/>
    </row>
    <row r="923" ht="15.0" customHeight="1">
      <c r="A923" s="32" t="s">
        <v>948</v>
      </c>
      <c r="B923" s="25"/>
      <c r="C923" s="25"/>
      <c r="D923" s="25"/>
      <c r="E923" s="25"/>
      <c r="F923" s="25"/>
      <c r="G923" s="35">
        <v>0.0</v>
      </c>
      <c r="H923" s="35">
        <v>1.0</v>
      </c>
      <c r="I923" s="25"/>
      <c r="J923" s="25"/>
      <c r="K923" s="25"/>
      <c r="L923" s="35"/>
      <c r="M923" s="35"/>
      <c r="N923" s="25"/>
      <c r="O923" s="25"/>
      <c r="P923" s="25"/>
      <c r="Q923" s="35">
        <v>2.0</v>
      </c>
      <c r="R923" s="35">
        <v>2.0</v>
      </c>
      <c r="S923" s="35">
        <v>2.0</v>
      </c>
      <c r="T923" s="35">
        <v>2.0</v>
      </c>
      <c r="U923" s="34"/>
      <c r="V923" s="34"/>
      <c r="W923" s="34"/>
      <c r="X923" s="34"/>
      <c r="Y923" s="34"/>
      <c r="Z923" s="34"/>
      <c r="AA923" s="25"/>
      <c r="AB923" s="25"/>
      <c r="AC923" s="25"/>
      <c r="AD923" s="25"/>
      <c r="AE923" s="25"/>
      <c r="AF923" s="25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25"/>
      <c r="AU923" s="34"/>
      <c r="AV923" s="34"/>
      <c r="AW923" s="34"/>
    </row>
    <row r="924" ht="15.0" customHeight="1">
      <c r="A924" s="32" t="s">
        <v>949</v>
      </c>
      <c r="B924" s="25"/>
      <c r="C924" s="25"/>
      <c r="D924" s="25"/>
      <c r="E924" s="25"/>
      <c r="F924" s="25"/>
      <c r="G924" s="35">
        <v>0.0</v>
      </c>
      <c r="H924" s="35">
        <v>1.0</v>
      </c>
      <c r="I924" s="25"/>
      <c r="J924" s="25"/>
      <c r="K924" s="25"/>
      <c r="L924" s="35"/>
      <c r="M924" s="35"/>
      <c r="N924" s="25"/>
      <c r="O924" s="25"/>
      <c r="P924" s="25"/>
      <c r="Q924" s="35">
        <v>2.0</v>
      </c>
      <c r="R924" s="35">
        <v>2.0</v>
      </c>
      <c r="S924" s="35">
        <v>2.0</v>
      </c>
      <c r="T924" s="35">
        <v>2.0</v>
      </c>
      <c r="U924" s="34"/>
      <c r="V924" s="34"/>
      <c r="W924" s="34"/>
      <c r="X924" s="34"/>
      <c r="Y924" s="34"/>
      <c r="Z924" s="34"/>
      <c r="AA924" s="25"/>
      <c r="AB924" s="25"/>
      <c r="AC924" s="25"/>
      <c r="AD924" s="25"/>
      <c r="AE924" s="25"/>
      <c r="AF924" s="25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25"/>
      <c r="AU924" s="34"/>
      <c r="AV924" s="34"/>
      <c r="AW924" s="34"/>
    </row>
    <row r="925" ht="15.0" customHeight="1">
      <c r="A925" s="32" t="s">
        <v>950</v>
      </c>
      <c r="B925" s="25"/>
      <c r="C925" s="25"/>
      <c r="D925" s="25"/>
      <c r="E925" s="25"/>
      <c r="F925" s="25"/>
      <c r="G925" s="35">
        <v>0.0</v>
      </c>
      <c r="H925" s="35">
        <v>1.0</v>
      </c>
      <c r="I925" s="25"/>
      <c r="J925" s="25"/>
      <c r="K925" s="25"/>
      <c r="L925" s="35"/>
      <c r="M925" s="35"/>
      <c r="N925" s="25"/>
      <c r="O925" s="25"/>
      <c r="P925" s="25"/>
      <c r="Q925" s="35">
        <v>2.0</v>
      </c>
      <c r="R925" s="35">
        <v>2.0</v>
      </c>
      <c r="S925" s="35">
        <v>2.0</v>
      </c>
      <c r="T925" s="35">
        <v>2.0</v>
      </c>
      <c r="U925" s="34"/>
      <c r="V925" s="34"/>
      <c r="W925" s="34"/>
      <c r="X925" s="34"/>
      <c r="Y925" s="34"/>
      <c r="Z925" s="34"/>
      <c r="AA925" s="25"/>
      <c r="AB925" s="25"/>
      <c r="AC925" s="25"/>
      <c r="AD925" s="25"/>
      <c r="AE925" s="25"/>
      <c r="AF925" s="25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25"/>
      <c r="AU925" s="34"/>
      <c r="AV925" s="34"/>
      <c r="AW925" s="34"/>
    </row>
    <row r="926" ht="15.0" customHeight="1">
      <c r="A926" s="32" t="s">
        <v>951</v>
      </c>
      <c r="B926" s="25"/>
      <c r="C926" s="25"/>
      <c r="D926" s="25"/>
      <c r="E926" s="25"/>
      <c r="F926" s="25"/>
      <c r="G926" s="35">
        <v>0.0</v>
      </c>
      <c r="H926" s="35">
        <v>1.0</v>
      </c>
      <c r="I926" s="25"/>
      <c r="J926" s="25"/>
      <c r="K926" s="25"/>
      <c r="L926" s="35"/>
      <c r="M926" s="35"/>
      <c r="N926" s="25"/>
      <c r="O926" s="25"/>
      <c r="P926" s="25"/>
      <c r="Q926" s="35">
        <v>2.0</v>
      </c>
      <c r="R926" s="35">
        <v>2.0</v>
      </c>
      <c r="S926" s="35">
        <v>2.0</v>
      </c>
      <c r="T926" s="35">
        <v>2.0</v>
      </c>
      <c r="U926" s="34"/>
      <c r="V926" s="34"/>
      <c r="W926" s="34"/>
      <c r="X926" s="34"/>
      <c r="Y926" s="34"/>
      <c r="Z926" s="34"/>
      <c r="AA926" s="25"/>
      <c r="AB926" s="25"/>
      <c r="AC926" s="25"/>
      <c r="AD926" s="25"/>
      <c r="AE926" s="25"/>
      <c r="AF926" s="25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25"/>
      <c r="AU926" s="34"/>
      <c r="AV926" s="34"/>
      <c r="AW926" s="34"/>
    </row>
    <row r="927" ht="15.0" customHeight="1">
      <c r="A927" s="32" t="s">
        <v>952</v>
      </c>
      <c r="B927" s="25"/>
      <c r="C927" s="25"/>
      <c r="D927" s="25"/>
      <c r="E927" s="25"/>
      <c r="F927" s="25"/>
      <c r="G927" s="35">
        <v>0.0</v>
      </c>
      <c r="H927" s="35">
        <v>1.0</v>
      </c>
      <c r="I927" s="25"/>
      <c r="J927" s="25"/>
      <c r="K927" s="25"/>
      <c r="L927" s="35"/>
      <c r="M927" s="35"/>
      <c r="N927" s="25"/>
      <c r="O927" s="25"/>
      <c r="P927" s="25"/>
      <c r="Q927" s="35">
        <v>2.0</v>
      </c>
      <c r="R927" s="35">
        <v>2.0</v>
      </c>
      <c r="S927" s="35">
        <v>2.0</v>
      </c>
      <c r="T927" s="35">
        <v>2.0</v>
      </c>
      <c r="U927" s="34"/>
      <c r="V927" s="34"/>
      <c r="W927" s="34"/>
      <c r="X927" s="34"/>
      <c r="Y927" s="34"/>
      <c r="Z927" s="34"/>
      <c r="AA927" s="25"/>
      <c r="AB927" s="25"/>
      <c r="AC927" s="25"/>
      <c r="AD927" s="25"/>
      <c r="AE927" s="25"/>
      <c r="AF927" s="25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25"/>
      <c r="AU927" s="34"/>
      <c r="AV927" s="34"/>
      <c r="AW927" s="34"/>
    </row>
    <row r="928" ht="15.0" customHeight="1">
      <c r="A928" s="32" t="s">
        <v>953</v>
      </c>
      <c r="B928" s="25"/>
      <c r="C928" s="25"/>
      <c r="D928" s="25"/>
      <c r="E928" s="25"/>
      <c r="F928" s="25"/>
      <c r="G928" s="35">
        <v>0.0</v>
      </c>
      <c r="H928" s="35">
        <v>1.0</v>
      </c>
      <c r="I928" s="25"/>
      <c r="J928" s="25"/>
      <c r="K928" s="25"/>
      <c r="L928" s="35"/>
      <c r="M928" s="35"/>
      <c r="N928" s="25"/>
      <c r="O928" s="25"/>
      <c r="P928" s="25"/>
      <c r="Q928" s="35">
        <v>2.0</v>
      </c>
      <c r="R928" s="35">
        <v>2.0</v>
      </c>
      <c r="S928" s="35">
        <v>2.0</v>
      </c>
      <c r="T928" s="35">
        <v>2.0</v>
      </c>
      <c r="U928" s="34"/>
      <c r="V928" s="34"/>
      <c r="W928" s="34"/>
      <c r="X928" s="34"/>
      <c r="Y928" s="34"/>
      <c r="Z928" s="34"/>
      <c r="AA928" s="25"/>
      <c r="AB928" s="25"/>
      <c r="AC928" s="25"/>
      <c r="AD928" s="25"/>
      <c r="AE928" s="25"/>
      <c r="AF928" s="25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25"/>
      <c r="AU928" s="34"/>
      <c r="AV928" s="34"/>
      <c r="AW928" s="34"/>
    </row>
    <row r="929" ht="15.0" customHeight="1">
      <c r="A929" s="32" t="s">
        <v>954</v>
      </c>
      <c r="B929" s="25"/>
      <c r="C929" s="25"/>
      <c r="D929" s="25"/>
      <c r="E929" s="25"/>
      <c r="F929" s="25"/>
      <c r="G929" s="35">
        <v>0.0</v>
      </c>
      <c r="H929" s="35">
        <v>1.0</v>
      </c>
      <c r="I929" s="25"/>
      <c r="J929" s="25"/>
      <c r="K929" s="25"/>
      <c r="L929" s="35"/>
      <c r="M929" s="35"/>
      <c r="N929" s="25"/>
      <c r="O929" s="25"/>
      <c r="P929" s="25"/>
      <c r="Q929" s="35">
        <v>2.0</v>
      </c>
      <c r="R929" s="35">
        <v>2.0</v>
      </c>
      <c r="S929" s="35">
        <v>2.0</v>
      </c>
      <c r="T929" s="35">
        <v>2.0</v>
      </c>
      <c r="U929" s="34"/>
      <c r="V929" s="34"/>
      <c r="W929" s="34"/>
      <c r="X929" s="34"/>
      <c r="Y929" s="34"/>
      <c r="Z929" s="34"/>
      <c r="AA929" s="25"/>
      <c r="AB929" s="25"/>
      <c r="AC929" s="25"/>
      <c r="AD929" s="25"/>
      <c r="AE929" s="25"/>
      <c r="AF929" s="25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25"/>
      <c r="AU929" s="34"/>
      <c r="AV929" s="34"/>
      <c r="AW929" s="34"/>
    </row>
    <row r="930" ht="15.0" customHeight="1">
      <c r="A930" s="32" t="s">
        <v>955</v>
      </c>
      <c r="B930" s="25"/>
      <c r="C930" s="25"/>
      <c r="D930" s="25"/>
      <c r="E930" s="25"/>
      <c r="F930" s="25"/>
      <c r="G930" s="35">
        <v>0.0</v>
      </c>
      <c r="H930" s="35">
        <v>1.0</v>
      </c>
      <c r="I930" s="25"/>
      <c r="J930" s="25"/>
      <c r="K930" s="25"/>
      <c r="L930" s="35"/>
      <c r="M930" s="35"/>
      <c r="N930" s="25"/>
      <c r="O930" s="25"/>
      <c r="P930" s="25"/>
      <c r="Q930" s="35">
        <v>2.0</v>
      </c>
      <c r="R930" s="35">
        <v>2.0</v>
      </c>
      <c r="S930" s="35">
        <v>2.0</v>
      </c>
      <c r="T930" s="35">
        <v>2.0</v>
      </c>
      <c r="U930" s="34"/>
      <c r="V930" s="34"/>
      <c r="W930" s="34"/>
      <c r="X930" s="34"/>
      <c r="Y930" s="34"/>
      <c r="Z930" s="34"/>
      <c r="AA930" s="25"/>
      <c r="AB930" s="25"/>
      <c r="AC930" s="25"/>
      <c r="AD930" s="25"/>
      <c r="AE930" s="25"/>
      <c r="AF930" s="25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25"/>
      <c r="AU930" s="34"/>
      <c r="AV930" s="34"/>
      <c r="AW930" s="34"/>
    </row>
    <row r="931" ht="15.0" customHeight="1">
      <c r="A931" s="32" t="s">
        <v>956</v>
      </c>
      <c r="B931" s="25"/>
      <c r="C931" s="25"/>
      <c r="D931" s="25"/>
      <c r="E931" s="25"/>
      <c r="F931" s="25"/>
      <c r="G931" s="35">
        <v>0.0</v>
      </c>
      <c r="H931" s="35">
        <v>1.0</v>
      </c>
      <c r="I931" s="25"/>
      <c r="J931" s="25"/>
      <c r="K931" s="25"/>
      <c r="L931" s="35"/>
      <c r="M931" s="35"/>
      <c r="N931" s="25"/>
      <c r="O931" s="25"/>
      <c r="P931" s="25"/>
      <c r="Q931" s="35">
        <v>2.0</v>
      </c>
      <c r="R931" s="35">
        <v>2.0</v>
      </c>
      <c r="S931" s="35">
        <v>2.0</v>
      </c>
      <c r="T931" s="35">
        <v>2.0</v>
      </c>
      <c r="U931" s="34"/>
      <c r="V931" s="34"/>
      <c r="W931" s="34"/>
      <c r="X931" s="34"/>
      <c r="Y931" s="34"/>
      <c r="Z931" s="34"/>
      <c r="AA931" s="25"/>
      <c r="AB931" s="25"/>
      <c r="AC931" s="25"/>
      <c r="AD931" s="25"/>
      <c r="AE931" s="25"/>
      <c r="AF931" s="25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25"/>
      <c r="AU931" s="34"/>
      <c r="AV931" s="34"/>
      <c r="AW931" s="34"/>
    </row>
    <row r="932" ht="15.0" customHeight="1">
      <c r="A932" s="32" t="s">
        <v>957</v>
      </c>
      <c r="B932" s="25"/>
      <c r="C932" s="25"/>
      <c r="D932" s="25"/>
      <c r="E932" s="25"/>
      <c r="F932" s="25"/>
      <c r="G932" s="35">
        <v>0.0</v>
      </c>
      <c r="H932" s="35">
        <v>1.0</v>
      </c>
      <c r="I932" s="25"/>
      <c r="J932" s="25"/>
      <c r="K932" s="25"/>
      <c r="L932" s="35"/>
      <c r="M932" s="35"/>
      <c r="N932" s="25"/>
      <c r="O932" s="25"/>
      <c r="P932" s="25"/>
      <c r="Q932" s="35">
        <v>2.0</v>
      </c>
      <c r="R932" s="35">
        <v>2.0</v>
      </c>
      <c r="S932" s="35">
        <v>2.0</v>
      </c>
      <c r="T932" s="35">
        <v>2.0</v>
      </c>
      <c r="U932" s="34"/>
      <c r="V932" s="34"/>
      <c r="W932" s="34"/>
      <c r="X932" s="34"/>
      <c r="Y932" s="34"/>
      <c r="Z932" s="34"/>
      <c r="AA932" s="25"/>
      <c r="AB932" s="25"/>
      <c r="AC932" s="25"/>
      <c r="AD932" s="25"/>
      <c r="AE932" s="25"/>
      <c r="AF932" s="25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25"/>
      <c r="AU932" s="34"/>
      <c r="AV932" s="34"/>
      <c r="AW932" s="34"/>
    </row>
    <row r="933" ht="15.0" customHeight="1">
      <c r="A933" s="32" t="s">
        <v>958</v>
      </c>
      <c r="B933" s="25"/>
      <c r="C933" s="25"/>
      <c r="D933" s="25"/>
      <c r="E933" s="25"/>
      <c r="F933" s="25"/>
      <c r="G933" s="35">
        <v>0.0</v>
      </c>
      <c r="H933" s="35">
        <v>1.0</v>
      </c>
      <c r="I933" s="25"/>
      <c r="J933" s="25"/>
      <c r="K933" s="25"/>
      <c r="L933" s="35"/>
      <c r="M933" s="35"/>
      <c r="N933" s="25"/>
      <c r="O933" s="25"/>
      <c r="P933" s="25"/>
      <c r="Q933" s="35">
        <v>2.0</v>
      </c>
      <c r="R933" s="35">
        <v>2.0</v>
      </c>
      <c r="S933" s="35">
        <v>2.0</v>
      </c>
      <c r="T933" s="35">
        <v>2.0</v>
      </c>
      <c r="U933" s="34"/>
      <c r="V933" s="34"/>
      <c r="W933" s="34"/>
      <c r="X933" s="34"/>
      <c r="Y933" s="34"/>
      <c r="Z933" s="34"/>
      <c r="AA933" s="25"/>
      <c r="AB933" s="25"/>
      <c r="AC933" s="25"/>
      <c r="AD933" s="25"/>
      <c r="AE933" s="25"/>
      <c r="AF933" s="25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25"/>
      <c r="AU933" s="34"/>
      <c r="AV933" s="34"/>
      <c r="AW933" s="34"/>
    </row>
    <row r="934" ht="15.0" customHeight="1">
      <c r="A934" s="32" t="s">
        <v>959</v>
      </c>
      <c r="B934" s="25"/>
      <c r="C934" s="25"/>
      <c r="D934" s="25"/>
      <c r="E934" s="25"/>
      <c r="F934" s="25"/>
      <c r="G934" s="35">
        <v>0.0</v>
      </c>
      <c r="H934" s="35">
        <v>1.0</v>
      </c>
      <c r="I934" s="25"/>
      <c r="J934" s="25"/>
      <c r="K934" s="25"/>
      <c r="L934" s="35"/>
      <c r="M934" s="35"/>
      <c r="N934" s="25"/>
      <c r="O934" s="25"/>
      <c r="P934" s="25"/>
      <c r="Q934" s="35">
        <v>2.0</v>
      </c>
      <c r="R934" s="35">
        <v>2.0</v>
      </c>
      <c r="S934" s="35">
        <v>2.0</v>
      </c>
      <c r="T934" s="35">
        <v>2.0</v>
      </c>
      <c r="U934" s="34"/>
      <c r="V934" s="34"/>
      <c r="W934" s="34"/>
      <c r="X934" s="34"/>
      <c r="Y934" s="34"/>
      <c r="Z934" s="34"/>
      <c r="AA934" s="25"/>
      <c r="AB934" s="25"/>
      <c r="AC934" s="25"/>
      <c r="AD934" s="25"/>
      <c r="AE934" s="25"/>
      <c r="AF934" s="25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25"/>
      <c r="AU934" s="34"/>
      <c r="AV934" s="34"/>
      <c r="AW934" s="34"/>
    </row>
    <row r="935" ht="15.0" customHeight="1">
      <c r="A935" s="32" t="s">
        <v>960</v>
      </c>
      <c r="B935" s="25"/>
      <c r="C935" s="25"/>
      <c r="D935" s="25"/>
      <c r="E935" s="25"/>
      <c r="F935" s="25"/>
      <c r="G935" s="35">
        <v>0.0</v>
      </c>
      <c r="H935" s="35">
        <v>1.0</v>
      </c>
      <c r="I935" s="25"/>
      <c r="J935" s="25"/>
      <c r="K935" s="25"/>
      <c r="L935" s="35"/>
      <c r="M935" s="35"/>
      <c r="N935" s="25"/>
      <c r="O935" s="25"/>
      <c r="P935" s="25"/>
      <c r="Q935" s="35">
        <v>2.0</v>
      </c>
      <c r="R935" s="35">
        <v>2.0</v>
      </c>
      <c r="S935" s="35">
        <v>2.0</v>
      </c>
      <c r="T935" s="35">
        <v>2.0</v>
      </c>
      <c r="U935" s="34"/>
      <c r="V935" s="34"/>
      <c r="W935" s="34"/>
      <c r="X935" s="34"/>
      <c r="Y935" s="34"/>
      <c r="Z935" s="34"/>
      <c r="AA935" s="25"/>
      <c r="AB935" s="25"/>
      <c r="AC935" s="25"/>
      <c r="AD935" s="25"/>
      <c r="AE935" s="25"/>
      <c r="AF935" s="25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25"/>
      <c r="AU935" s="34"/>
      <c r="AV935" s="34"/>
      <c r="AW935" s="34"/>
    </row>
    <row r="936" ht="15.0" customHeight="1">
      <c r="A936" s="32" t="s">
        <v>961</v>
      </c>
      <c r="B936" s="25"/>
      <c r="C936" s="25"/>
      <c r="D936" s="25"/>
      <c r="E936" s="25"/>
      <c r="F936" s="25"/>
      <c r="G936" s="35">
        <v>0.0</v>
      </c>
      <c r="H936" s="35">
        <v>1.0</v>
      </c>
      <c r="I936" s="25"/>
      <c r="J936" s="25"/>
      <c r="K936" s="25"/>
      <c r="L936" s="35"/>
      <c r="M936" s="35"/>
      <c r="N936" s="25"/>
      <c r="O936" s="25"/>
      <c r="P936" s="25"/>
      <c r="Q936" s="35">
        <v>2.0</v>
      </c>
      <c r="R936" s="35">
        <v>2.0</v>
      </c>
      <c r="S936" s="35">
        <v>2.0</v>
      </c>
      <c r="T936" s="35">
        <v>2.0</v>
      </c>
      <c r="U936" s="34"/>
      <c r="V936" s="34"/>
      <c r="W936" s="34"/>
      <c r="X936" s="34"/>
      <c r="Y936" s="34"/>
      <c r="Z936" s="34"/>
      <c r="AA936" s="25"/>
      <c r="AB936" s="25"/>
      <c r="AC936" s="25"/>
      <c r="AD936" s="25"/>
      <c r="AE936" s="25"/>
      <c r="AF936" s="25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25"/>
      <c r="AU936" s="34"/>
      <c r="AV936" s="34"/>
      <c r="AW936" s="34"/>
    </row>
    <row r="937" ht="15.0" customHeight="1">
      <c r="A937" s="32" t="s">
        <v>962</v>
      </c>
      <c r="B937" s="25"/>
      <c r="C937" s="25"/>
      <c r="D937" s="25"/>
      <c r="E937" s="25"/>
      <c r="F937" s="25"/>
      <c r="G937" s="35">
        <v>0.0</v>
      </c>
      <c r="H937" s="35">
        <v>1.0</v>
      </c>
      <c r="I937" s="25"/>
      <c r="J937" s="25"/>
      <c r="K937" s="25"/>
      <c r="L937" s="35"/>
      <c r="M937" s="35"/>
      <c r="N937" s="25"/>
      <c r="O937" s="25"/>
      <c r="P937" s="25"/>
      <c r="Q937" s="35">
        <v>2.0</v>
      </c>
      <c r="R937" s="35">
        <v>2.0</v>
      </c>
      <c r="S937" s="35">
        <v>2.0</v>
      </c>
      <c r="T937" s="35">
        <v>2.0</v>
      </c>
      <c r="U937" s="34"/>
      <c r="V937" s="34"/>
      <c r="W937" s="34"/>
      <c r="X937" s="34"/>
      <c r="Y937" s="34"/>
      <c r="Z937" s="34"/>
      <c r="AA937" s="25"/>
      <c r="AB937" s="25"/>
      <c r="AC937" s="25"/>
      <c r="AD937" s="25"/>
      <c r="AE937" s="25"/>
      <c r="AF937" s="25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25"/>
      <c r="AU937" s="34"/>
      <c r="AV937" s="34"/>
      <c r="AW937" s="34"/>
    </row>
    <row r="938" ht="15.0" customHeight="1">
      <c r="A938" s="32" t="s">
        <v>963</v>
      </c>
      <c r="B938" s="25"/>
      <c r="C938" s="25"/>
      <c r="D938" s="25"/>
      <c r="E938" s="25"/>
      <c r="F938" s="25"/>
      <c r="G938" s="35">
        <v>0.0</v>
      </c>
      <c r="H938" s="35">
        <v>1.0</v>
      </c>
      <c r="I938" s="25"/>
      <c r="J938" s="25"/>
      <c r="K938" s="25"/>
      <c r="L938" s="35"/>
      <c r="M938" s="35"/>
      <c r="N938" s="25"/>
      <c r="O938" s="25"/>
      <c r="P938" s="25"/>
      <c r="Q938" s="35">
        <v>2.0</v>
      </c>
      <c r="R938" s="35">
        <v>2.0</v>
      </c>
      <c r="S938" s="35">
        <v>2.0</v>
      </c>
      <c r="T938" s="35">
        <v>2.0</v>
      </c>
      <c r="U938" s="34"/>
      <c r="V938" s="34"/>
      <c r="W938" s="34"/>
      <c r="X938" s="34"/>
      <c r="Y938" s="34"/>
      <c r="Z938" s="34"/>
      <c r="AA938" s="25"/>
      <c r="AB938" s="25"/>
      <c r="AC938" s="25"/>
      <c r="AD938" s="25"/>
      <c r="AE938" s="25"/>
      <c r="AF938" s="25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25"/>
      <c r="AU938" s="34"/>
      <c r="AV938" s="34"/>
      <c r="AW938" s="34"/>
    </row>
    <row r="939" ht="15.0" customHeight="1">
      <c r="A939" s="32" t="s">
        <v>964</v>
      </c>
      <c r="B939" s="25"/>
      <c r="C939" s="25"/>
      <c r="D939" s="25"/>
      <c r="E939" s="25"/>
      <c r="F939" s="25"/>
      <c r="G939" s="35">
        <v>0.0</v>
      </c>
      <c r="H939" s="35">
        <v>1.0</v>
      </c>
      <c r="I939" s="25"/>
      <c r="J939" s="25"/>
      <c r="K939" s="25"/>
      <c r="L939" s="35"/>
      <c r="M939" s="35"/>
      <c r="N939" s="25"/>
      <c r="O939" s="25"/>
      <c r="P939" s="25"/>
      <c r="Q939" s="35">
        <v>2.0</v>
      </c>
      <c r="R939" s="35">
        <v>2.0</v>
      </c>
      <c r="S939" s="35">
        <v>2.0</v>
      </c>
      <c r="T939" s="35">
        <v>2.0</v>
      </c>
      <c r="U939" s="34"/>
      <c r="V939" s="34"/>
      <c r="W939" s="34"/>
      <c r="X939" s="34"/>
      <c r="Y939" s="34"/>
      <c r="Z939" s="34"/>
      <c r="AA939" s="25"/>
      <c r="AB939" s="25"/>
      <c r="AC939" s="25"/>
      <c r="AD939" s="25"/>
      <c r="AE939" s="25"/>
      <c r="AF939" s="25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25"/>
      <c r="AU939" s="34"/>
      <c r="AV939" s="34"/>
      <c r="AW939" s="34"/>
    </row>
    <row r="940" ht="15.0" customHeight="1">
      <c r="A940" s="32" t="s">
        <v>965</v>
      </c>
      <c r="B940" s="25"/>
      <c r="C940" s="25"/>
      <c r="D940" s="25"/>
      <c r="E940" s="25"/>
      <c r="F940" s="25"/>
      <c r="G940" s="35">
        <v>0.0</v>
      </c>
      <c r="H940" s="35">
        <v>1.0</v>
      </c>
      <c r="I940" s="25"/>
      <c r="J940" s="25"/>
      <c r="K940" s="25"/>
      <c r="L940" s="35"/>
      <c r="M940" s="35"/>
      <c r="N940" s="25"/>
      <c r="O940" s="25"/>
      <c r="P940" s="25"/>
      <c r="Q940" s="35">
        <v>2.0</v>
      </c>
      <c r="R940" s="35">
        <v>2.0</v>
      </c>
      <c r="S940" s="35">
        <v>2.0</v>
      </c>
      <c r="T940" s="35">
        <v>2.0</v>
      </c>
      <c r="U940" s="34"/>
      <c r="V940" s="34"/>
      <c r="W940" s="34"/>
      <c r="X940" s="34"/>
      <c r="Y940" s="34"/>
      <c r="Z940" s="34"/>
      <c r="AA940" s="25"/>
      <c r="AB940" s="25"/>
      <c r="AC940" s="25"/>
      <c r="AD940" s="25"/>
      <c r="AE940" s="25"/>
      <c r="AF940" s="25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25"/>
      <c r="AU940" s="34"/>
      <c r="AV940" s="34"/>
      <c r="AW940" s="34"/>
    </row>
    <row r="941" ht="15.0" customHeight="1">
      <c r="A941" s="32" t="s">
        <v>966</v>
      </c>
      <c r="B941" s="25"/>
      <c r="C941" s="25"/>
      <c r="D941" s="25"/>
      <c r="E941" s="25"/>
      <c r="F941" s="25"/>
      <c r="G941" s="35">
        <v>0.0</v>
      </c>
      <c r="H941" s="35">
        <v>1.0</v>
      </c>
      <c r="I941" s="25"/>
      <c r="J941" s="25"/>
      <c r="K941" s="25"/>
      <c r="L941" s="35"/>
      <c r="M941" s="35"/>
      <c r="N941" s="25"/>
      <c r="O941" s="25"/>
      <c r="P941" s="25"/>
      <c r="Q941" s="35">
        <v>2.0</v>
      </c>
      <c r="R941" s="35">
        <v>2.0</v>
      </c>
      <c r="S941" s="35">
        <v>2.0</v>
      </c>
      <c r="T941" s="35">
        <v>2.0</v>
      </c>
      <c r="U941" s="34"/>
      <c r="V941" s="34"/>
      <c r="W941" s="34"/>
      <c r="X941" s="34"/>
      <c r="Y941" s="34"/>
      <c r="Z941" s="34"/>
      <c r="AA941" s="25"/>
      <c r="AB941" s="25"/>
      <c r="AC941" s="25"/>
      <c r="AD941" s="25"/>
      <c r="AE941" s="25"/>
      <c r="AF941" s="25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25"/>
      <c r="AU941" s="34"/>
      <c r="AV941" s="34"/>
      <c r="AW941" s="34"/>
    </row>
    <row r="942" ht="15.0" customHeight="1">
      <c r="A942" s="32" t="s">
        <v>967</v>
      </c>
      <c r="B942" s="25"/>
      <c r="C942" s="25"/>
      <c r="D942" s="25"/>
      <c r="E942" s="25"/>
      <c r="F942" s="25"/>
      <c r="G942" s="35">
        <v>0.0</v>
      </c>
      <c r="H942" s="35">
        <v>1.0</v>
      </c>
      <c r="I942" s="25"/>
      <c r="J942" s="25"/>
      <c r="K942" s="25"/>
      <c r="L942" s="35"/>
      <c r="M942" s="35"/>
      <c r="N942" s="25"/>
      <c r="O942" s="25"/>
      <c r="P942" s="25"/>
      <c r="Q942" s="35">
        <v>2.0</v>
      </c>
      <c r="R942" s="35">
        <v>2.0</v>
      </c>
      <c r="S942" s="35">
        <v>2.0</v>
      </c>
      <c r="T942" s="35">
        <v>2.0</v>
      </c>
      <c r="U942" s="34"/>
      <c r="V942" s="34"/>
      <c r="W942" s="34"/>
      <c r="X942" s="34"/>
      <c r="Y942" s="34"/>
      <c r="Z942" s="34"/>
      <c r="AA942" s="25"/>
      <c r="AB942" s="25"/>
      <c r="AC942" s="25"/>
      <c r="AD942" s="25"/>
      <c r="AE942" s="25"/>
      <c r="AF942" s="25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25"/>
      <c r="AU942" s="34"/>
      <c r="AV942" s="34"/>
      <c r="AW942" s="34"/>
    </row>
    <row r="943" ht="15.0" customHeight="1">
      <c r="A943" s="32" t="s">
        <v>968</v>
      </c>
      <c r="B943" s="25"/>
      <c r="C943" s="25"/>
      <c r="D943" s="25"/>
      <c r="E943" s="25"/>
      <c r="F943" s="25"/>
      <c r="G943" s="35">
        <v>0.0</v>
      </c>
      <c r="H943" s="35">
        <v>1.0</v>
      </c>
      <c r="I943" s="25"/>
      <c r="J943" s="25"/>
      <c r="K943" s="25"/>
      <c r="L943" s="35"/>
      <c r="M943" s="35"/>
      <c r="N943" s="25"/>
      <c r="O943" s="25"/>
      <c r="P943" s="25"/>
      <c r="Q943" s="35">
        <v>2.0</v>
      </c>
      <c r="R943" s="35">
        <v>2.0</v>
      </c>
      <c r="S943" s="35">
        <v>2.0</v>
      </c>
      <c r="T943" s="35">
        <v>2.0</v>
      </c>
      <c r="U943" s="34"/>
      <c r="V943" s="34"/>
      <c r="W943" s="34"/>
      <c r="X943" s="34"/>
      <c r="Y943" s="34"/>
      <c r="Z943" s="34"/>
      <c r="AA943" s="25"/>
      <c r="AB943" s="25"/>
      <c r="AC943" s="25"/>
      <c r="AD943" s="25"/>
      <c r="AE943" s="25"/>
      <c r="AF943" s="25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25"/>
      <c r="AU943" s="34"/>
      <c r="AV943" s="34"/>
      <c r="AW943" s="34"/>
    </row>
    <row r="944" ht="15.0" customHeight="1">
      <c r="A944" s="32" t="s">
        <v>969</v>
      </c>
      <c r="B944" s="25"/>
      <c r="C944" s="25"/>
      <c r="D944" s="25"/>
      <c r="E944" s="25"/>
      <c r="F944" s="25"/>
      <c r="G944" s="35">
        <v>0.0</v>
      </c>
      <c r="H944" s="35">
        <v>1.0</v>
      </c>
      <c r="I944" s="25"/>
      <c r="J944" s="25"/>
      <c r="K944" s="25"/>
      <c r="L944" s="35"/>
      <c r="M944" s="35"/>
      <c r="N944" s="25"/>
      <c r="O944" s="25"/>
      <c r="P944" s="25"/>
      <c r="Q944" s="35">
        <v>2.0</v>
      </c>
      <c r="R944" s="35">
        <v>2.0</v>
      </c>
      <c r="S944" s="35">
        <v>2.0</v>
      </c>
      <c r="T944" s="35">
        <v>2.0</v>
      </c>
      <c r="U944" s="34"/>
      <c r="V944" s="34"/>
      <c r="W944" s="34"/>
      <c r="X944" s="34"/>
      <c r="Y944" s="34"/>
      <c r="Z944" s="34"/>
      <c r="AA944" s="25"/>
      <c r="AB944" s="25"/>
      <c r="AC944" s="25"/>
      <c r="AD944" s="25"/>
      <c r="AE944" s="25"/>
      <c r="AF944" s="25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25"/>
      <c r="AU944" s="34"/>
      <c r="AV944" s="34"/>
      <c r="AW944" s="34"/>
    </row>
    <row r="945" ht="15.0" customHeight="1">
      <c r="A945" s="32" t="s">
        <v>970</v>
      </c>
      <c r="B945" s="25"/>
      <c r="C945" s="25"/>
      <c r="D945" s="25"/>
      <c r="E945" s="25"/>
      <c r="F945" s="25"/>
      <c r="G945" s="35">
        <v>0.0</v>
      </c>
      <c r="H945" s="35">
        <v>1.0</v>
      </c>
      <c r="I945" s="25"/>
      <c r="J945" s="25"/>
      <c r="K945" s="25"/>
      <c r="L945" s="35"/>
      <c r="M945" s="35"/>
      <c r="N945" s="25"/>
      <c r="O945" s="25"/>
      <c r="P945" s="25"/>
      <c r="Q945" s="35">
        <v>2.0</v>
      </c>
      <c r="R945" s="35">
        <v>2.0</v>
      </c>
      <c r="S945" s="35">
        <v>2.0</v>
      </c>
      <c r="T945" s="35">
        <v>2.0</v>
      </c>
      <c r="U945" s="34"/>
      <c r="V945" s="34"/>
      <c r="W945" s="34"/>
      <c r="X945" s="34"/>
      <c r="Y945" s="34"/>
      <c r="Z945" s="34"/>
      <c r="AA945" s="25"/>
      <c r="AB945" s="25"/>
      <c r="AC945" s="25"/>
      <c r="AD945" s="25"/>
      <c r="AE945" s="25"/>
      <c r="AF945" s="25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25"/>
      <c r="AU945" s="34"/>
      <c r="AV945" s="34"/>
      <c r="AW945" s="34"/>
    </row>
    <row r="946" ht="15.0" customHeight="1">
      <c r="A946" s="32" t="s">
        <v>971</v>
      </c>
      <c r="B946" s="25"/>
      <c r="C946" s="25"/>
      <c r="D946" s="25"/>
      <c r="E946" s="25"/>
      <c r="F946" s="25"/>
      <c r="G946" s="35">
        <v>0.0</v>
      </c>
      <c r="H946" s="35">
        <v>1.0</v>
      </c>
      <c r="I946" s="25"/>
      <c r="J946" s="25"/>
      <c r="K946" s="25"/>
      <c r="L946" s="35"/>
      <c r="M946" s="35"/>
      <c r="N946" s="25"/>
      <c r="O946" s="25"/>
      <c r="P946" s="25"/>
      <c r="Q946" s="35">
        <v>2.0</v>
      </c>
      <c r="R946" s="35">
        <v>2.0</v>
      </c>
      <c r="S946" s="35">
        <v>2.0</v>
      </c>
      <c r="T946" s="35">
        <v>2.0</v>
      </c>
      <c r="U946" s="34"/>
      <c r="V946" s="34"/>
      <c r="W946" s="34"/>
      <c r="X946" s="34"/>
      <c r="Y946" s="34"/>
      <c r="Z946" s="34"/>
      <c r="AA946" s="25"/>
      <c r="AB946" s="25"/>
      <c r="AC946" s="25"/>
      <c r="AD946" s="25"/>
      <c r="AE946" s="25"/>
      <c r="AF946" s="25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25"/>
      <c r="AU946" s="34"/>
      <c r="AV946" s="34"/>
      <c r="AW946" s="34"/>
    </row>
    <row r="947" ht="15.0" customHeight="1">
      <c r="A947" s="32" t="s">
        <v>972</v>
      </c>
      <c r="B947" s="25"/>
      <c r="C947" s="25"/>
      <c r="D947" s="25"/>
      <c r="E947" s="25"/>
      <c r="F947" s="25"/>
      <c r="G947" s="35">
        <v>0.0</v>
      </c>
      <c r="H947" s="35">
        <v>1.0</v>
      </c>
      <c r="I947" s="25"/>
      <c r="J947" s="25"/>
      <c r="K947" s="25"/>
      <c r="L947" s="35"/>
      <c r="M947" s="35"/>
      <c r="N947" s="25"/>
      <c r="O947" s="25"/>
      <c r="P947" s="25"/>
      <c r="Q947" s="35">
        <v>2.0</v>
      </c>
      <c r="R947" s="35">
        <v>2.0</v>
      </c>
      <c r="S947" s="35">
        <v>2.0</v>
      </c>
      <c r="T947" s="35">
        <v>2.0</v>
      </c>
      <c r="U947" s="34"/>
      <c r="V947" s="34"/>
      <c r="W947" s="34"/>
      <c r="X947" s="34"/>
      <c r="Y947" s="34"/>
      <c r="Z947" s="34"/>
      <c r="AA947" s="25"/>
      <c r="AB947" s="25"/>
      <c r="AC947" s="25"/>
      <c r="AD947" s="25"/>
      <c r="AE947" s="25"/>
      <c r="AF947" s="25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25"/>
      <c r="AU947" s="34"/>
      <c r="AV947" s="34"/>
      <c r="AW947" s="34"/>
    </row>
    <row r="948" ht="15.0" customHeight="1">
      <c r="A948" s="32" t="s">
        <v>973</v>
      </c>
      <c r="B948" s="25"/>
      <c r="C948" s="25"/>
      <c r="D948" s="25"/>
      <c r="E948" s="25"/>
      <c r="F948" s="25"/>
      <c r="G948" s="35">
        <v>0.0</v>
      </c>
      <c r="H948" s="35">
        <v>1.0</v>
      </c>
      <c r="I948" s="25"/>
      <c r="J948" s="25"/>
      <c r="K948" s="25"/>
      <c r="L948" s="35"/>
      <c r="M948" s="35"/>
      <c r="N948" s="25"/>
      <c r="O948" s="25"/>
      <c r="P948" s="25"/>
      <c r="Q948" s="35">
        <v>2.0</v>
      </c>
      <c r="R948" s="35">
        <v>2.0</v>
      </c>
      <c r="S948" s="35">
        <v>2.0</v>
      </c>
      <c r="T948" s="35">
        <v>2.0</v>
      </c>
      <c r="U948" s="34"/>
      <c r="V948" s="34"/>
      <c r="W948" s="34"/>
      <c r="X948" s="34"/>
      <c r="Y948" s="34"/>
      <c r="Z948" s="34"/>
      <c r="AA948" s="25"/>
      <c r="AB948" s="25"/>
      <c r="AC948" s="25"/>
      <c r="AD948" s="25"/>
      <c r="AE948" s="25"/>
      <c r="AF948" s="25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25"/>
      <c r="AU948" s="34"/>
      <c r="AV948" s="34"/>
      <c r="AW948" s="34"/>
    </row>
    <row r="949" ht="15.0" customHeight="1">
      <c r="A949" s="32" t="s">
        <v>974</v>
      </c>
      <c r="B949" s="25"/>
      <c r="C949" s="25"/>
      <c r="D949" s="25"/>
      <c r="E949" s="25"/>
      <c r="F949" s="25"/>
      <c r="G949" s="35">
        <v>0.0</v>
      </c>
      <c r="H949" s="35">
        <v>1.0</v>
      </c>
      <c r="I949" s="25"/>
      <c r="J949" s="25"/>
      <c r="K949" s="25"/>
      <c r="L949" s="35"/>
      <c r="M949" s="35"/>
      <c r="N949" s="25"/>
      <c r="O949" s="25"/>
      <c r="P949" s="25"/>
      <c r="Q949" s="35">
        <v>2.0</v>
      </c>
      <c r="R949" s="35">
        <v>2.0</v>
      </c>
      <c r="S949" s="35">
        <v>2.0</v>
      </c>
      <c r="T949" s="35">
        <v>2.0</v>
      </c>
      <c r="U949" s="34"/>
      <c r="V949" s="34"/>
      <c r="W949" s="34"/>
      <c r="X949" s="34"/>
      <c r="Y949" s="34"/>
      <c r="Z949" s="34"/>
      <c r="AA949" s="25"/>
      <c r="AB949" s="25"/>
      <c r="AC949" s="25"/>
      <c r="AD949" s="25"/>
      <c r="AE949" s="25"/>
      <c r="AF949" s="25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25"/>
      <c r="AU949" s="34"/>
      <c r="AV949" s="34"/>
      <c r="AW949" s="34"/>
    </row>
    <row r="950" ht="15.0" customHeight="1">
      <c r="A950" s="32" t="s">
        <v>975</v>
      </c>
      <c r="B950" s="25"/>
      <c r="C950" s="25"/>
      <c r="D950" s="25"/>
      <c r="E950" s="25"/>
      <c r="F950" s="25"/>
      <c r="G950" s="35">
        <v>0.0</v>
      </c>
      <c r="H950" s="35">
        <v>1.0</v>
      </c>
      <c r="I950" s="25"/>
      <c r="J950" s="25"/>
      <c r="K950" s="25"/>
      <c r="L950" s="35"/>
      <c r="M950" s="35"/>
      <c r="N950" s="25"/>
      <c r="O950" s="25"/>
      <c r="P950" s="25"/>
      <c r="Q950" s="35">
        <v>2.0</v>
      </c>
      <c r="R950" s="35">
        <v>2.0</v>
      </c>
      <c r="S950" s="35">
        <v>2.0</v>
      </c>
      <c r="T950" s="35">
        <v>2.0</v>
      </c>
      <c r="U950" s="34"/>
      <c r="V950" s="34"/>
      <c r="W950" s="34"/>
      <c r="X950" s="34"/>
      <c r="Y950" s="34"/>
      <c r="Z950" s="34"/>
      <c r="AA950" s="25"/>
      <c r="AB950" s="25"/>
      <c r="AC950" s="25"/>
      <c r="AD950" s="25"/>
      <c r="AE950" s="25"/>
      <c r="AF950" s="25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25"/>
      <c r="AU950" s="34"/>
      <c r="AV950" s="34"/>
      <c r="AW950" s="34"/>
    </row>
    <row r="951" ht="15.0" customHeight="1">
      <c r="A951" s="32" t="s">
        <v>976</v>
      </c>
      <c r="B951" s="25"/>
      <c r="C951" s="25"/>
      <c r="D951" s="25"/>
      <c r="E951" s="25"/>
      <c r="F951" s="25"/>
      <c r="G951" s="35">
        <v>0.0</v>
      </c>
      <c r="H951" s="35">
        <v>1.0</v>
      </c>
      <c r="I951" s="25"/>
      <c r="J951" s="25"/>
      <c r="K951" s="25"/>
      <c r="L951" s="35"/>
      <c r="M951" s="35"/>
      <c r="N951" s="25"/>
      <c r="O951" s="25"/>
      <c r="P951" s="25"/>
      <c r="Q951" s="35">
        <v>2.0</v>
      </c>
      <c r="R951" s="35">
        <v>2.0</v>
      </c>
      <c r="S951" s="35">
        <v>2.0</v>
      </c>
      <c r="T951" s="35">
        <v>2.0</v>
      </c>
      <c r="U951" s="34"/>
      <c r="V951" s="34"/>
      <c r="W951" s="34"/>
      <c r="X951" s="34"/>
      <c r="Y951" s="34"/>
      <c r="Z951" s="34"/>
      <c r="AA951" s="25"/>
      <c r="AB951" s="25"/>
      <c r="AC951" s="25"/>
      <c r="AD951" s="25"/>
      <c r="AE951" s="25"/>
      <c r="AF951" s="25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25"/>
      <c r="AU951" s="34"/>
      <c r="AV951" s="34"/>
      <c r="AW951" s="34"/>
    </row>
    <row r="952" ht="15.0" customHeight="1">
      <c r="A952" s="32" t="s">
        <v>977</v>
      </c>
      <c r="B952" s="25"/>
      <c r="C952" s="25"/>
      <c r="D952" s="25"/>
      <c r="E952" s="25"/>
      <c r="F952" s="25"/>
      <c r="G952" s="35">
        <v>0.0</v>
      </c>
      <c r="H952" s="35">
        <v>1.0</v>
      </c>
      <c r="I952" s="25"/>
      <c r="J952" s="25"/>
      <c r="K952" s="25"/>
      <c r="L952" s="35"/>
      <c r="M952" s="35"/>
      <c r="N952" s="25"/>
      <c r="O952" s="25"/>
      <c r="P952" s="25"/>
      <c r="Q952" s="35">
        <v>2.0</v>
      </c>
      <c r="R952" s="35">
        <v>2.0</v>
      </c>
      <c r="S952" s="35">
        <v>2.0</v>
      </c>
      <c r="T952" s="35">
        <v>2.0</v>
      </c>
      <c r="U952" s="34"/>
      <c r="V952" s="34"/>
      <c r="W952" s="34"/>
      <c r="X952" s="34"/>
      <c r="Y952" s="34"/>
      <c r="Z952" s="34"/>
      <c r="AA952" s="25"/>
      <c r="AB952" s="25"/>
      <c r="AC952" s="25"/>
      <c r="AD952" s="25"/>
      <c r="AE952" s="25"/>
      <c r="AF952" s="25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25"/>
      <c r="AU952" s="34"/>
      <c r="AV952" s="34"/>
      <c r="AW952" s="34"/>
    </row>
    <row r="953" ht="15.0" customHeight="1">
      <c r="A953" s="32" t="s">
        <v>978</v>
      </c>
      <c r="B953" s="25"/>
      <c r="C953" s="25"/>
      <c r="D953" s="25"/>
      <c r="E953" s="25"/>
      <c r="F953" s="25"/>
      <c r="G953" s="35">
        <v>0.0</v>
      </c>
      <c r="H953" s="35">
        <v>1.0</v>
      </c>
      <c r="I953" s="25"/>
      <c r="J953" s="25"/>
      <c r="K953" s="25"/>
      <c r="L953" s="35"/>
      <c r="M953" s="35"/>
      <c r="N953" s="25"/>
      <c r="O953" s="25"/>
      <c r="P953" s="25"/>
      <c r="Q953" s="35">
        <v>2.0</v>
      </c>
      <c r="R953" s="35">
        <v>2.0</v>
      </c>
      <c r="S953" s="35">
        <v>2.0</v>
      </c>
      <c r="T953" s="35">
        <v>2.0</v>
      </c>
      <c r="U953" s="34"/>
      <c r="V953" s="34"/>
      <c r="W953" s="34"/>
      <c r="X953" s="34"/>
      <c r="Y953" s="34"/>
      <c r="Z953" s="34"/>
      <c r="AA953" s="25"/>
      <c r="AB953" s="25"/>
      <c r="AC953" s="25"/>
      <c r="AD953" s="25"/>
      <c r="AE953" s="25"/>
      <c r="AF953" s="25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25"/>
      <c r="AU953" s="34"/>
      <c r="AV953" s="34"/>
      <c r="AW953" s="34"/>
    </row>
    <row r="954" ht="15.0" customHeight="1">
      <c r="A954" s="32" t="s">
        <v>979</v>
      </c>
      <c r="B954" s="25"/>
      <c r="C954" s="25"/>
      <c r="D954" s="25"/>
      <c r="E954" s="25"/>
      <c r="F954" s="25"/>
      <c r="G954" s="35">
        <v>0.0</v>
      </c>
      <c r="H954" s="35">
        <v>1.0</v>
      </c>
      <c r="I954" s="25"/>
      <c r="J954" s="25"/>
      <c r="K954" s="25"/>
      <c r="L954" s="35"/>
      <c r="M954" s="35"/>
      <c r="N954" s="25"/>
      <c r="O954" s="25"/>
      <c r="P954" s="25"/>
      <c r="Q954" s="35">
        <v>2.0</v>
      </c>
      <c r="R954" s="35">
        <v>2.0</v>
      </c>
      <c r="S954" s="35">
        <v>2.0</v>
      </c>
      <c r="T954" s="35">
        <v>2.0</v>
      </c>
      <c r="U954" s="34"/>
      <c r="V954" s="34"/>
      <c r="W954" s="34"/>
      <c r="X954" s="34"/>
      <c r="Y954" s="34"/>
      <c r="Z954" s="34"/>
      <c r="AA954" s="25"/>
      <c r="AB954" s="25"/>
      <c r="AC954" s="25"/>
      <c r="AD954" s="25"/>
      <c r="AE954" s="25"/>
      <c r="AF954" s="25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25"/>
      <c r="AU954" s="34"/>
      <c r="AV954" s="34"/>
      <c r="AW954" s="34"/>
    </row>
    <row r="955" ht="15.0" customHeight="1">
      <c r="A955" s="32" t="s">
        <v>980</v>
      </c>
      <c r="B955" s="25"/>
      <c r="C955" s="25"/>
      <c r="D955" s="25"/>
      <c r="E955" s="25"/>
      <c r="F955" s="25"/>
      <c r="G955" s="35">
        <v>0.0</v>
      </c>
      <c r="H955" s="35">
        <v>1.0</v>
      </c>
      <c r="I955" s="25"/>
      <c r="J955" s="25"/>
      <c r="K955" s="25"/>
      <c r="L955" s="35"/>
      <c r="M955" s="35"/>
      <c r="N955" s="25"/>
      <c r="O955" s="25"/>
      <c r="P955" s="25"/>
      <c r="Q955" s="35">
        <v>2.0</v>
      </c>
      <c r="R955" s="35">
        <v>2.0</v>
      </c>
      <c r="S955" s="35">
        <v>2.0</v>
      </c>
      <c r="T955" s="35">
        <v>2.0</v>
      </c>
      <c r="U955" s="34"/>
      <c r="V955" s="34"/>
      <c r="W955" s="34"/>
      <c r="X955" s="34"/>
      <c r="Y955" s="34"/>
      <c r="Z955" s="34"/>
      <c r="AA955" s="25"/>
      <c r="AB955" s="25"/>
      <c r="AC955" s="25"/>
      <c r="AD955" s="25"/>
      <c r="AE955" s="25"/>
      <c r="AF955" s="25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25"/>
      <c r="AU955" s="34"/>
      <c r="AV955" s="34"/>
      <c r="AW955" s="34"/>
    </row>
    <row r="956" ht="15.0" customHeight="1">
      <c r="A956" s="32" t="s">
        <v>981</v>
      </c>
      <c r="B956" s="25"/>
      <c r="C956" s="25"/>
      <c r="D956" s="25"/>
      <c r="E956" s="25"/>
      <c r="F956" s="25"/>
      <c r="G956" s="35">
        <v>0.0</v>
      </c>
      <c r="H956" s="35">
        <v>1.0</v>
      </c>
      <c r="I956" s="25"/>
      <c r="J956" s="25"/>
      <c r="K956" s="25"/>
      <c r="L956" s="35"/>
      <c r="M956" s="35"/>
      <c r="N956" s="25"/>
      <c r="O956" s="25"/>
      <c r="P956" s="25"/>
      <c r="Q956" s="35">
        <v>2.0</v>
      </c>
      <c r="R956" s="35">
        <v>2.0</v>
      </c>
      <c r="S956" s="35">
        <v>2.0</v>
      </c>
      <c r="T956" s="35">
        <v>2.0</v>
      </c>
      <c r="U956" s="34"/>
      <c r="V956" s="34"/>
      <c r="W956" s="34"/>
      <c r="X956" s="34"/>
      <c r="Y956" s="34"/>
      <c r="Z956" s="34"/>
      <c r="AA956" s="25"/>
      <c r="AB956" s="25"/>
      <c r="AC956" s="25"/>
      <c r="AD956" s="25"/>
      <c r="AE956" s="25"/>
      <c r="AF956" s="25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25"/>
      <c r="AU956" s="34"/>
      <c r="AV956" s="34"/>
      <c r="AW956" s="34"/>
    </row>
    <row r="957" ht="15.0" customHeight="1">
      <c r="A957" s="32" t="s">
        <v>982</v>
      </c>
      <c r="B957" s="25"/>
      <c r="C957" s="25"/>
      <c r="D957" s="25"/>
      <c r="E957" s="25"/>
      <c r="F957" s="25"/>
      <c r="G957" s="35">
        <v>0.0</v>
      </c>
      <c r="H957" s="35">
        <v>1.0</v>
      </c>
      <c r="I957" s="25"/>
      <c r="J957" s="25"/>
      <c r="K957" s="25"/>
      <c r="L957" s="35"/>
      <c r="M957" s="35"/>
      <c r="N957" s="25"/>
      <c r="O957" s="25"/>
      <c r="P957" s="25"/>
      <c r="Q957" s="35">
        <v>2.0</v>
      </c>
      <c r="R957" s="35">
        <v>2.0</v>
      </c>
      <c r="S957" s="35">
        <v>2.0</v>
      </c>
      <c r="T957" s="35">
        <v>2.0</v>
      </c>
      <c r="U957" s="34"/>
      <c r="V957" s="34"/>
      <c r="W957" s="34"/>
      <c r="X957" s="34"/>
      <c r="Y957" s="34"/>
      <c r="Z957" s="34"/>
      <c r="AA957" s="25"/>
      <c r="AB957" s="25"/>
      <c r="AC957" s="25"/>
      <c r="AD957" s="25"/>
      <c r="AE957" s="25"/>
      <c r="AF957" s="25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25"/>
      <c r="AU957" s="34"/>
      <c r="AV957" s="34"/>
      <c r="AW957" s="34"/>
    </row>
    <row r="958" ht="15.0" customHeight="1">
      <c r="A958" s="32" t="s">
        <v>983</v>
      </c>
      <c r="B958" s="25"/>
      <c r="C958" s="25"/>
      <c r="D958" s="25"/>
      <c r="E958" s="25"/>
      <c r="F958" s="25"/>
      <c r="G958" s="35">
        <v>0.0</v>
      </c>
      <c r="H958" s="35">
        <v>1.0</v>
      </c>
      <c r="I958" s="25"/>
      <c r="J958" s="25"/>
      <c r="K958" s="25"/>
      <c r="L958" s="35"/>
      <c r="M958" s="35"/>
      <c r="N958" s="25"/>
      <c r="O958" s="25"/>
      <c r="P958" s="25"/>
      <c r="Q958" s="35">
        <v>2.0</v>
      </c>
      <c r="R958" s="35">
        <v>2.0</v>
      </c>
      <c r="S958" s="35">
        <v>2.0</v>
      </c>
      <c r="T958" s="35">
        <v>2.0</v>
      </c>
      <c r="U958" s="34"/>
      <c r="V958" s="34"/>
      <c r="W958" s="34"/>
      <c r="X958" s="34"/>
      <c r="Y958" s="34"/>
      <c r="Z958" s="34"/>
      <c r="AA958" s="25"/>
      <c r="AB958" s="25"/>
      <c r="AC958" s="25"/>
      <c r="AD958" s="25"/>
      <c r="AE958" s="25"/>
      <c r="AF958" s="25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25"/>
      <c r="AU958" s="34"/>
      <c r="AV958" s="34"/>
      <c r="AW958" s="34"/>
    </row>
    <row r="959" ht="15.0" customHeight="1">
      <c r="A959" s="32" t="s">
        <v>984</v>
      </c>
      <c r="B959" s="25"/>
      <c r="C959" s="25"/>
      <c r="D959" s="25"/>
      <c r="E959" s="25"/>
      <c r="F959" s="25"/>
      <c r="G959" s="35">
        <v>0.0</v>
      </c>
      <c r="H959" s="35">
        <v>1.0</v>
      </c>
      <c r="I959" s="25"/>
      <c r="J959" s="25"/>
      <c r="K959" s="25"/>
      <c r="L959" s="35"/>
      <c r="M959" s="35"/>
      <c r="N959" s="25"/>
      <c r="O959" s="25"/>
      <c r="P959" s="25"/>
      <c r="Q959" s="35">
        <v>2.0</v>
      </c>
      <c r="R959" s="35">
        <v>2.0</v>
      </c>
      <c r="S959" s="35">
        <v>2.0</v>
      </c>
      <c r="T959" s="35">
        <v>2.0</v>
      </c>
      <c r="U959" s="34"/>
      <c r="V959" s="34"/>
      <c r="W959" s="34"/>
      <c r="X959" s="34"/>
      <c r="Y959" s="34"/>
      <c r="Z959" s="34"/>
      <c r="AA959" s="25"/>
      <c r="AB959" s="25"/>
      <c r="AC959" s="25"/>
      <c r="AD959" s="25"/>
      <c r="AE959" s="25"/>
      <c r="AF959" s="25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25"/>
      <c r="AU959" s="34"/>
      <c r="AV959" s="34"/>
      <c r="AW959" s="34"/>
    </row>
    <row r="960" ht="15.0" customHeight="1">
      <c r="A960" s="32" t="s">
        <v>985</v>
      </c>
      <c r="B960" s="25"/>
      <c r="C960" s="25"/>
      <c r="D960" s="25"/>
      <c r="E960" s="25"/>
      <c r="F960" s="25"/>
      <c r="G960" s="35">
        <v>0.0</v>
      </c>
      <c r="H960" s="35">
        <v>1.0</v>
      </c>
      <c r="I960" s="25"/>
      <c r="J960" s="25"/>
      <c r="K960" s="25"/>
      <c r="L960" s="35"/>
      <c r="M960" s="35"/>
      <c r="N960" s="25"/>
      <c r="O960" s="25"/>
      <c r="P960" s="25"/>
      <c r="Q960" s="35">
        <v>2.0</v>
      </c>
      <c r="R960" s="35">
        <v>2.0</v>
      </c>
      <c r="S960" s="35">
        <v>2.0</v>
      </c>
      <c r="T960" s="35">
        <v>2.0</v>
      </c>
      <c r="U960" s="34"/>
      <c r="V960" s="34"/>
      <c r="W960" s="34"/>
      <c r="X960" s="34"/>
      <c r="Y960" s="34"/>
      <c r="Z960" s="34"/>
      <c r="AA960" s="25"/>
      <c r="AB960" s="25"/>
      <c r="AC960" s="25"/>
      <c r="AD960" s="25"/>
      <c r="AE960" s="25"/>
      <c r="AF960" s="25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25"/>
      <c r="AU960" s="34"/>
      <c r="AV960" s="34"/>
      <c r="AW960" s="34"/>
    </row>
    <row r="961" ht="15.0" customHeight="1">
      <c r="A961" s="32" t="s">
        <v>986</v>
      </c>
      <c r="B961" s="25"/>
      <c r="C961" s="25"/>
      <c r="D961" s="25"/>
      <c r="E961" s="25"/>
      <c r="F961" s="25"/>
      <c r="G961" s="35">
        <v>0.0</v>
      </c>
      <c r="H961" s="35">
        <v>1.0</v>
      </c>
      <c r="I961" s="25"/>
      <c r="J961" s="25"/>
      <c r="K961" s="25"/>
      <c r="L961" s="35"/>
      <c r="M961" s="35"/>
      <c r="N961" s="25"/>
      <c r="O961" s="25"/>
      <c r="P961" s="25"/>
      <c r="Q961" s="35">
        <v>2.0</v>
      </c>
      <c r="R961" s="35">
        <v>2.0</v>
      </c>
      <c r="S961" s="35">
        <v>2.0</v>
      </c>
      <c r="T961" s="35">
        <v>2.0</v>
      </c>
      <c r="U961" s="34"/>
      <c r="V961" s="34"/>
      <c r="W961" s="34"/>
      <c r="X961" s="34"/>
      <c r="Y961" s="34"/>
      <c r="Z961" s="34"/>
      <c r="AA961" s="25"/>
      <c r="AB961" s="25"/>
      <c r="AC961" s="25"/>
      <c r="AD961" s="25"/>
      <c r="AE961" s="25"/>
      <c r="AF961" s="25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25"/>
      <c r="AU961" s="34"/>
      <c r="AV961" s="34"/>
      <c r="AW961" s="34"/>
    </row>
    <row r="962" ht="15.0" customHeight="1">
      <c r="A962" s="32" t="s">
        <v>987</v>
      </c>
      <c r="B962" s="25"/>
      <c r="C962" s="25"/>
      <c r="D962" s="25"/>
      <c r="E962" s="25"/>
      <c r="F962" s="25"/>
      <c r="G962" s="35">
        <v>0.0</v>
      </c>
      <c r="H962" s="35">
        <v>1.0</v>
      </c>
      <c r="I962" s="25"/>
      <c r="J962" s="25"/>
      <c r="K962" s="25"/>
      <c r="L962" s="35"/>
      <c r="M962" s="35"/>
      <c r="N962" s="25"/>
      <c r="O962" s="25"/>
      <c r="P962" s="25"/>
      <c r="Q962" s="35">
        <v>2.0</v>
      </c>
      <c r="R962" s="35">
        <v>2.0</v>
      </c>
      <c r="S962" s="35">
        <v>2.0</v>
      </c>
      <c r="T962" s="35">
        <v>2.0</v>
      </c>
      <c r="U962" s="34"/>
      <c r="V962" s="34"/>
      <c r="W962" s="34"/>
      <c r="X962" s="34"/>
      <c r="Y962" s="34"/>
      <c r="Z962" s="34"/>
      <c r="AA962" s="25"/>
      <c r="AB962" s="25"/>
      <c r="AC962" s="25"/>
      <c r="AD962" s="25"/>
      <c r="AE962" s="25"/>
      <c r="AF962" s="25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25"/>
      <c r="AU962" s="34"/>
      <c r="AV962" s="34"/>
      <c r="AW962" s="34"/>
    </row>
    <row r="963" ht="15.0" customHeight="1">
      <c r="A963" s="32" t="s">
        <v>988</v>
      </c>
      <c r="B963" s="25"/>
      <c r="C963" s="25"/>
      <c r="D963" s="25"/>
      <c r="E963" s="25"/>
      <c r="F963" s="25"/>
      <c r="G963" s="35">
        <v>0.0</v>
      </c>
      <c r="H963" s="35">
        <v>1.0</v>
      </c>
      <c r="I963" s="25"/>
      <c r="J963" s="25"/>
      <c r="K963" s="25"/>
      <c r="L963" s="35"/>
      <c r="M963" s="35"/>
      <c r="N963" s="25"/>
      <c r="O963" s="25"/>
      <c r="P963" s="25"/>
      <c r="Q963" s="35">
        <v>2.0</v>
      </c>
      <c r="R963" s="35">
        <v>2.0</v>
      </c>
      <c r="S963" s="35">
        <v>2.0</v>
      </c>
      <c r="T963" s="35">
        <v>2.0</v>
      </c>
      <c r="U963" s="34"/>
      <c r="V963" s="34"/>
      <c r="W963" s="34"/>
      <c r="X963" s="34"/>
      <c r="Y963" s="34"/>
      <c r="Z963" s="34"/>
      <c r="AA963" s="25"/>
      <c r="AB963" s="25"/>
      <c r="AC963" s="25"/>
      <c r="AD963" s="25"/>
      <c r="AE963" s="25"/>
      <c r="AF963" s="25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25"/>
      <c r="AU963" s="34"/>
      <c r="AV963" s="34"/>
      <c r="AW963" s="34"/>
    </row>
    <row r="964" ht="15.0" customHeight="1">
      <c r="A964" s="32" t="s">
        <v>989</v>
      </c>
      <c r="B964" s="25"/>
      <c r="C964" s="25"/>
      <c r="D964" s="25"/>
      <c r="E964" s="25"/>
      <c r="F964" s="25"/>
      <c r="G964" s="35">
        <v>0.0</v>
      </c>
      <c r="H964" s="35">
        <v>1.0</v>
      </c>
      <c r="I964" s="25"/>
      <c r="J964" s="25"/>
      <c r="K964" s="25"/>
      <c r="L964" s="35"/>
      <c r="M964" s="35"/>
      <c r="N964" s="25"/>
      <c r="O964" s="25"/>
      <c r="P964" s="25"/>
      <c r="Q964" s="35">
        <v>2.0</v>
      </c>
      <c r="R964" s="35">
        <v>2.0</v>
      </c>
      <c r="S964" s="35">
        <v>2.0</v>
      </c>
      <c r="T964" s="35">
        <v>2.0</v>
      </c>
      <c r="U964" s="34"/>
      <c r="V964" s="34"/>
      <c r="W964" s="34"/>
      <c r="X964" s="34"/>
      <c r="Y964" s="34"/>
      <c r="Z964" s="34"/>
      <c r="AA964" s="25"/>
      <c r="AB964" s="25"/>
      <c r="AC964" s="25"/>
      <c r="AD964" s="25"/>
      <c r="AE964" s="25"/>
      <c r="AF964" s="25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25"/>
      <c r="AU964" s="34"/>
      <c r="AV964" s="34"/>
      <c r="AW964" s="34"/>
    </row>
    <row r="965" ht="15.0" customHeight="1">
      <c r="A965" s="32" t="s">
        <v>990</v>
      </c>
      <c r="B965" s="25"/>
      <c r="C965" s="25"/>
      <c r="D965" s="25"/>
      <c r="E965" s="25"/>
      <c r="F965" s="25"/>
      <c r="G965" s="35">
        <v>0.0</v>
      </c>
      <c r="H965" s="35">
        <v>1.0</v>
      </c>
      <c r="I965" s="25"/>
      <c r="J965" s="25"/>
      <c r="K965" s="25"/>
      <c r="L965" s="35"/>
      <c r="M965" s="35"/>
      <c r="N965" s="25"/>
      <c r="O965" s="25"/>
      <c r="P965" s="25"/>
      <c r="Q965" s="35">
        <v>2.0</v>
      </c>
      <c r="R965" s="35">
        <v>2.0</v>
      </c>
      <c r="S965" s="35">
        <v>2.0</v>
      </c>
      <c r="T965" s="35">
        <v>2.0</v>
      </c>
      <c r="U965" s="34"/>
      <c r="V965" s="34"/>
      <c r="W965" s="34"/>
      <c r="X965" s="34"/>
      <c r="Y965" s="34"/>
      <c r="Z965" s="34"/>
      <c r="AA965" s="25"/>
      <c r="AB965" s="25"/>
      <c r="AC965" s="25"/>
      <c r="AD965" s="25"/>
      <c r="AE965" s="25"/>
      <c r="AF965" s="25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25"/>
      <c r="AU965" s="34"/>
      <c r="AV965" s="34"/>
      <c r="AW965" s="34"/>
    </row>
    <row r="966" ht="15.0" customHeight="1">
      <c r="A966" s="32" t="s">
        <v>991</v>
      </c>
      <c r="B966" s="25"/>
      <c r="C966" s="25"/>
      <c r="D966" s="25"/>
      <c r="E966" s="25"/>
      <c r="F966" s="25"/>
      <c r="G966" s="35">
        <v>0.0</v>
      </c>
      <c r="H966" s="35">
        <v>1.0</v>
      </c>
      <c r="I966" s="25"/>
      <c r="J966" s="25"/>
      <c r="K966" s="25"/>
      <c r="L966" s="35"/>
      <c r="M966" s="35"/>
      <c r="N966" s="25"/>
      <c r="O966" s="25"/>
      <c r="P966" s="25"/>
      <c r="Q966" s="35">
        <v>2.0</v>
      </c>
      <c r="R966" s="35">
        <v>2.0</v>
      </c>
      <c r="S966" s="35">
        <v>2.0</v>
      </c>
      <c r="T966" s="35">
        <v>2.0</v>
      </c>
      <c r="U966" s="34"/>
      <c r="V966" s="34"/>
      <c r="W966" s="34"/>
      <c r="X966" s="34"/>
      <c r="Y966" s="34"/>
      <c r="Z966" s="34"/>
      <c r="AA966" s="25"/>
      <c r="AB966" s="25"/>
      <c r="AC966" s="25"/>
      <c r="AD966" s="25"/>
      <c r="AE966" s="25"/>
      <c r="AF966" s="25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25"/>
      <c r="AU966" s="34"/>
      <c r="AV966" s="34"/>
      <c r="AW966" s="34"/>
    </row>
    <row r="967" ht="15.0" customHeight="1">
      <c r="A967" s="32" t="s">
        <v>992</v>
      </c>
      <c r="B967" s="25"/>
      <c r="C967" s="25"/>
      <c r="D967" s="25"/>
      <c r="E967" s="25"/>
      <c r="F967" s="25"/>
      <c r="G967" s="35">
        <v>0.0</v>
      </c>
      <c r="H967" s="35">
        <v>1.0</v>
      </c>
      <c r="I967" s="25"/>
      <c r="J967" s="25"/>
      <c r="K967" s="25"/>
      <c r="L967" s="35"/>
      <c r="M967" s="35"/>
      <c r="N967" s="25"/>
      <c r="O967" s="25"/>
      <c r="P967" s="25"/>
      <c r="Q967" s="35">
        <v>2.0</v>
      </c>
      <c r="R967" s="35">
        <v>2.0</v>
      </c>
      <c r="S967" s="35">
        <v>2.0</v>
      </c>
      <c r="T967" s="35">
        <v>2.0</v>
      </c>
      <c r="U967" s="34"/>
      <c r="V967" s="34"/>
      <c r="W967" s="34"/>
      <c r="X967" s="34"/>
      <c r="Y967" s="34"/>
      <c r="Z967" s="34"/>
      <c r="AA967" s="25"/>
      <c r="AB967" s="25"/>
      <c r="AC967" s="25"/>
      <c r="AD967" s="25"/>
      <c r="AE967" s="25"/>
      <c r="AF967" s="25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25"/>
      <c r="AU967" s="34"/>
      <c r="AV967" s="34"/>
      <c r="AW967" s="34"/>
    </row>
    <row r="968" ht="15.0" customHeight="1">
      <c r="A968" s="32" t="s">
        <v>993</v>
      </c>
      <c r="B968" s="25"/>
      <c r="C968" s="25"/>
      <c r="D968" s="25"/>
      <c r="E968" s="25"/>
      <c r="F968" s="25"/>
      <c r="G968" s="35">
        <v>0.0</v>
      </c>
      <c r="H968" s="35">
        <v>1.0</v>
      </c>
      <c r="I968" s="25"/>
      <c r="J968" s="25"/>
      <c r="K968" s="25"/>
      <c r="L968" s="35"/>
      <c r="M968" s="35"/>
      <c r="N968" s="25"/>
      <c r="O968" s="25"/>
      <c r="P968" s="25"/>
      <c r="Q968" s="35">
        <v>2.0</v>
      </c>
      <c r="R968" s="35">
        <v>2.0</v>
      </c>
      <c r="S968" s="35">
        <v>2.0</v>
      </c>
      <c r="T968" s="35">
        <v>2.0</v>
      </c>
      <c r="U968" s="34"/>
      <c r="V968" s="34"/>
      <c r="W968" s="34"/>
      <c r="X968" s="34"/>
      <c r="Y968" s="34"/>
      <c r="Z968" s="34"/>
      <c r="AA968" s="25"/>
      <c r="AB968" s="25"/>
      <c r="AC968" s="25"/>
      <c r="AD968" s="25"/>
      <c r="AE968" s="25"/>
      <c r="AF968" s="25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25"/>
      <c r="AU968" s="34"/>
      <c r="AV968" s="34"/>
      <c r="AW968" s="34"/>
    </row>
    <row r="969" ht="15.0" customHeight="1">
      <c r="A969" s="32" t="s">
        <v>994</v>
      </c>
      <c r="B969" s="25"/>
      <c r="C969" s="25"/>
      <c r="D969" s="25"/>
      <c r="E969" s="25"/>
      <c r="F969" s="25"/>
      <c r="G969" s="35">
        <v>0.0</v>
      </c>
      <c r="H969" s="35">
        <v>1.0</v>
      </c>
      <c r="I969" s="25"/>
      <c r="J969" s="25"/>
      <c r="K969" s="25"/>
      <c r="L969" s="35"/>
      <c r="M969" s="35"/>
      <c r="N969" s="25"/>
      <c r="O969" s="25"/>
      <c r="P969" s="25"/>
      <c r="Q969" s="35">
        <v>2.0</v>
      </c>
      <c r="R969" s="35">
        <v>2.0</v>
      </c>
      <c r="S969" s="35">
        <v>2.0</v>
      </c>
      <c r="T969" s="35">
        <v>2.0</v>
      </c>
      <c r="U969" s="34"/>
      <c r="V969" s="34"/>
      <c r="W969" s="34"/>
      <c r="X969" s="34"/>
      <c r="Y969" s="34"/>
      <c r="Z969" s="34"/>
      <c r="AA969" s="25"/>
      <c r="AB969" s="25"/>
      <c r="AC969" s="25"/>
      <c r="AD969" s="25"/>
      <c r="AE969" s="25"/>
      <c r="AF969" s="25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25"/>
      <c r="AU969" s="34"/>
      <c r="AV969" s="34"/>
      <c r="AW969" s="34"/>
    </row>
    <row r="970" ht="15.0" customHeight="1">
      <c r="A970" s="32" t="s">
        <v>995</v>
      </c>
      <c r="B970" s="25"/>
      <c r="C970" s="25"/>
      <c r="D970" s="25"/>
      <c r="E970" s="25"/>
      <c r="F970" s="25"/>
      <c r="G970" s="35">
        <v>0.0</v>
      </c>
      <c r="H970" s="35">
        <v>1.0</v>
      </c>
      <c r="I970" s="25"/>
      <c r="J970" s="25"/>
      <c r="K970" s="25"/>
      <c r="L970" s="35"/>
      <c r="M970" s="35"/>
      <c r="N970" s="25"/>
      <c r="O970" s="25"/>
      <c r="P970" s="25"/>
      <c r="Q970" s="35">
        <v>2.0</v>
      </c>
      <c r="R970" s="35">
        <v>2.0</v>
      </c>
      <c r="S970" s="35">
        <v>2.0</v>
      </c>
      <c r="T970" s="35">
        <v>2.0</v>
      </c>
      <c r="U970" s="34"/>
      <c r="V970" s="34"/>
      <c r="W970" s="34"/>
      <c r="X970" s="34"/>
      <c r="Y970" s="34"/>
      <c r="Z970" s="34"/>
      <c r="AA970" s="25"/>
      <c r="AB970" s="25"/>
      <c r="AC970" s="25"/>
      <c r="AD970" s="25"/>
      <c r="AE970" s="25"/>
      <c r="AF970" s="25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25"/>
      <c r="AU970" s="34"/>
      <c r="AV970" s="34"/>
      <c r="AW970" s="34"/>
    </row>
    <row r="971" ht="15.0" customHeight="1">
      <c r="A971" s="32" t="s">
        <v>996</v>
      </c>
      <c r="B971" s="25"/>
      <c r="C971" s="25"/>
      <c r="D971" s="25"/>
      <c r="E971" s="25"/>
      <c r="F971" s="25"/>
      <c r="G971" s="35">
        <v>0.0</v>
      </c>
      <c r="H971" s="35">
        <v>1.0</v>
      </c>
      <c r="I971" s="25"/>
      <c r="J971" s="25"/>
      <c r="K971" s="25"/>
      <c r="L971" s="35"/>
      <c r="M971" s="35"/>
      <c r="N971" s="25"/>
      <c r="O971" s="25"/>
      <c r="P971" s="25"/>
      <c r="Q971" s="35">
        <v>2.0</v>
      </c>
      <c r="R971" s="35">
        <v>2.0</v>
      </c>
      <c r="S971" s="35">
        <v>2.0</v>
      </c>
      <c r="T971" s="35">
        <v>2.0</v>
      </c>
      <c r="U971" s="34"/>
      <c r="V971" s="34"/>
      <c r="W971" s="34"/>
      <c r="X971" s="34"/>
      <c r="Y971" s="34"/>
      <c r="Z971" s="34"/>
      <c r="AA971" s="25"/>
      <c r="AB971" s="25"/>
      <c r="AC971" s="25"/>
      <c r="AD971" s="25"/>
      <c r="AE971" s="25"/>
      <c r="AF971" s="25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25"/>
      <c r="AU971" s="34"/>
      <c r="AV971" s="34"/>
      <c r="AW971" s="34"/>
    </row>
    <row r="972" ht="15.0" customHeight="1">
      <c r="A972" s="32" t="s">
        <v>997</v>
      </c>
      <c r="B972" s="25"/>
      <c r="C972" s="25"/>
      <c r="D972" s="25"/>
      <c r="E972" s="25"/>
      <c r="F972" s="25"/>
      <c r="G972" s="35">
        <v>0.0</v>
      </c>
      <c r="H972" s="35">
        <v>1.0</v>
      </c>
      <c r="I972" s="25"/>
      <c r="J972" s="25"/>
      <c r="K972" s="25"/>
      <c r="L972" s="35"/>
      <c r="M972" s="35"/>
      <c r="N972" s="25"/>
      <c r="O972" s="25"/>
      <c r="P972" s="25"/>
      <c r="Q972" s="35">
        <v>2.0</v>
      </c>
      <c r="R972" s="35">
        <v>2.0</v>
      </c>
      <c r="S972" s="35">
        <v>2.0</v>
      </c>
      <c r="T972" s="35">
        <v>2.0</v>
      </c>
      <c r="U972" s="34"/>
      <c r="V972" s="34"/>
      <c r="W972" s="34"/>
      <c r="X972" s="34"/>
      <c r="Y972" s="34"/>
      <c r="Z972" s="34"/>
      <c r="AA972" s="25"/>
      <c r="AB972" s="25"/>
      <c r="AC972" s="25"/>
      <c r="AD972" s="25"/>
      <c r="AE972" s="25"/>
      <c r="AF972" s="25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25"/>
      <c r="AU972" s="34"/>
      <c r="AV972" s="34"/>
      <c r="AW972" s="34"/>
    </row>
    <row r="973" ht="15.0" customHeight="1">
      <c r="A973" s="32" t="s">
        <v>998</v>
      </c>
      <c r="B973" s="25"/>
      <c r="C973" s="25"/>
      <c r="D973" s="25"/>
      <c r="E973" s="25"/>
      <c r="F973" s="25"/>
      <c r="G973" s="35">
        <v>0.0</v>
      </c>
      <c r="H973" s="35">
        <v>1.0</v>
      </c>
      <c r="I973" s="25"/>
      <c r="J973" s="25"/>
      <c r="K973" s="25"/>
      <c r="L973" s="35"/>
      <c r="M973" s="35"/>
      <c r="N973" s="25"/>
      <c r="O973" s="25"/>
      <c r="P973" s="25"/>
      <c r="Q973" s="35">
        <v>2.0</v>
      </c>
      <c r="R973" s="35">
        <v>2.0</v>
      </c>
      <c r="S973" s="35">
        <v>2.0</v>
      </c>
      <c r="T973" s="35">
        <v>2.0</v>
      </c>
      <c r="U973" s="34"/>
      <c r="V973" s="34"/>
      <c r="W973" s="34"/>
      <c r="X973" s="34"/>
      <c r="Y973" s="34"/>
      <c r="Z973" s="34"/>
      <c r="AA973" s="25"/>
      <c r="AB973" s="25"/>
      <c r="AC973" s="25"/>
      <c r="AD973" s="25"/>
      <c r="AE973" s="25"/>
      <c r="AF973" s="25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25"/>
      <c r="AU973" s="34"/>
      <c r="AV973" s="34"/>
      <c r="AW973" s="34"/>
    </row>
    <row r="974" ht="15.0" customHeight="1">
      <c r="A974" s="32" t="s">
        <v>999</v>
      </c>
      <c r="B974" s="25"/>
      <c r="C974" s="25"/>
      <c r="D974" s="25"/>
      <c r="E974" s="25"/>
      <c r="F974" s="25"/>
      <c r="G974" s="35">
        <v>0.0</v>
      </c>
      <c r="H974" s="35">
        <v>1.0</v>
      </c>
      <c r="I974" s="25"/>
      <c r="J974" s="25"/>
      <c r="K974" s="25"/>
      <c r="L974" s="35"/>
      <c r="M974" s="35"/>
      <c r="N974" s="25"/>
      <c r="O974" s="25"/>
      <c r="P974" s="25"/>
      <c r="Q974" s="35">
        <v>2.0</v>
      </c>
      <c r="R974" s="35">
        <v>2.0</v>
      </c>
      <c r="S974" s="35">
        <v>2.0</v>
      </c>
      <c r="T974" s="35">
        <v>2.0</v>
      </c>
      <c r="U974" s="34"/>
      <c r="V974" s="34"/>
      <c r="W974" s="34"/>
      <c r="X974" s="34"/>
      <c r="Y974" s="34"/>
      <c r="Z974" s="34"/>
      <c r="AA974" s="25"/>
      <c r="AB974" s="25"/>
      <c r="AC974" s="25"/>
      <c r="AD974" s="25"/>
      <c r="AE974" s="25"/>
      <c r="AF974" s="25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25"/>
      <c r="AU974" s="34"/>
      <c r="AV974" s="34"/>
      <c r="AW974" s="34"/>
    </row>
    <row r="975" ht="15.0" customHeight="1">
      <c r="A975" s="32" t="s">
        <v>1000</v>
      </c>
      <c r="B975" s="25"/>
      <c r="C975" s="25"/>
      <c r="D975" s="25"/>
      <c r="E975" s="25"/>
      <c r="F975" s="25"/>
      <c r="G975" s="35">
        <v>0.0</v>
      </c>
      <c r="H975" s="35">
        <v>1.0</v>
      </c>
      <c r="I975" s="25"/>
      <c r="J975" s="25"/>
      <c r="K975" s="25"/>
      <c r="L975" s="35"/>
      <c r="M975" s="35"/>
      <c r="N975" s="25"/>
      <c r="O975" s="25"/>
      <c r="P975" s="25"/>
      <c r="Q975" s="35">
        <v>2.0</v>
      </c>
      <c r="R975" s="35">
        <v>2.0</v>
      </c>
      <c r="S975" s="35">
        <v>2.0</v>
      </c>
      <c r="T975" s="35">
        <v>2.0</v>
      </c>
      <c r="U975" s="34"/>
      <c r="V975" s="34"/>
      <c r="W975" s="34"/>
      <c r="X975" s="34"/>
      <c r="Y975" s="34"/>
      <c r="Z975" s="34"/>
      <c r="AA975" s="25"/>
      <c r="AB975" s="25"/>
      <c r="AC975" s="25"/>
      <c r="AD975" s="25"/>
      <c r="AE975" s="25"/>
      <c r="AF975" s="25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25"/>
      <c r="AU975" s="34"/>
      <c r="AV975" s="34"/>
      <c r="AW975" s="34"/>
    </row>
    <row r="976" ht="15.0" customHeight="1">
      <c r="A976" s="32" t="s">
        <v>1001</v>
      </c>
      <c r="B976" s="25"/>
      <c r="C976" s="25"/>
      <c r="D976" s="25"/>
      <c r="E976" s="25"/>
      <c r="F976" s="25"/>
      <c r="G976" s="35">
        <v>0.0</v>
      </c>
      <c r="H976" s="35">
        <v>1.0</v>
      </c>
      <c r="I976" s="25"/>
      <c r="J976" s="25"/>
      <c r="K976" s="25"/>
      <c r="L976" s="35"/>
      <c r="M976" s="35"/>
      <c r="N976" s="25"/>
      <c r="O976" s="25"/>
      <c r="P976" s="25"/>
      <c r="Q976" s="35">
        <v>2.0</v>
      </c>
      <c r="R976" s="35">
        <v>2.0</v>
      </c>
      <c r="S976" s="35">
        <v>2.0</v>
      </c>
      <c r="T976" s="35">
        <v>2.0</v>
      </c>
      <c r="U976" s="34"/>
      <c r="V976" s="34"/>
      <c r="W976" s="34"/>
      <c r="X976" s="34"/>
      <c r="Y976" s="34"/>
      <c r="Z976" s="34"/>
      <c r="AA976" s="25"/>
      <c r="AB976" s="25"/>
      <c r="AC976" s="25"/>
      <c r="AD976" s="25"/>
      <c r="AE976" s="25"/>
      <c r="AF976" s="25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25"/>
      <c r="AU976" s="34"/>
      <c r="AV976" s="34"/>
      <c r="AW976" s="34"/>
    </row>
    <row r="977" ht="15.0" customHeight="1">
      <c r="A977" s="32" t="s">
        <v>1002</v>
      </c>
      <c r="B977" s="25"/>
      <c r="C977" s="25"/>
      <c r="D977" s="25"/>
      <c r="E977" s="25"/>
      <c r="F977" s="25"/>
      <c r="G977" s="35">
        <v>0.0</v>
      </c>
      <c r="H977" s="35">
        <v>1.0</v>
      </c>
      <c r="I977" s="25"/>
      <c r="J977" s="25"/>
      <c r="K977" s="25"/>
      <c r="L977" s="35"/>
      <c r="M977" s="35"/>
      <c r="N977" s="25"/>
      <c r="O977" s="25"/>
      <c r="P977" s="25"/>
      <c r="Q977" s="35">
        <v>2.0</v>
      </c>
      <c r="R977" s="35">
        <v>2.0</v>
      </c>
      <c r="S977" s="35">
        <v>2.0</v>
      </c>
      <c r="T977" s="35">
        <v>2.0</v>
      </c>
      <c r="U977" s="34"/>
      <c r="V977" s="34"/>
      <c r="W977" s="34"/>
      <c r="X977" s="34"/>
      <c r="Y977" s="34"/>
      <c r="Z977" s="34"/>
      <c r="AA977" s="25"/>
      <c r="AB977" s="25"/>
      <c r="AC977" s="25"/>
      <c r="AD977" s="25"/>
      <c r="AE977" s="25"/>
      <c r="AF977" s="25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25"/>
      <c r="AU977" s="34"/>
      <c r="AV977" s="34"/>
      <c r="AW977" s="34"/>
    </row>
    <row r="978" ht="15.0" customHeight="1">
      <c r="A978" s="32" t="s">
        <v>1003</v>
      </c>
      <c r="B978" s="25"/>
      <c r="C978" s="25"/>
      <c r="D978" s="25"/>
      <c r="E978" s="25"/>
      <c r="F978" s="25"/>
      <c r="G978" s="35">
        <v>0.0</v>
      </c>
      <c r="H978" s="35">
        <v>1.0</v>
      </c>
      <c r="I978" s="25"/>
      <c r="J978" s="25"/>
      <c r="K978" s="25"/>
      <c r="L978" s="35"/>
      <c r="M978" s="35"/>
      <c r="N978" s="25"/>
      <c r="O978" s="25"/>
      <c r="P978" s="25"/>
      <c r="Q978" s="35">
        <v>2.0</v>
      </c>
      <c r="R978" s="35">
        <v>2.0</v>
      </c>
      <c r="S978" s="35">
        <v>2.0</v>
      </c>
      <c r="T978" s="35">
        <v>2.0</v>
      </c>
      <c r="U978" s="34"/>
      <c r="V978" s="34"/>
      <c r="W978" s="34"/>
      <c r="X978" s="34"/>
      <c r="Y978" s="34"/>
      <c r="Z978" s="34"/>
      <c r="AA978" s="25"/>
      <c r="AB978" s="25"/>
      <c r="AC978" s="25"/>
      <c r="AD978" s="25"/>
      <c r="AE978" s="25"/>
      <c r="AF978" s="25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25"/>
      <c r="AU978" s="34"/>
      <c r="AV978" s="34"/>
      <c r="AW978" s="34"/>
    </row>
    <row r="979" ht="15.0" customHeight="1">
      <c r="A979" s="32" t="s">
        <v>1004</v>
      </c>
      <c r="B979" s="25"/>
      <c r="C979" s="25"/>
      <c r="D979" s="25"/>
      <c r="E979" s="25"/>
      <c r="F979" s="25"/>
      <c r="G979" s="35">
        <v>0.0</v>
      </c>
      <c r="H979" s="35">
        <v>1.0</v>
      </c>
      <c r="I979" s="25"/>
      <c r="J979" s="25"/>
      <c r="K979" s="25"/>
      <c r="L979" s="35"/>
      <c r="M979" s="35"/>
      <c r="N979" s="25"/>
      <c r="O979" s="25"/>
      <c r="P979" s="25"/>
      <c r="Q979" s="35">
        <v>2.0</v>
      </c>
      <c r="R979" s="35">
        <v>2.0</v>
      </c>
      <c r="S979" s="35">
        <v>2.0</v>
      </c>
      <c r="T979" s="35">
        <v>2.0</v>
      </c>
      <c r="U979" s="34"/>
      <c r="V979" s="34"/>
      <c r="W979" s="34"/>
      <c r="X979" s="34"/>
      <c r="Y979" s="34"/>
      <c r="Z979" s="34"/>
      <c r="AA979" s="25"/>
      <c r="AB979" s="25"/>
      <c r="AC979" s="25"/>
      <c r="AD979" s="25"/>
      <c r="AE979" s="25"/>
      <c r="AF979" s="25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25"/>
      <c r="AU979" s="34"/>
      <c r="AV979" s="34"/>
      <c r="AW979" s="34"/>
    </row>
    <row r="980" ht="15.0" customHeight="1">
      <c r="A980" s="32" t="s">
        <v>1005</v>
      </c>
      <c r="B980" s="25"/>
      <c r="C980" s="25"/>
      <c r="D980" s="25"/>
      <c r="E980" s="25"/>
      <c r="F980" s="25"/>
      <c r="G980" s="35">
        <v>0.0</v>
      </c>
      <c r="H980" s="35">
        <v>1.0</v>
      </c>
      <c r="I980" s="25"/>
      <c r="J980" s="25"/>
      <c r="K980" s="25"/>
      <c r="L980" s="35"/>
      <c r="M980" s="35"/>
      <c r="N980" s="25"/>
      <c r="O980" s="25"/>
      <c r="P980" s="25"/>
      <c r="Q980" s="35">
        <v>2.0</v>
      </c>
      <c r="R980" s="35">
        <v>2.0</v>
      </c>
      <c r="S980" s="35">
        <v>2.0</v>
      </c>
      <c r="T980" s="35">
        <v>2.0</v>
      </c>
      <c r="U980" s="34"/>
      <c r="V980" s="34"/>
      <c r="W980" s="34"/>
      <c r="X980" s="34"/>
      <c r="Y980" s="34"/>
      <c r="Z980" s="34"/>
      <c r="AA980" s="25"/>
      <c r="AB980" s="25"/>
      <c r="AC980" s="25"/>
      <c r="AD980" s="25"/>
      <c r="AE980" s="25"/>
      <c r="AF980" s="25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25"/>
      <c r="AU980" s="34"/>
      <c r="AV980" s="34"/>
      <c r="AW980" s="34"/>
    </row>
    <row r="981" ht="15.0" customHeight="1">
      <c r="A981" s="32" t="s">
        <v>1006</v>
      </c>
      <c r="B981" s="25"/>
      <c r="C981" s="25"/>
      <c r="D981" s="25"/>
      <c r="E981" s="25"/>
      <c r="F981" s="25"/>
      <c r="G981" s="35">
        <v>0.0</v>
      </c>
      <c r="H981" s="35">
        <v>1.0</v>
      </c>
      <c r="I981" s="25"/>
      <c r="J981" s="25"/>
      <c r="K981" s="25"/>
      <c r="L981" s="35"/>
      <c r="M981" s="35"/>
      <c r="N981" s="25"/>
      <c r="O981" s="25"/>
      <c r="P981" s="25"/>
      <c r="Q981" s="35">
        <v>2.0</v>
      </c>
      <c r="R981" s="35">
        <v>2.0</v>
      </c>
      <c r="S981" s="35">
        <v>2.0</v>
      </c>
      <c r="T981" s="35">
        <v>2.0</v>
      </c>
      <c r="U981" s="34"/>
      <c r="V981" s="34"/>
      <c r="W981" s="34"/>
      <c r="X981" s="34"/>
      <c r="Y981" s="34"/>
      <c r="Z981" s="34"/>
      <c r="AA981" s="25"/>
      <c r="AB981" s="25"/>
      <c r="AC981" s="25"/>
      <c r="AD981" s="25"/>
      <c r="AE981" s="25"/>
      <c r="AF981" s="25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25"/>
      <c r="AU981" s="34"/>
      <c r="AV981" s="34"/>
      <c r="AW981" s="34"/>
    </row>
    <row r="982" ht="15.0" customHeight="1">
      <c r="A982" s="32" t="s">
        <v>1007</v>
      </c>
      <c r="B982" s="25"/>
      <c r="C982" s="25"/>
      <c r="D982" s="25"/>
      <c r="E982" s="25"/>
      <c r="F982" s="25"/>
      <c r="G982" s="35">
        <v>0.0</v>
      </c>
      <c r="H982" s="35">
        <v>1.0</v>
      </c>
      <c r="I982" s="25"/>
      <c r="J982" s="25"/>
      <c r="K982" s="25"/>
      <c r="L982" s="35"/>
      <c r="M982" s="35"/>
      <c r="N982" s="25"/>
      <c r="O982" s="25"/>
      <c r="P982" s="25"/>
      <c r="Q982" s="35">
        <v>2.0</v>
      </c>
      <c r="R982" s="35">
        <v>2.0</v>
      </c>
      <c r="S982" s="35">
        <v>2.0</v>
      </c>
      <c r="T982" s="35">
        <v>2.0</v>
      </c>
      <c r="U982" s="34"/>
      <c r="V982" s="34"/>
      <c r="W982" s="34"/>
      <c r="X982" s="34"/>
      <c r="Y982" s="34"/>
      <c r="Z982" s="34"/>
      <c r="AA982" s="25"/>
      <c r="AB982" s="25"/>
      <c r="AC982" s="25"/>
      <c r="AD982" s="25"/>
      <c r="AE982" s="25"/>
      <c r="AF982" s="25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25"/>
      <c r="AU982" s="34"/>
      <c r="AV982" s="34"/>
      <c r="AW982" s="34"/>
    </row>
    <row r="983" ht="15.0" customHeight="1">
      <c r="A983" s="32" t="s">
        <v>1008</v>
      </c>
      <c r="B983" s="25"/>
      <c r="C983" s="25"/>
      <c r="D983" s="25"/>
      <c r="E983" s="25"/>
      <c r="F983" s="25"/>
      <c r="G983" s="35">
        <v>0.0</v>
      </c>
      <c r="H983" s="35">
        <v>1.0</v>
      </c>
      <c r="I983" s="25"/>
      <c r="J983" s="25"/>
      <c r="K983" s="25"/>
      <c r="L983" s="35"/>
      <c r="M983" s="35"/>
      <c r="N983" s="25"/>
      <c r="O983" s="25"/>
      <c r="P983" s="25"/>
      <c r="Q983" s="35">
        <v>2.0</v>
      </c>
      <c r="R983" s="35">
        <v>2.0</v>
      </c>
      <c r="S983" s="35">
        <v>2.0</v>
      </c>
      <c r="T983" s="35">
        <v>2.0</v>
      </c>
      <c r="U983" s="34"/>
      <c r="V983" s="34"/>
      <c r="W983" s="34"/>
      <c r="X983" s="34"/>
      <c r="Y983" s="34"/>
      <c r="Z983" s="34"/>
      <c r="AA983" s="25"/>
      <c r="AB983" s="25"/>
      <c r="AC983" s="25"/>
      <c r="AD983" s="25"/>
      <c r="AE983" s="25"/>
      <c r="AF983" s="25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25"/>
      <c r="AU983" s="34"/>
      <c r="AV983" s="34"/>
      <c r="AW983" s="34"/>
    </row>
    <row r="984" ht="15.0" customHeight="1">
      <c r="A984" s="32" t="s">
        <v>1009</v>
      </c>
      <c r="B984" s="25"/>
      <c r="C984" s="25"/>
      <c r="D984" s="25"/>
      <c r="E984" s="25"/>
      <c r="F984" s="25"/>
      <c r="G984" s="35">
        <v>0.0</v>
      </c>
      <c r="H984" s="35">
        <v>1.0</v>
      </c>
      <c r="I984" s="25"/>
      <c r="J984" s="25"/>
      <c r="K984" s="25"/>
      <c r="L984" s="35"/>
      <c r="M984" s="35"/>
      <c r="N984" s="25"/>
      <c r="O984" s="25"/>
      <c r="P984" s="25"/>
      <c r="Q984" s="35">
        <v>2.0</v>
      </c>
      <c r="R984" s="35">
        <v>2.0</v>
      </c>
      <c r="S984" s="35">
        <v>2.0</v>
      </c>
      <c r="T984" s="35">
        <v>2.0</v>
      </c>
      <c r="U984" s="34"/>
      <c r="V984" s="34"/>
      <c r="W984" s="34"/>
      <c r="X984" s="34"/>
      <c r="Y984" s="34"/>
      <c r="Z984" s="34"/>
      <c r="AA984" s="25"/>
      <c r="AB984" s="25"/>
      <c r="AC984" s="25"/>
      <c r="AD984" s="25"/>
      <c r="AE984" s="25"/>
      <c r="AF984" s="25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25"/>
      <c r="AU984" s="34"/>
      <c r="AV984" s="34"/>
      <c r="AW984" s="34"/>
    </row>
    <row r="985" ht="15.0" customHeight="1">
      <c r="A985" s="32" t="s">
        <v>1010</v>
      </c>
      <c r="B985" s="25"/>
      <c r="C985" s="25"/>
      <c r="D985" s="25"/>
      <c r="E985" s="25"/>
      <c r="F985" s="25"/>
      <c r="G985" s="35">
        <v>0.0</v>
      </c>
      <c r="H985" s="35">
        <v>1.0</v>
      </c>
      <c r="I985" s="25"/>
      <c r="J985" s="25"/>
      <c r="K985" s="25"/>
      <c r="L985" s="35"/>
      <c r="M985" s="35"/>
      <c r="N985" s="25"/>
      <c r="O985" s="25"/>
      <c r="P985" s="25"/>
      <c r="Q985" s="35">
        <v>2.0</v>
      </c>
      <c r="R985" s="35">
        <v>2.0</v>
      </c>
      <c r="S985" s="35">
        <v>2.0</v>
      </c>
      <c r="T985" s="35">
        <v>2.0</v>
      </c>
      <c r="U985" s="34"/>
      <c r="V985" s="34"/>
      <c r="W985" s="34"/>
      <c r="X985" s="34"/>
      <c r="Y985" s="34"/>
      <c r="Z985" s="34"/>
      <c r="AA985" s="25"/>
      <c r="AB985" s="25"/>
      <c r="AC985" s="25"/>
      <c r="AD985" s="25"/>
      <c r="AE985" s="25"/>
      <c r="AF985" s="25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25"/>
      <c r="AU985" s="34"/>
      <c r="AV985" s="34"/>
      <c r="AW985" s="34"/>
    </row>
    <row r="986" ht="15.0" customHeight="1">
      <c r="A986" s="32" t="s">
        <v>1011</v>
      </c>
      <c r="B986" s="25"/>
      <c r="C986" s="25"/>
      <c r="D986" s="25"/>
      <c r="E986" s="25"/>
      <c r="F986" s="25"/>
      <c r="G986" s="35">
        <v>0.0</v>
      </c>
      <c r="H986" s="35">
        <v>1.0</v>
      </c>
      <c r="I986" s="25"/>
      <c r="J986" s="25"/>
      <c r="K986" s="25"/>
      <c r="L986" s="35"/>
      <c r="M986" s="35"/>
      <c r="N986" s="25"/>
      <c r="O986" s="25"/>
      <c r="P986" s="25"/>
      <c r="Q986" s="35">
        <v>2.0</v>
      </c>
      <c r="R986" s="35">
        <v>2.0</v>
      </c>
      <c r="S986" s="35">
        <v>2.0</v>
      </c>
      <c r="T986" s="35">
        <v>2.0</v>
      </c>
      <c r="U986" s="34"/>
      <c r="V986" s="34"/>
      <c r="W986" s="34"/>
      <c r="X986" s="34"/>
      <c r="Y986" s="34"/>
      <c r="Z986" s="34"/>
      <c r="AA986" s="25"/>
      <c r="AB986" s="25"/>
      <c r="AC986" s="25"/>
      <c r="AD986" s="25"/>
      <c r="AE986" s="25"/>
      <c r="AF986" s="25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25"/>
      <c r="AU986" s="34"/>
      <c r="AV986" s="34"/>
      <c r="AW986" s="34"/>
    </row>
    <row r="987" ht="15.0" customHeight="1">
      <c r="A987" s="32" t="s">
        <v>1012</v>
      </c>
      <c r="B987" s="25"/>
      <c r="C987" s="25"/>
      <c r="D987" s="25"/>
      <c r="E987" s="25"/>
      <c r="F987" s="25"/>
      <c r="G987" s="35">
        <v>0.0</v>
      </c>
      <c r="H987" s="35">
        <v>1.0</v>
      </c>
      <c r="I987" s="25"/>
      <c r="J987" s="25"/>
      <c r="K987" s="25"/>
      <c r="L987" s="35"/>
      <c r="M987" s="35"/>
      <c r="N987" s="25"/>
      <c r="O987" s="25"/>
      <c r="P987" s="25"/>
      <c r="Q987" s="35">
        <v>2.0</v>
      </c>
      <c r="R987" s="35">
        <v>2.0</v>
      </c>
      <c r="S987" s="35">
        <v>2.0</v>
      </c>
      <c r="T987" s="35">
        <v>2.0</v>
      </c>
      <c r="U987" s="34"/>
      <c r="V987" s="34"/>
      <c r="W987" s="34"/>
      <c r="X987" s="34"/>
      <c r="Y987" s="34"/>
      <c r="Z987" s="34"/>
      <c r="AA987" s="25"/>
      <c r="AB987" s="25"/>
      <c r="AC987" s="25"/>
      <c r="AD987" s="25"/>
      <c r="AE987" s="25"/>
      <c r="AF987" s="25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25"/>
      <c r="AU987" s="34"/>
      <c r="AV987" s="34"/>
      <c r="AW987" s="34"/>
    </row>
    <row r="988" ht="15.0" customHeight="1">
      <c r="A988" s="32" t="s">
        <v>1013</v>
      </c>
      <c r="B988" s="25"/>
      <c r="C988" s="25"/>
      <c r="D988" s="25"/>
      <c r="E988" s="25"/>
      <c r="F988" s="25"/>
      <c r="G988" s="35">
        <v>0.0</v>
      </c>
      <c r="H988" s="35">
        <v>1.0</v>
      </c>
      <c r="I988" s="25"/>
      <c r="J988" s="25"/>
      <c r="K988" s="25"/>
      <c r="L988" s="35"/>
      <c r="M988" s="35"/>
      <c r="N988" s="25"/>
      <c r="O988" s="25"/>
      <c r="P988" s="25"/>
      <c r="Q988" s="35">
        <v>2.0</v>
      </c>
      <c r="R988" s="35">
        <v>2.0</v>
      </c>
      <c r="S988" s="35">
        <v>2.0</v>
      </c>
      <c r="T988" s="35">
        <v>2.0</v>
      </c>
      <c r="U988" s="34"/>
      <c r="V988" s="34"/>
      <c r="W988" s="34"/>
      <c r="X988" s="34"/>
      <c r="Y988" s="34"/>
      <c r="Z988" s="34"/>
      <c r="AA988" s="25"/>
      <c r="AB988" s="25"/>
      <c r="AC988" s="25"/>
      <c r="AD988" s="25"/>
      <c r="AE988" s="25"/>
      <c r="AF988" s="25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25"/>
      <c r="AU988" s="34"/>
      <c r="AV988" s="34"/>
      <c r="AW988" s="34"/>
    </row>
    <row r="989" ht="15.0" customHeight="1">
      <c r="A989" s="32" t="s">
        <v>1014</v>
      </c>
      <c r="B989" s="25"/>
      <c r="C989" s="25"/>
      <c r="D989" s="25"/>
      <c r="E989" s="25"/>
      <c r="F989" s="25"/>
      <c r="G989" s="35">
        <v>0.0</v>
      </c>
      <c r="H989" s="35">
        <v>1.0</v>
      </c>
      <c r="I989" s="25"/>
      <c r="J989" s="25"/>
      <c r="K989" s="25"/>
      <c r="L989" s="35"/>
      <c r="M989" s="35"/>
      <c r="N989" s="25"/>
      <c r="O989" s="25"/>
      <c r="P989" s="25"/>
      <c r="Q989" s="35">
        <v>2.0</v>
      </c>
      <c r="R989" s="35">
        <v>2.0</v>
      </c>
      <c r="S989" s="35">
        <v>2.0</v>
      </c>
      <c r="T989" s="35">
        <v>2.0</v>
      </c>
      <c r="U989" s="34"/>
      <c r="V989" s="34"/>
      <c r="W989" s="34"/>
      <c r="X989" s="34"/>
      <c r="Y989" s="34"/>
      <c r="Z989" s="34"/>
      <c r="AA989" s="25"/>
      <c r="AB989" s="25"/>
      <c r="AC989" s="25"/>
      <c r="AD989" s="25"/>
      <c r="AE989" s="25"/>
      <c r="AF989" s="25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25"/>
      <c r="AU989" s="34"/>
      <c r="AV989" s="34"/>
      <c r="AW989" s="34"/>
    </row>
    <row r="990" ht="15.0" customHeight="1">
      <c r="A990" s="32" t="s">
        <v>1015</v>
      </c>
      <c r="B990" s="25"/>
      <c r="C990" s="25"/>
      <c r="D990" s="25"/>
      <c r="E990" s="25"/>
      <c r="F990" s="25"/>
      <c r="G990" s="35">
        <v>0.0</v>
      </c>
      <c r="H990" s="35">
        <v>1.0</v>
      </c>
      <c r="I990" s="25"/>
      <c r="J990" s="25"/>
      <c r="K990" s="25"/>
      <c r="L990" s="35"/>
      <c r="M990" s="35"/>
      <c r="N990" s="25"/>
      <c r="O990" s="25"/>
      <c r="P990" s="25"/>
      <c r="Q990" s="35">
        <v>2.0</v>
      </c>
      <c r="R990" s="35">
        <v>2.0</v>
      </c>
      <c r="S990" s="35">
        <v>2.0</v>
      </c>
      <c r="T990" s="35">
        <v>2.0</v>
      </c>
      <c r="U990" s="34"/>
      <c r="V990" s="34"/>
      <c r="W990" s="34"/>
      <c r="X990" s="34"/>
      <c r="Y990" s="34"/>
      <c r="Z990" s="34"/>
      <c r="AA990" s="25"/>
      <c r="AB990" s="25"/>
      <c r="AC990" s="25"/>
      <c r="AD990" s="25"/>
      <c r="AE990" s="25"/>
      <c r="AF990" s="25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25"/>
      <c r="AU990" s="34"/>
      <c r="AV990" s="34"/>
      <c r="AW990" s="34"/>
    </row>
    <row r="991" ht="15.0" customHeight="1">
      <c r="A991" s="32" t="s">
        <v>1016</v>
      </c>
      <c r="B991" s="25"/>
      <c r="C991" s="25"/>
      <c r="D991" s="25"/>
      <c r="E991" s="25"/>
      <c r="F991" s="25"/>
      <c r="G991" s="35">
        <v>0.0</v>
      </c>
      <c r="H991" s="35">
        <v>1.0</v>
      </c>
      <c r="I991" s="25"/>
      <c r="J991" s="25"/>
      <c r="K991" s="25"/>
      <c r="L991" s="35"/>
      <c r="M991" s="35"/>
      <c r="N991" s="25"/>
      <c r="O991" s="25"/>
      <c r="P991" s="25"/>
      <c r="Q991" s="35">
        <v>2.0</v>
      </c>
      <c r="R991" s="35">
        <v>2.0</v>
      </c>
      <c r="S991" s="35">
        <v>2.0</v>
      </c>
      <c r="T991" s="35">
        <v>2.0</v>
      </c>
      <c r="U991" s="34"/>
      <c r="V991" s="34"/>
      <c r="W991" s="34"/>
      <c r="X991" s="34"/>
      <c r="Y991" s="34"/>
      <c r="Z991" s="34"/>
      <c r="AA991" s="25"/>
      <c r="AB991" s="25"/>
      <c r="AC991" s="25"/>
      <c r="AD991" s="25"/>
      <c r="AE991" s="25"/>
      <c r="AF991" s="25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25"/>
      <c r="AU991" s="34"/>
      <c r="AV991" s="34"/>
      <c r="AW991" s="34"/>
    </row>
    <row r="992" ht="15.0" customHeight="1">
      <c r="A992" s="32" t="s">
        <v>1017</v>
      </c>
      <c r="B992" s="25"/>
      <c r="C992" s="25"/>
      <c r="D992" s="25"/>
      <c r="E992" s="25"/>
      <c r="F992" s="25"/>
      <c r="G992" s="35">
        <v>0.0</v>
      </c>
      <c r="H992" s="35">
        <v>1.0</v>
      </c>
      <c r="I992" s="25"/>
      <c r="J992" s="25"/>
      <c r="K992" s="25"/>
      <c r="L992" s="35"/>
      <c r="M992" s="35"/>
      <c r="N992" s="25"/>
      <c r="O992" s="25"/>
      <c r="P992" s="25"/>
      <c r="Q992" s="35">
        <v>2.0</v>
      </c>
      <c r="R992" s="35">
        <v>2.0</v>
      </c>
      <c r="S992" s="35">
        <v>2.0</v>
      </c>
      <c r="T992" s="35">
        <v>2.0</v>
      </c>
      <c r="U992" s="34"/>
      <c r="V992" s="34"/>
      <c r="W992" s="34"/>
      <c r="X992" s="34"/>
      <c r="Y992" s="34"/>
      <c r="Z992" s="34"/>
      <c r="AA992" s="25"/>
      <c r="AB992" s="25"/>
      <c r="AC992" s="25"/>
      <c r="AD992" s="25"/>
      <c r="AE992" s="25"/>
      <c r="AF992" s="25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25"/>
      <c r="AU992" s="34"/>
      <c r="AV992" s="34"/>
      <c r="AW992" s="34"/>
    </row>
    <row r="993" ht="15.0" customHeight="1">
      <c r="A993" s="32" t="s">
        <v>1018</v>
      </c>
      <c r="B993" s="25"/>
      <c r="C993" s="25"/>
      <c r="D993" s="25"/>
      <c r="E993" s="25"/>
      <c r="F993" s="25"/>
      <c r="G993" s="35">
        <v>0.0</v>
      </c>
      <c r="H993" s="35">
        <v>1.0</v>
      </c>
      <c r="I993" s="25"/>
      <c r="J993" s="25"/>
      <c r="K993" s="25"/>
      <c r="L993" s="35"/>
      <c r="M993" s="35"/>
      <c r="N993" s="25"/>
      <c r="O993" s="25"/>
      <c r="P993" s="25"/>
      <c r="Q993" s="35">
        <v>2.0</v>
      </c>
      <c r="R993" s="35">
        <v>2.0</v>
      </c>
      <c r="S993" s="35">
        <v>2.0</v>
      </c>
      <c r="T993" s="35">
        <v>2.0</v>
      </c>
      <c r="U993" s="34"/>
      <c r="V993" s="34"/>
      <c r="W993" s="34"/>
      <c r="X993" s="34"/>
      <c r="Y993" s="34"/>
      <c r="Z993" s="34"/>
      <c r="AA993" s="25"/>
      <c r="AB993" s="25"/>
      <c r="AC993" s="25"/>
      <c r="AD993" s="25"/>
      <c r="AE993" s="25"/>
      <c r="AF993" s="25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25"/>
      <c r="AU993" s="34"/>
      <c r="AV993" s="34"/>
      <c r="AW993" s="34"/>
    </row>
    <row r="994" ht="15.0" customHeight="1">
      <c r="A994" s="32" t="s">
        <v>1019</v>
      </c>
      <c r="B994" s="25"/>
      <c r="C994" s="25"/>
      <c r="D994" s="25"/>
      <c r="E994" s="25"/>
      <c r="F994" s="25"/>
      <c r="G994" s="35">
        <v>0.0</v>
      </c>
      <c r="H994" s="35">
        <v>1.0</v>
      </c>
      <c r="I994" s="25"/>
      <c r="J994" s="25"/>
      <c r="K994" s="25"/>
      <c r="L994" s="35"/>
      <c r="M994" s="35"/>
      <c r="N994" s="25"/>
      <c r="O994" s="25"/>
      <c r="P994" s="25"/>
      <c r="Q994" s="35">
        <v>2.0</v>
      </c>
      <c r="R994" s="35">
        <v>2.0</v>
      </c>
      <c r="S994" s="35">
        <v>2.0</v>
      </c>
      <c r="T994" s="35">
        <v>2.0</v>
      </c>
      <c r="U994" s="34"/>
      <c r="V994" s="34"/>
      <c r="W994" s="34"/>
      <c r="X994" s="34"/>
      <c r="Y994" s="34"/>
      <c r="Z994" s="34"/>
      <c r="AA994" s="25"/>
      <c r="AB994" s="25"/>
      <c r="AC994" s="25"/>
      <c r="AD994" s="25"/>
      <c r="AE994" s="25"/>
      <c r="AF994" s="25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25"/>
      <c r="AU994" s="34"/>
      <c r="AV994" s="34"/>
      <c r="AW994" s="34"/>
    </row>
    <row r="995" ht="15.0" customHeight="1">
      <c r="A995" s="32" t="s">
        <v>1020</v>
      </c>
      <c r="B995" s="25"/>
      <c r="C995" s="25"/>
      <c r="D995" s="25"/>
      <c r="E995" s="25"/>
      <c r="F995" s="25"/>
      <c r="G995" s="35">
        <v>0.0</v>
      </c>
      <c r="H995" s="35">
        <v>1.0</v>
      </c>
      <c r="I995" s="25"/>
      <c r="J995" s="25"/>
      <c r="K995" s="25"/>
      <c r="L995" s="35"/>
      <c r="M995" s="35"/>
      <c r="N995" s="25"/>
      <c r="O995" s="25"/>
      <c r="P995" s="25"/>
      <c r="Q995" s="35">
        <v>2.0</v>
      </c>
      <c r="R995" s="35">
        <v>2.0</v>
      </c>
      <c r="S995" s="35">
        <v>2.0</v>
      </c>
      <c r="T995" s="35">
        <v>2.0</v>
      </c>
      <c r="U995" s="34"/>
      <c r="V995" s="34"/>
      <c r="W995" s="34"/>
      <c r="X995" s="34"/>
      <c r="Y995" s="34"/>
      <c r="Z995" s="34"/>
      <c r="AA995" s="25"/>
      <c r="AB995" s="25"/>
      <c r="AC995" s="25"/>
      <c r="AD995" s="25"/>
      <c r="AE995" s="25"/>
      <c r="AF995" s="25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25"/>
      <c r="AU995" s="34"/>
      <c r="AV995" s="34"/>
      <c r="AW995" s="34"/>
    </row>
    <row r="996" ht="15.0" customHeight="1">
      <c r="A996" s="32" t="s">
        <v>1021</v>
      </c>
      <c r="B996" s="25"/>
      <c r="C996" s="25"/>
      <c r="D996" s="25"/>
      <c r="E996" s="25"/>
      <c r="F996" s="25"/>
      <c r="G996" s="35">
        <v>0.0</v>
      </c>
      <c r="H996" s="35">
        <v>1.0</v>
      </c>
      <c r="I996" s="25"/>
      <c r="J996" s="25"/>
      <c r="K996" s="25"/>
      <c r="L996" s="35"/>
      <c r="M996" s="35"/>
      <c r="N996" s="25"/>
      <c r="O996" s="25"/>
      <c r="P996" s="25"/>
      <c r="Q996" s="35">
        <v>2.0</v>
      </c>
      <c r="R996" s="35">
        <v>2.0</v>
      </c>
      <c r="S996" s="35">
        <v>2.0</v>
      </c>
      <c r="T996" s="35">
        <v>2.0</v>
      </c>
      <c r="U996" s="34"/>
      <c r="V996" s="34"/>
      <c r="W996" s="34"/>
      <c r="X996" s="34"/>
      <c r="Y996" s="34"/>
      <c r="Z996" s="34"/>
      <c r="AA996" s="25"/>
      <c r="AB996" s="25"/>
      <c r="AC996" s="25"/>
      <c r="AD996" s="25"/>
      <c r="AE996" s="25"/>
      <c r="AF996" s="25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25"/>
      <c r="AU996" s="34"/>
      <c r="AV996" s="34"/>
      <c r="AW996" s="34"/>
    </row>
    <row r="997" ht="15.0" customHeight="1">
      <c r="A997" s="32" t="s">
        <v>1022</v>
      </c>
      <c r="B997" s="25"/>
      <c r="C997" s="25"/>
      <c r="D997" s="25"/>
      <c r="E997" s="25"/>
      <c r="F997" s="25"/>
      <c r="G997" s="35">
        <v>0.0</v>
      </c>
      <c r="H997" s="35">
        <v>1.0</v>
      </c>
      <c r="I997" s="25"/>
      <c r="J997" s="25"/>
      <c r="K997" s="25"/>
      <c r="L997" s="35"/>
      <c r="M997" s="35"/>
      <c r="N997" s="25"/>
      <c r="O997" s="25"/>
      <c r="P997" s="25"/>
      <c r="Q997" s="35">
        <v>2.0</v>
      </c>
      <c r="R997" s="35">
        <v>2.0</v>
      </c>
      <c r="S997" s="35">
        <v>2.0</v>
      </c>
      <c r="T997" s="35">
        <v>2.0</v>
      </c>
      <c r="U997" s="34"/>
      <c r="V997" s="34"/>
      <c r="W997" s="34"/>
      <c r="X997" s="34"/>
      <c r="Y997" s="34"/>
      <c r="Z997" s="34"/>
      <c r="AA997" s="25"/>
      <c r="AB997" s="25"/>
      <c r="AC997" s="25"/>
      <c r="AD997" s="25"/>
      <c r="AE997" s="25"/>
      <c r="AF997" s="25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25"/>
      <c r="AU997" s="34"/>
      <c r="AV997" s="34"/>
      <c r="AW997" s="34"/>
    </row>
    <row r="998" ht="15.0" customHeight="1">
      <c r="A998" s="32" t="s">
        <v>1023</v>
      </c>
      <c r="B998" s="25"/>
      <c r="C998" s="25"/>
      <c r="D998" s="25"/>
      <c r="E998" s="25"/>
      <c r="F998" s="25"/>
      <c r="G998" s="35">
        <v>0.0</v>
      </c>
      <c r="H998" s="35">
        <v>1.0</v>
      </c>
      <c r="I998" s="25"/>
      <c r="J998" s="25"/>
      <c r="K998" s="25"/>
      <c r="L998" s="35"/>
      <c r="M998" s="35"/>
      <c r="N998" s="25"/>
      <c r="O998" s="25"/>
      <c r="P998" s="25"/>
      <c r="Q998" s="35">
        <v>2.0</v>
      </c>
      <c r="R998" s="35">
        <v>2.0</v>
      </c>
      <c r="S998" s="35">
        <v>2.0</v>
      </c>
      <c r="T998" s="35">
        <v>2.0</v>
      </c>
      <c r="U998" s="34"/>
      <c r="V998" s="34"/>
      <c r="W998" s="34"/>
      <c r="X998" s="34"/>
      <c r="Y998" s="34"/>
      <c r="Z998" s="34"/>
      <c r="AA998" s="25"/>
      <c r="AB998" s="25"/>
      <c r="AC998" s="25"/>
      <c r="AD998" s="25"/>
      <c r="AE998" s="25"/>
      <c r="AF998" s="25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25"/>
      <c r="AU998" s="34"/>
      <c r="AV998" s="34"/>
      <c r="AW998" s="34"/>
    </row>
    <row r="999" ht="15.0" customHeight="1">
      <c r="A999" s="32" t="s">
        <v>1024</v>
      </c>
      <c r="B999" s="25"/>
      <c r="C999" s="25"/>
      <c r="D999" s="25"/>
      <c r="E999" s="25"/>
      <c r="F999" s="25"/>
      <c r="G999" s="35">
        <v>0.0</v>
      </c>
      <c r="H999" s="35">
        <v>1.0</v>
      </c>
      <c r="I999" s="25"/>
      <c r="J999" s="25"/>
      <c r="K999" s="25"/>
      <c r="L999" s="35"/>
      <c r="M999" s="35"/>
      <c r="N999" s="25"/>
      <c r="O999" s="25"/>
      <c r="P999" s="25"/>
      <c r="Q999" s="35">
        <v>2.0</v>
      </c>
      <c r="R999" s="35">
        <v>2.0</v>
      </c>
      <c r="S999" s="35">
        <v>2.0</v>
      </c>
      <c r="T999" s="35">
        <v>2.0</v>
      </c>
      <c r="U999" s="34"/>
      <c r="V999" s="34"/>
      <c r="W999" s="34"/>
      <c r="X999" s="34"/>
      <c r="Y999" s="34"/>
      <c r="Z999" s="34"/>
      <c r="AA999" s="25"/>
      <c r="AB999" s="25"/>
      <c r="AC999" s="25"/>
      <c r="AD999" s="25"/>
      <c r="AE999" s="25"/>
      <c r="AF999" s="25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25"/>
      <c r="AU999" s="34"/>
      <c r="AV999" s="34"/>
      <c r="AW999" s="34"/>
    </row>
    <row r="1000" ht="15.0" customHeight="1">
      <c r="A1000" s="32" t="s">
        <v>1025</v>
      </c>
      <c r="B1000" s="25"/>
      <c r="C1000" s="25"/>
      <c r="D1000" s="25"/>
      <c r="E1000" s="25"/>
      <c r="F1000" s="25"/>
      <c r="G1000" s="35">
        <v>0.0</v>
      </c>
      <c r="H1000" s="35">
        <v>1.0</v>
      </c>
      <c r="I1000" s="25"/>
      <c r="J1000" s="25"/>
      <c r="K1000" s="25"/>
      <c r="L1000" s="35"/>
      <c r="M1000" s="35"/>
      <c r="N1000" s="25"/>
      <c r="O1000" s="25"/>
      <c r="P1000" s="25"/>
      <c r="Q1000" s="35">
        <v>2.0</v>
      </c>
      <c r="R1000" s="35">
        <v>2.0</v>
      </c>
      <c r="S1000" s="35">
        <v>2.0</v>
      </c>
      <c r="T1000" s="35">
        <v>2.0</v>
      </c>
      <c r="U1000" s="34"/>
      <c r="V1000" s="34"/>
      <c r="W1000" s="34"/>
      <c r="X1000" s="34"/>
      <c r="Y1000" s="34"/>
      <c r="Z1000" s="34"/>
      <c r="AA1000" s="25"/>
      <c r="AB1000" s="25"/>
      <c r="AC1000" s="25"/>
      <c r="AD1000" s="25"/>
      <c r="AE1000" s="25"/>
      <c r="AF1000" s="25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25"/>
      <c r="AU1000" s="34"/>
      <c r="AV1000" s="34"/>
      <c r="AW1000" s="34"/>
    </row>
    <row r="1001" ht="15.0" customHeight="1">
      <c r="A1001" s="32" t="s">
        <v>1026</v>
      </c>
      <c r="B1001" s="25"/>
      <c r="C1001" s="25"/>
      <c r="D1001" s="25"/>
      <c r="E1001" s="25"/>
      <c r="F1001" s="25"/>
      <c r="G1001" s="35">
        <v>0.0</v>
      </c>
      <c r="H1001" s="35">
        <v>1.0</v>
      </c>
      <c r="I1001" s="25"/>
      <c r="J1001" s="25"/>
      <c r="K1001" s="25"/>
      <c r="L1001" s="35"/>
      <c r="M1001" s="35"/>
      <c r="N1001" s="25"/>
      <c r="O1001" s="25"/>
      <c r="P1001" s="25"/>
      <c r="Q1001" s="35">
        <v>2.0</v>
      </c>
      <c r="R1001" s="35">
        <v>2.0</v>
      </c>
      <c r="S1001" s="35">
        <v>2.0</v>
      </c>
      <c r="T1001" s="35">
        <v>2.0</v>
      </c>
      <c r="U1001" s="34"/>
      <c r="V1001" s="34"/>
      <c r="W1001" s="34"/>
      <c r="X1001" s="34"/>
      <c r="Y1001" s="34"/>
      <c r="Z1001" s="34"/>
      <c r="AA1001" s="25"/>
      <c r="AB1001" s="25"/>
      <c r="AC1001" s="25"/>
      <c r="AD1001" s="25"/>
      <c r="AE1001" s="25"/>
      <c r="AF1001" s="25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25"/>
      <c r="AU1001" s="34"/>
      <c r="AV1001" s="34"/>
      <c r="AW1001" s="34"/>
    </row>
    <row r="1002" ht="15.0" customHeight="1">
      <c r="A1002" s="32" t="s">
        <v>1027</v>
      </c>
      <c r="B1002" s="25"/>
      <c r="C1002" s="25"/>
      <c r="D1002" s="25"/>
      <c r="E1002" s="25"/>
      <c r="F1002" s="25"/>
      <c r="G1002" s="35">
        <v>0.0</v>
      </c>
      <c r="H1002" s="35">
        <v>1.0</v>
      </c>
      <c r="I1002" s="25"/>
      <c r="J1002" s="25"/>
      <c r="K1002" s="25"/>
      <c r="L1002" s="35"/>
      <c r="M1002" s="35"/>
      <c r="N1002" s="25"/>
      <c r="O1002" s="25"/>
      <c r="P1002" s="25"/>
      <c r="Q1002" s="35">
        <v>2.0</v>
      </c>
      <c r="R1002" s="35">
        <v>2.0</v>
      </c>
      <c r="S1002" s="35">
        <v>2.0</v>
      </c>
      <c r="T1002" s="35">
        <v>2.0</v>
      </c>
      <c r="U1002" s="34"/>
      <c r="V1002" s="34"/>
      <c r="W1002" s="34"/>
      <c r="X1002" s="34"/>
      <c r="Y1002" s="34"/>
      <c r="Z1002" s="34"/>
      <c r="AA1002" s="25"/>
      <c r="AB1002" s="25"/>
      <c r="AC1002" s="25"/>
      <c r="AD1002" s="25"/>
      <c r="AE1002" s="25"/>
      <c r="AF1002" s="25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25"/>
      <c r="AU1002" s="34"/>
      <c r="AV1002" s="34"/>
      <c r="AW1002" s="34"/>
    </row>
    <row r="1003" ht="15.0" customHeight="1">
      <c r="A1003" s="32" t="s">
        <v>1028</v>
      </c>
      <c r="B1003" s="25"/>
      <c r="C1003" s="25"/>
      <c r="D1003" s="25"/>
      <c r="E1003" s="25"/>
      <c r="F1003" s="25"/>
      <c r="G1003" s="35">
        <v>0.0</v>
      </c>
      <c r="H1003" s="35">
        <v>1.0</v>
      </c>
      <c r="I1003" s="25"/>
      <c r="J1003" s="25"/>
      <c r="K1003" s="25"/>
      <c r="L1003" s="35"/>
      <c r="M1003" s="35"/>
      <c r="N1003" s="25"/>
      <c r="O1003" s="25"/>
      <c r="P1003" s="25"/>
      <c r="Q1003" s="35">
        <v>2.0</v>
      </c>
      <c r="R1003" s="35">
        <v>2.0</v>
      </c>
      <c r="S1003" s="35">
        <v>2.0</v>
      </c>
      <c r="T1003" s="35">
        <v>2.0</v>
      </c>
      <c r="U1003" s="34"/>
      <c r="V1003" s="34"/>
      <c r="W1003" s="34"/>
      <c r="X1003" s="34"/>
      <c r="Y1003" s="34"/>
      <c r="Z1003" s="34"/>
      <c r="AA1003" s="25"/>
      <c r="AB1003" s="25"/>
      <c r="AC1003" s="25"/>
      <c r="AD1003" s="25"/>
      <c r="AE1003" s="25"/>
      <c r="AF1003" s="25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25"/>
      <c r="AU1003" s="34"/>
      <c r="AV1003" s="34"/>
      <c r="AW1003" s="34"/>
    </row>
    <row r="1004" ht="15.0" customHeight="1">
      <c r="A1004" s="32" t="s">
        <v>1029</v>
      </c>
      <c r="B1004" s="25"/>
      <c r="C1004" s="25"/>
      <c r="D1004" s="25"/>
      <c r="E1004" s="25"/>
      <c r="F1004" s="25"/>
      <c r="G1004" s="35">
        <v>0.0</v>
      </c>
      <c r="H1004" s="35">
        <v>1.0</v>
      </c>
      <c r="I1004" s="25"/>
      <c r="J1004" s="25"/>
      <c r="K1004" s="25"/>
      <c r="L1004" s="35"/>
      <c r="M1004" s="35"/>
      <c r="N1004" s="25"/>
      <c r="O1004" s="25"/>
      <c r="P1004" s="25"/>
      <c r="Q1004" s="35">
        <v>2.0</v>
      </c>
      <c r="R1004" s="35">
        <v>2.0</v>
      </c>
      <c r="S1004" s="35">
        <v>2.0</v>
      </c>
      <c r="T1004" s="35">
        <v>2.0</v>
      </c>
      <c r="U1004" s="34"/>
      <c r="V1004" s="34"/>
      <c r="W1004" s="34"/>
      <c r="X1004" s="34"/>
      <c r="Y1004" s="34"/>
      <c r="Z1004" s="34"/>
      <c r="AA1004" s="25"/>
      <c r="AB1004" s="25"/>
      <c r="AC1004" s="25"/>
      <c r="AD1004" s="25"/>
      <c r="AE1004" s="25"/>
      <c r="AF1004" s="25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25"/>
      <c r="AU1004" s="34"/>
      <c r="AV1004" s="34"/>
      <c r="AW1004" s="34"/>
    </row>
    <row r="1005" ht="15.0" customHeight="1">
      <c r="A1005" s="32" t="s">
        <v>1030</v>
      </c>
      <c r="B1005" s="25"/>
      <c r="C1005" s="25"/>
      <c r="D1005" s="25"/>
      <c r="E1005" s="25"/>
      <c r="F1005" s="25"/>
      <c r="G1005" s="35">
        <v>0.0</v>
      </c>
      <c r="H1005" s="35">
        <v>1.0</v>
      </c>
      <c r="I1005" s="25"/>
      <c r="J1005" s="25"/>
      <c r="K1005" s="25"/>
      <c r="L1005" s="35"/>
      <c r="M1005" s="35"/>
      <c r="N1005" s="25"/>
      <c r="O1005" s="25"/>
      <c r="P1005" s="25"/>
      <c r="Q1005" s="35">
        <v>2.0</v>
      </c>
      <c r="R1005" s="35">
        <v>2.0</v>
      </c>
      <c r="S1005" s="35">
        <v>2.0</v>
      </c>
      <c r="T1005" s="35">
        <v>2.0</v>
      </c>
      <c r="U1005" s="34"/>
      <c r="V1005" s="34"/>
      <c r="W1005" s="34"/>
      <c r="X1005" s="34"/>
      <c r="Y1005" s="34"/>
      <c r="Z1005" s="34"/>
      <c r="AA1005" s="25"/>
      <c r="AB1005" s="25"/>
      <c r="AC1005" s="25"/>
      <c r="AD1005" s="25"/>
      <c r="AE1005" s="25"/>
      <c r="AF1005" s="25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25"/>
      <c r="AU1005" s="34"/>
      <c r="AV1005" s="34"/>
      <c r="AW1005" s="34"/>
    </row>
    <row r="1006" ht="15.0" customHeight="1">
      <c r="A1006" s="32" t="s">
        <v>1031</v>
      </c>
      <c r="B1006" s="25"/>
      <c r="C1006" s="25"/>
      <c r="D1006" s="25"/>
      <c r="E1006" s="25"/>
      <c r="F1006" s="25"/>
      <c r="G1006" s="35">
        <v>0.0</v>
      </c>
      <c r="H1006" s="35">
        <v>1.0</v>
      </c>
      <c r="I1006" s="25"/>
      <c r="J1006" s="25"/>
      <c r="K1006" s="25"/>
      <c r="L1006" s="35"/>
      <c r="M1006" s="35"/>
      <c r="N1006" s="25"/>
      <c r="O1006" s="25"/>
      <c r="P1006" s="25"/>
      <c r="Q1006" s="35">
        <v>2.0</v>
      </c>
      <c r="R1006" s="35">
        <v>2.0</v>
      </c>
      <c r="S1006" s="35">
        <v>2.0</v>
      </c>
      <c r="T1006" s="35">
        <v>2.0</v>
      </c>
      <c r="U1006" s="34"/>
      <c r="V1006" s="34"/>
      <c r="W1006" s="34"/>
      <c r="X1006" s="34"/>
      <c r="Y1006" s="34"/>
      <c r="Z1006" s="34"/>
      <c r="AA1006" s="25"/>
      <c r="AB1006" s="25"/>
      <c r="AC1006" s="25"/>
      <c r="AD1006" s="25"/>
      <c r="AE1006" s="25"/>
      <c r="AF1006" s="25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25"/>
      <c r="AU1006" s="34"/>
      <c r="AV1006" s="34"/>
      <c r="AW1006" s="34"/>
    </row>
    <row r="1007" ht="15.0" customHeight="1">
      <c r="A1007" s="32" t="s">
        <v>1032</v>
      </c>
      <c r="B1007" s="25"/>
      <c r="C1007" s="25"/>
      <c r="D1007" s="25"/>
      <c r="E1007" s="25"/>
      <c r="F1007" s="25"/>
      <c r="G1007" s="35">
        <v>0.0</v>
      </c>
      <c r="H1007" s="35">
        <v>1.0</v>
      </c>
      <c r="I1007" s="25"/>
      <c r="J1007" s="25"/>
      <c r="K1007" s="25"/>
      <c r="L1007" s="35"/>
      <c r="M1007" s="35"/>
      <c r="N1007" s="25"/>
      <c r="O1007" s="25"/>
      <c r="P1007" s="25"/>
      <c r="Q1007" s="35">
        <v>2.0</v>
      </c>
      <c r="R1007" s="35">
        <v>2.0</v>
      </c>
      <c r="S1007" s="35">
        <v>2.0</v>
      </c>
      <c r="T1007" s="35">
        <v>2.0</v>
      </c>
      <c r="U1007" s="34"/>
      <c r="V1007" s="34"/>
      <c r="W1007" s="34"/>
      <c r="X1007" s="34"/>
      <c r="Y1007" s="34"/>
      <c r="Z1007" s="34"/>
      <c r="AA1007" s="25"/>
      <c r="AB1007" s="25"/>
      <c r="AC1007" s="25"/>
      <c r="AD1007" s="25"/>
      <c r="AE1007" s="25"/>
      <c r="AF1007" s="25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25"/>
      <c r="AU1007" s="34"/>
      <c r="AV1007" s="34"/>
      <c r="AW1007" s="34"/>
    </row>
    <row r="1008" ht="15.0" customHeight="1">
      <c r="A1008" s="32" t="s">
        <v>1033</v>
      </c>
      <c r="B1008" s="25"/>
      <c r="C1008" s="25"/>
      <c r="D1008" s="25"/>
      <c r="E1008" s="25"/>
      <c r="F1008" s="25"/>
      <c r="G1008" s="35">
        <v>0.0</v>
      </c>
      <c r="H1008" s="35">
        <v>1.0</v>
      </c>
      <c r="I1008" s="25"/>
      <c r="J1008" s="25"/>
      <c r="K1008" s="25"/>
      <c r="L1008" s="35"/>
      <c r="M1008" s="35"/>
      <c r="N1008" s="25"/>
      <c r="O1008" s="25"/>
      <c r="P1008" s="25"/>
      <c r="Q1008" s="35">
        <v>2.0</v>
      </c>
      <c r="R1008" s="35">
        <v>2.0</v>
      </c>
      <c r="S1008" s="35">
        <v>2.0</v>
      </c>
      <c r="T1008" s="35">
        <v>2.0</v>
      </c>
      <c r="U1008" s="34"/>
      <c r="V1008" s="34"/>
      <c r="W1008" s="34"/>
      <c r="X1008" s="34"/>
      <c r="Y1008" s="34"/>
      <c r="Z1008" s="34"/>
      <c r="AA1008" s="25"/>
      <c r="AB1008" s="25"/>
      <c r="AC1008" s="25"/>
      <c r="AD1008" s="25"/>
      <c r="AE1008" s="25"/>
      <c r="AF1008" s="25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25"/>
      <c r="AU1008" s="34"/>
      <c r="AV1008" s="34"/>
      <c r="AW1008" s="34"/>
    </row>
    <row r="1009" ht="15.0" customHeight="1">
      <c r="A1009" s="32" t="s">
        <v>1034</v>
      </c>
      <c r="B1009" s="25"/>
      <c r="C1009" s="25"/>
      <c r="D1009" s="25"/>
      <c r="E1009" s="25"/>
      <c r="F1009" s="25"/>
      <c r="G1009" s="35">
        <v>0.0</v>
      </c>
      <c r="H1009" s="35">
        <v>1.0</v>
      </c>
      <c r="I1009" s="25"/>
      <c r="J1009" s="25"/>
      <c r="K1009" s="25"/>
      <c r="L1009" s="35"/>
      <c r="M1009" s="35"/>
      <c r="N1009" s="25"/>
      <c r="O1009" s="25"/>
      <c r="P1009" s="25"/>
      <c r="Q1009" s="35">
        <v>2.0</v>
      </c>
      <c r="R1009" s="35">
        <v>2.0</v>
      </c>
      <c r="S1009" s="35">
        <v>2.0</v>
      </c>
      <c r="T1009" s="35">
        <v>2.0</v>
      </c>
      <c r="U1009" s="34"/>
      <c r="V1009" s="34"/>
      <c r="W1009" s="34"/>
      <c r="X1009" s="34"/>
      <c r="Y1009" s="34"/>
      <c r="Z1009" s="34"/>
      <c r="AA1009" s="25"/>
      <c r="AB1009" s="25"/>
      <c r="AC1009" s="25"/>
      <c r="AD1009" s="25"/>
      <c r="AE1009" s="25"/>
      <c r="AF1009" s="25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25"/>
      <c r="AU1009" s="34"/>
      <c r="AV1009" s="34"/>
      <c r="AW1009" s="34"/>
    </row>
    <row r="1010" ht="15.0" customHeight="1">
      <c r="A1010" s="32" t="s">
        <v>1035</v>
      </c>
      <c r="B1010" s="25"/>
      <c r="C1010" s="25"/>
      <c r="D1010" s="25"/>
      <c r="E1010" s="25"/>
      <c r="F1010" s="25"/>
      <c r="G1010" s="35">
        <v>0.0</v>
      </c>
      <c r="H1010" s="35">
        <v>1.0</v>
      </c>
      <c r="I1010" s="25"/>
      <c r="J1010" s="25"/>
      <c r="K1010" s="25"/>
      <c r="L1010" s="35"/>
      <c r="M1010" s="35"/>
      <c r="N1010" s="25"/>
      <c r="O1010" s="25"/>
      <c r="P1010" s="25"/>
      <c r="Q1010" s="35">
        <v>2.0</v>
      </c>
      <c r="R1010" s="35">
        <v>2.0</v>
      </c>
      <c r="S1010" s="35">
        <v>2.0</v>
      </c>
      <c r="T1010" s="35">
        <v>2.0</v>
      </c>
      <c r="U1010" s="34"/>
      <c r="V1010" s="34"/>
      <c r="W1010" s="34"/>
      <c r="X1010" s="34"/>
      <c r="Y1010" s="34"/>
      <c r="Z1010" s="34"/>
      <c r="AA1010" s="25"/>
      <c r="AB1010" s="25"/>
      <c r="AC1010" s="25"/>
      <c r="AD1010" s="25"/>
      <c r="AE1010" s="25"/>
      <c r="AF1010" s="25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25"/>
      <c r="AU1010" s="34"/>
      <c r="AV1010" s="34"/>
      <c r="AW1010" s="34"/>
    </row>
    <row r="1011" ht="15.0" customHeight="1">
      <c r="A1011" s="32" t="s">
        <v>1036</v>
      </c>
      <c r="B1011" s="25"/>
      <c r="C1011" s="25"/>
      <c r="D1011" s="25"/>
      <c r="E1011" s="25"/>
      <c r="F1011" s="25"/>
      <c r="G1011" s="35">
        <v>0.0</v>
      </c>
      <c r="H1011" s="35">
        <v>1.0</v>
      </c>
      <c r="I1011" s="25"/>
      <c r="J1011" s="25"/>
      <c r="K1011" s="25"/>
      <c r="L1011" s="35"/>
      <c r="M1011" s="35"/>
      <c r="N1011" s="25"/>
      <c r="O1011" s="25"/>
      <c r="P1011" s="25"/>
      <c r="Q1011" s="35">
        <v>2.0</v>
      </c>
      <c r="R1011" s="35">
        <v>2.0</v>
      </c>
      <c r="S1011" s="35">
        <v>2.0</v>
      </c>
      <c r="T1011" s="35">
        <v>2.0</v>
      </c>
      <c r="U1011" s="34"/>
      <c r="V1011" s="34"/>
      <c r="W1011" s="34"/>
      <c r="X1011" s="34"/>
      <c r="Y1011" s="34"/>
      <c r="Z1011" s="34"/>
      <c r="AA1011" s="25"/>
      <c r="AB1011" s="25"/>
      <c r="AC1011" s="25"/>
      <c r="AD1011" s="25"/>
      <c r="AE1011" s="25"/>
      <c r="AF1011" s="25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25"/>
      <c r="AU1011" s="34"/>
      <c r="AV1011" s="34"/>
      <c r="AW1011" s="34"/>
    </row>
    <row r="1012" ht="15.0" customHeight="1">
      <c r="A1012" s="32" t="s">
        <v>1037</v>
      </c>
      <c r="B1012" s="25"/>
      <c r="C1012" s="25"/>
      <c r="D1012" s="25"/>
      <c r="E1012" s="25"/>
      <c r="F1012" s="25"/>
      <c r="G1012" s="35">
        <v>0.0</v>
      </c>
      <c r="H1012" s="35">
        <v>1.0</v>
      </c>
      <c r="I1012" s="25"/>
      <c r="J1012" s="25"/>
      <c r="K1012" s="25"/>
      <c r="L1012" s="35"/>
      <c r="M1012" s="35"/>
      <c r="N1012" s="25"/>
      <c r="O1012" s="25"/>
      <c r="P1012" s="25"/>
      <c r="Q1012" s="35">
        <v>2.0</v>
      </c>
      <c r="R1012" s="35">
        <v>2.0</v>
      </c>
      <c r="S1012" s="35">
        <v>2.0</v>
      </c>
      <c r="T1012" s="35">
        <v>2.0</v>
      </c>
      <c r="U1012" s="34"/>
      <c r="V1012" s="34"/>
      <c r="W1012" s="34"/>
      <c r="X1012" s="34"/>
      <c r="Y1012" s="34"/>
      <c r="Z1012" s="34"/>
      <c r="AA1012" s="25"/>
      <c r="AB1012" s="25"/>
      <c r="AC1012" s="25"/>
      <c r="AD1012" s="25"/>
      <c r="AE1012" s="25"/>
      <c r="AF1012" s="25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25"/>
      <c r="AU1012" s="34"/>
      <c r="AV1012" s="34"/>
      <c r="AW1012" s="34"/>
    </row>
    <row r="1013" ht="15.0" customHeight="1">
      <c r="A1013" s="32" t="s">
        <v>1038</v>
      </c>
      <c r="B1013" s="25"/>
      <c r="C1013" s="25"/>
      <c r="D1013" s="25"/>
      <c r="E1013" s="25"/>
      <c r="F1013" s="25"/>
      <c r="G1013" s="35">
        <v>0.0</v>
      </c>
      <c r="H1013" s="35">
        <v>1.0</v>
      </c>
      <c r="I1013" s="25"/>
      <c r="J1013" s="25"/>
      <c r="K1013" s="25"/>
      <c r="L1013" s="35"/>
      <c r="M1013" s="35"/>
      <c r="N1013" s="25"/>
      <c r="O1013" s="25"/>
      <c r="P1013" s="25"/>
      <c r="Q1013" s="35">
        <v>2.0</v>
      </c>
      <c r="R1013" s="35">
        <v>2.0</v>
      </c>
      <c r="S1013" s="35">
        <v>2.0</v>
      </c>
      <c r="T1013" s="35">
        <v>2.0</v>
      </c>
      <c r="U1013" s="34"/>
      <c r="V1013" s="34"/>
      <c r="W1013" s="34"/>
      <c r="X1013" s="34"/>
      <c r="Y1013" s="34"/>
      <c r="Z1013" s="34"/>
      <c r="AA1013" s="25"/>
      <c r="AB1013" s="25"/>
      <c r="AC1013" s="25"/>
      <c r="AD1013" s="25"/>
      <c r="AE1013" s="25"/>
      <c r="AF1013" s="25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25"/>
      <c r="AU1013" s="34"/>
      <c r="AV1013" s="34"/>
      <c r="AW1013" s="34"/>
    </row>
    <row r="1014" ht="15.0" customHeight="1">
      <c r="A1014" s="32" t="s">
        <v>1039</v>
      </c>
      <c r="B1014" s="25"/>
      <c r="C1014" s="25"/>
      <c r="D1014" s="25"/>
      <c r="E1014" s="25"/>
      <c r="F1014" s="25"/>
      <c r="G1014" s="35">
        <v>0.0</v>
      </c>
      <c r="H1014" s="35">
        <v>1.0</v>
      </c>
      <c r="I1014" s="25"/>
      <c r="J1014" s="25"/>
      <c r="K1014" s="25"/>
      <c r="L1014" s="35"/>
      <c r="M1014" s="35"/>
      <c r="N1014" s="25"/>
      <c r="O1014" s="25"/>
      <c r="P1014" s="25"/>
      <c r="Q1014" s="35">
        <v>2.0</v>
      </c>
      <c r="R1014" s="35">
        <v>2.0</v>
      </c>
      <c r="S1014" s="35">
        <v>2.0</v>
      </c>
      <c r="T1014" s="35">
        <v>2.0</v>
      </c>
      <c r="U1014" s="34"/>
      <c r="V1014" s="34"/>
      <c r="W1014" s="34"/>
      <c r="X1014" s="34"/>
      <c r="Y1014" s="34"/>
      <c r="Z1014" s="34"/>
      <c r="AA1014" s="25"/>
      <c r="AB1014" s="25"/>
      <c r="AC1014" s="25"/>
      <c r="AD1014" s="25"/>
      <c r="AE1014" s="25"/>
      <c r="AF1014" s="25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25"/>
      <c r="AU1014" s="34"/>
      <c r="AV1014" s="34"/>
      <c r="AW1014" s="34"/>
    </row>
    <row r="1015" ht="15.0" customHeight="1">
      <c r="A1015" s="32" t="s">
        <v>1040</v>
      </c>
      <c r="B1015" s="25"/>
      <c r="C1015" s="25"/>
      <c r="D1015" s="25"/>
      <c r="E1015" s="25"/>
      <c r="F1015" s="25"/>
      <c r="G1015" s="35">
        <v>0.0</v>
      </c>
      <c r="H1015" s="35">
        <v>1.0</v>
      </c>
      <c r="I1015" s="25"/>
      <c r="J1015" s="25"/>
      <c r="K1015" s="25"/>
      <c r="L1015" s="35"/>
      <c r="M1015" s="35"/>
      <c r="N1015" s="25"/>
      <c r="O1015" s="25"/>
      <c r="P1015" s="25"/>
      <c r="Q1015" s="35">
        <v>2.0</v>
      </c>
      <c r="R1015" s="35">
        <v>2.0</v>
      </c>
      <c r="S1015" s="35">
        <v>2.0</v>
      </c>
      <c r="T1015" s="35">
        <v>2.0</v>
      </c>
      <c r="U1015" s="34"/>
      <c r="V1015" s="34"/>
      <c r="W1015" s="34"/>
      <c r="X1015" s="34"/>
      <c r="Y1015" s="34"/>
      <c r="Z1015" s="34"/>
      <c r="AA1015" s="25"/>
      <c r="AB1015" s="25"/>
      <c r="AC1015" s="25"/>
      <c r="AD1015" s="25"/>
      <c r="AE1015" s="25"/>
      <c r="AF1015" s="25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25"/>
      <c r="AU1015" s="34"/>
      <c r="AV1015" s="34"/>
      <c r="AW1015" s="34"/>
    </row>
    <row r="1016" ht="15.0" customHeight="1">
      <c r="A1016" s="32" t="s">
        <v>1041</v>
      </c>
      <c r="B1016" s="25"/>
      <c r="C1016" s="25"/>
      <c r="D1016" s="25"/>
      <c r="E1016" s="25"/>
      <c r="F1016" s="25"/>
      <c r="G1016" s="35">
        <v>0.0</v>
      </c>
      <c r="H1016" s="35">
        <v>1.0</v>
      </c>
      <c r="I1016" s="25"/>
      <c r="J1016" s="25"/>
      <c r="K1016" s="25"/>
      <c r="L1016" s="35"/>
      <c r="M1016" s="35"/>
      <c r="N1016" s="25"/>
      <c r="O1016" s="25"/>
      <c r="P1016" s="25"/>
      <c r="Q1016" s="35">
        <v>2.0</v>
      </c>
      <c r="R1016" s="35">
        <v>2.0</v>
      </c>
      <c r="S1016" s="35">
        <v>2.0</v>
      </c>
      <c r="T1016" s="35">
        <v>2.0</v>
      </c>
      <c r="U1016" s="34"/>
      <c r="V1016" s="34"/>
      <c r="W1016" s="34"/>
      <c r="X1016" s="34"/>
      <c r="Y1016" s="34"/>
      <c r="Z1016" s="34"/>
      <c r="AA1016" s="25"/>
      <c r="AB1016" s="25"/>
      <c r="AC1016" s="25"/>
      <c r="AD1016" s="25"/>
      <c r="AE1016" s="25"/>
      <c r="AF1016" s="25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25"/>
      <c r="AU1016" s="34"/>
      <c r="AV1016" s="34"/>
      <c r="AW1016" s="34"/>
    </row>
    <row r="1017" ht="15.0" customHeight="1">
      <c r="A1017" s="32" t="s">
        <v>1042</v>
      </c>
      <c r="B1017" s="25"/>
      <c r="C1017" s="25"/>
      <c r="D1017" s="25"/>
      <c r="E1017" s="25"/>
      <c r="F1017" s="25"/>
      <c r="G1017" s="35">
        <v>0.0</v>
      </c>
      <c r="H1017" s="35">
        <v>1.0</v>
      </c>
      <c r="I1017" s="25"/>
      <c r="J1017" s="25"/>
      <c r="K1017" s="25"/>
      <c r="L1017" s="35"/>
      <c r="M1017" s="35"/>
      <c r="N1017" s="25"/>
      <c r="O1017" s="25"/>
      <c r="P1017" s="25"/>
      <c r="Q1017" s="35">
        <v>2.0</v>
      </c>
      <c r="R1017" s="35">
        <v>2.0</v>
      </c>
      <c r="S1017" s="35">
        <v>2.0</v>
      </c>
      <c r="T1017" s="35">
        <v>2.0</v>
      </c>
      <c r="U1017" s="34"/>
      <c r="V1017" s="34"/>
      <c r="W1017" s="34"/>
      <c r="X1017" s="34"/>
      <c r="Y1017" s="34"/>
      <c r="Z1017" s="34"/>
      <c r="AA1017" s="25"/>
      <c r="AB1017" s="25"/>
      <c r="AC1017" s="25"/>
      <c r="AD1017" s="25"/>
      <c r="AE1017" s="25"/>
      <c r="AF1017" s="25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25"/>
      <c r="AU1017" s="34"/>
      <c r="AV1017" s="34"/>
      <c r="AW1017" s="34"/>
    </row>
    <row r="1018" ht="15.0" customHeight="1">
      <c r="A1018" s="32" t="s">
        <v>1043</v>
      </c>
      <c r="B1018" s="25"/>
      <c r="C1018" s="25"/>
      <c r="D1018" s="25"/>
      <c r="E1018" s="25"/>
      <c r="F1018" s="25"/>
      <c r="G1018" s="35">
        <v>0.0</v>
      </c>
      <c r="H1018" s="35">
        <v>1.0</v>
      </c>
      <c r="I1018" s="25"/>
      <c r="J1018" s="25"/>
      <c r="K1018" s="25"/>
      <c r="L1018" s="35"/>
      <c r="M1018" s="35"/>
      <c r="N1018" s="25"/>
      <c r="O1018" s="25"/>
      <c r="P1018" s="25"/>
      <c r="Q1018" s="35">
        <v>2.0</v>
      </c>
      <c r="R1018" s="35">
        <v>2.0</v>
      </c>
      <c r="S1018" s="35">
        <v>2.0</v>
      </c>
      <c r="T1018" s="35">
        <v>2.0</v>
      </c>
      <c r="U1018" s="34"/>
      <c r="V1018" s="34"/>
      <c r="W1018" s="34"/>
      <c r="X1018" s="34"/>
      <c r="Y1018" s="34"/>
      <c r="Z1018" s="34"/>
      <c r="AA1018" s="25"/>
      <c r="AB1018" s="25"/>
      <c r="AC1018" s="25"/>
      <c r="AD1018" s="25"/>
      <c r="AE1018" s="25"/>
      <c r="AF1018" s="25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25"/>
      <c r="AU1018" s="34"/>
      <c r="AV1018" s="34"/>
      <c r="AW1018" s="34"/>
    </row>
    <row r="1019" ht="15.0" customHeight="1">
      <c r="A1019" s="32" t="s">
        <v>1044</v>
      </c>
      <c r="B1019" s="25"/>
      <c r="C1019" s="25"/>
      <c r="D1019" s="25"/>
      <c r="E1019" s="25"/>
      <c r="F1019" s="25"/>
      <c r="G1019" s="35">
        <v>0.0</v>
      </c>
      <c r="H1019" s="35">
        <v>1.0</v>
      </c>
      <c r="I1019" s="25"/>
      <c r="J1019" s="25"/>
      <c r="K1019" s="25"/>
      <c r="L1019" s="35"/>
      <c r="M1019" s="35"/>
      <c r="N1019" s="25"/>
      <c r="O1019" s="25"/>
      <c r="P1019" s="25"/>
      <c r="Q1019" s="35">
        <v>2.0</v>
      </c>
      <c r="R1019" s="35">
        <v>2.0</v>
      </c>
      <c r="S1019" s="35">
        <v>2.0</v>
      </c>
      <c r="T1019" s="35">
        <v>2.0</v>
      </c>
      <c r="U1019" s="34"/>
      <c r="V1019" s="34"/>
      <c r="W1019" s="34"/>
      <c r="X1019" s="34"/>
      <c r="Y1019" s="34"/>
      <c r="Z1019" s="34"/>
      <c r="AA1019" s="25"/>
      <c r="AB1019" s="25"/>
      <c r="AC1019" s="25"/>
      <c r="AD1019" s="25"/>
      <c r="AE1019" s="25"/>
      <c r="AF1019" s="25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25"/>
      <c r="AU1019" s="34"/>
      <c r="AV1019" s="34"/>
      <c r="AW1019" s="34"/>
    </row>
    <row r="1020" ht="15.0" customHeight="1">
      <c r="A1020" s="32" t="s">
        <v>1045</v>
      </c>
      <c r="B1020" s="25"/>
      <c r="C1020" s="25"/>
      <c r="D1020" s="25"/>
      <c r="E1020" s="25"/>
      <c r="F1020" s="25"/>
      <c r="G1020" s="35">
        <v>0.0</v>
      </c>
      <c r="H1020" s="35">
        <v>1.0</v>
      </c>
      <c r="I1020" s="25"/>
      <c r="J1020" s="25"/>
      <c r="K1020" s="25"/>
      <c r="L1020" s="35"/>
      <c r="M1020" s="35"/>
      <c r="N1020" s="25"/>
      <c r="O1020" s="25"/>
      <c r="P1020" s="25"/>
      <c r="Q1020" s="35">
        <v>2.0</v>
      </c>
      <c r="R1020" s="35">
        <v>2.0</v>
      </c>
      <c r="S1020" s="35">
        <v>2.0</v>
      </c>
      <c r="T1020" s="35">
        <v>2.0</v>
      </c>
      <c r="U1020" s="34"/>
      <c r="V1020" s="34"/>
      <c r="W1020" s="34"/>
      <c r="X1020" s="34"/>
      <c r="Y1020" s="34"/>
      <c r="Z1020" s="34"/>
      <c r="AA1020" s="25"/>
      <c r="AB1020" s="25"/>
      <c r="AC1020" s="25"/>
      <c r="AD1020" s="25"/>
      <c r="AE1020" s="25"/>
      <c r="AF1020" s="25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25"/>
      <c r="AU1020" s="34"/>
      <c r="AV1020" s="34"/>
      <c r="AW1020" s="34"/>
    </row>
    <row r="1021" ht="15.0" customHeight="1">
      <c r="A1021" s="32" t="s">
        <v>1046</v>
      </c>
      <c r="B1021" s="25"/>
      <c r="C1021" s="25"/>
      <c r="D1021" s="25"/>
      <c r="E1021" s="25"/>
      <c r="F1021" s="25"/>
      <c r="G1021" s="35">
        <v>0.0</v>
      </c>
      <c r="H1021" s="35">
        <v>1.0</v>
      </c>
      <c r="I1021" s="25"/>
      <c r="J1021" s="25"/>
      <c r="K1021" s="25"/>
      <c r="L1021" s="35"/>
      <c r="M1021" s="35"/>
      <c r="N1021" s="25"/>
      <c r="O1021" s="25"/>
      <c r="P1021" s="25"/>
      <c r="Q1021" s="35">
        <v>2.0</v>
      </c>
      <c r="R1021" s="35">
        <v>2.0</v>
      </c>
      <c r="S1021" s="35">
        <v>2.0</v>
      </c>
      <c r="T1021" s="35">
        <v>2.0</v>
      </c>
      <c r="U1021" s="34"/>
      <c r="V1021" s="34"/>
      <c r="W1021" s="34"/>
      <c r="X1021" s="34"/>
      <c r="Y1021" s="34"/>
      <c r="Z1021" s="34"/>
      <c r="AA1021" s="25"/>
      <c r="AB1021" s="25"/>
      <c r="AC1021" s="25"/>
      <c r="AD1021" s="25"/>
      <c r="AE1021" s="25"/>
      <c r="AF1021" s="25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25"/>
      <c r="AU1021" s="34"/>
      <c r="AV1021" s="34"/>
      <c r="AW1021" s="34"/>
    </row>
    <row r="1022" ht="15.0" customHeight="1">
      <c r="A1022" s="32" t="s">
        <v>1047</v>
      </c>
      <c r="B1022" s="25"/>
      <c r="C1022" s="25"/>
      <c r="D1022" s="25"/>
      <c r="E1022" s="25"/>
      <c r="F1022" s="25"/>
      <c r="G1022" s="35">
        <v>0.0</v>
      </c>
      <c r="H1022" s="35">
        <v>1.0</v>
      </c>
      <c r="I1022" s="25"/>
      <c r="J1022" s="25"/>
      <c r="K1022" s="25"/>
      <c r="L1022" s="35"/>
      <c r="M1022" s="35"/>
      <c r="N1022" s="25"/>
      <c r="O1022" s="25"/>
      <c r="P1022" s="25"/>
      <c r="Q1022" s="35">
        <v>2.0</v>
      </c>
      <c r="R1022" s="35">
        <v>2.0</v>
      </c>
      <c r="S1022" s="35">
        <v>2.0</v>
      </c>
      <c r="T1022" s="35">
        <v>2.0</v>
      </c>
      <c r="U1022" s="34"/>
      <c r="V1022" s="34"/>
      <c r="W1022" s="34"/>
      <c r="X1022" s="34"/>
      <c r="Y1022" s="34"/>
      <c r="Z1022" s="34"/>
      <c r="AA1022" s="25"/>
      <c r="AB1022" s="25"/>
      <c r="AC1022" s="25"/>
      <c r="AD1022" s="25"/>
      <c r="AE1022" s="25"/>
      <c r="AF1022" s="25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25"/>
      <c r="AU1022" s="34"/>
      <c r="AV1022" s="34"/>
      <c r="AW1022" s="34"/>
    </row>
    <row r="1023" ht="15.0" customHeight="1">
      <c r="A1023" s="32" t="s">
        <v>1048</v>
      </c>
      <c r="B1023" s="25"/>
      <c r="C1023" s="25"/>
      <c r="D1023" s="25"/>
      <c r="E1023" s="25"/>
      <c r="F1023" s="25"/>
      <c r="G1023" s="35">
        <v>0.0</v>
      </c>
      <c r="H1023" s="35">
        <v>1.0</v>
      </c>
      <c r="I1023" s="25"/>
      <c r="J1023" s="25"/>
      <c r="K1023" s="25"/>
      <c r="L1023" s="35"/>
      <c r="M1023" s="35"/>
      <c r="N1023" s="25"/>
      <c r="O1023" s="25"/>
      <c r="P1023" s="25"/>
      <c r="Q1023" s="35">
        <v>2.0</v>
      </c>
      <c r="R1023" s="35">
        <v>2.0</v>
      </c>
      <c r="S1023" s="35">
        <v>2.0</v>
      </c>
      <c r="T1023" s="35">
        <v>2.0</v>
      </c>
      <c r="U1023" s="34"/>
      <c r="V1023" s="34"/>
      <c r="W1023" s="34"/>
      <c r="X1023" s="34"/>
      <c r="Y1023" s="34"/>
      <c r="Z1023" s="34"/>
      <c r="AA1023" s="25"/>
      <c r="AB1023" s="25"/>
      <c r="AC1023" s="25"/>
      <c r="AD1023" s="25"/>
      <c r="AE1023" s="25"/>
      <c r="AF1023" s="25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25"/>
      <c r="AU1023" s="34"/>
      <c r="AV1023" s="34"/>
      <c r="AW1023" s="34"/>
    </row>
    <row r="1024" ht="15.0" customHeight="1">
      <c r="A1024" s="32" t="s">
        <v>1049</v>
      </c>
      <c r="B1024" s="25"/>
      <c r="C1024" s="25"/>
      <c r="D1024" s="25"/>
      <c r="E1024" s="25"/>
      <c r="F1024" s="25"/>
      <c r="G1024" s="35">
        <v>0.0</v>
      </c>
      <c r="H1024" s="35">
        <v>1.0</v>
      </c>
      <c r="I1024" s="25"/>
      <c r="J1024" s="25"/>
      <c r="K1024" s="25"/>
      <c r="L1024" s="35"/>
      <c r="M1024" s="35"/>
      <c r="N1024" s="25"/>
      <c r="O1024" s="25"/>
      <c r="P1024" s="25"/>
      <c r="Q1024" s="35">
        <v>2.0</v>
      </c>
      <c r="R1024" s="35">
        <v>2.0</v>
      </c>
      <c r="S1024" s="35">
        <v>2.0</v>
      </c>
      <c r="T1024" s="35">
        <v>2.0</v>
      </c>
      <c r="U1024" s="34"/>
      <c r="V1024" s="34"/>
      <c r="W1024" s="34"/>
      <c r="X1024" s="34"/>
      <c r="Y1024" s="34"/>
      <c r="Z1024" s="34"/>
      <c r="AA1024" s="25"/>
      <c r="AB1024" s="25"/>
      <c r="AC1024" s="25"/>
      <c r="AD1024" s="25"/>
      <c r="AE1024" s="25"/>
      <c r="AF1024" s="25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25"/>
      <c r="AU1024" s="34"/>
      <c r="AV1024" s="34"/>
      <c r="AW1024" s="34"/>
    </row>
    <row r="1025" ht="15.0" customHeight="1">
      <c r="A1025" s="32" t="s">
        <v>1050</v>
      </c>
      <c r="B1025" s="25"/>
      <c r="C1025" s="25"/>
      <c r="D1025" s="25"/>
      <c r="E1025" s="25"/>
      <c r="F1025" s="25"/>
      <c r="G1025" s="35">
        <v>0.0</v>
      </c>
      <c r="H1025" s="35">
        <v>1.0</v>
      </c>
      <c r="I1025" s="25"/>
      <c r="J1025" s="25"/>
      <c r="K1025" s="25"/>
      <c r="L1025" s="35"/>
      <c r="M1025" s="35"/>
      <c r="N1025" s="25"/>
      <c r="O1025" s="25"/>
      <c r="P1025" s="25"/>
      <c r="Q1025" s="35">
        <v>2.0</v>
      </c>
      <c r="R1025" s="35">
        <v>2.0</v>
      </c>
      <c r="S1025" s="35">
        <v>2.0</v>
      </c>
      <c r="T1025" s="35">
        <v>2.0</v>
      </c>
      <c r="U1025" s="34"/>
      <c r="V1025" s="34"/>
      <c r="W1025" s="34"/>
      <c r="X1025" s="34"/>
      <c r="Y1025" s="34"/>
      <c r="Z1025" s="34"/>
      <c r="AA1025" s="25"/>
      <c r="AB1025" s="25"/>
      <c r="AC1025" s="25"/>
      <c r="AD1025" s="25"/>
      <c r="AE1025" s="25"/>
      <c r="AF1025" s="25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25"/>
      <c r="AU1025" s="34"/>
      <c r="AV1025" s="34"/>
      <c r="AW1025" s="34"/>
    </row>
    <row r="1026" ht="15.0" customHeight="1">
      <c r="A1026" s="32" t="s">
        <v>1051</v>
      </c>
      <c r="B1026" s="25"/>
      <c r="C1026" s="25"/>
      <c r="D1026" s="25"/>
      <c r="E1026" s="25"/>
      <c r="F1026" s="25"/>
      <c r="G1026" s="35">
        <v>0.0</v>
      </c>
      <c r="H1026" s="35">
        <v>1.0</v>
      </c>
      <c r="I1026" s="25"/>
      <c r="J1026" s="25"/>
      <c r="K1026" s="25"/>
      <c r="L1026" s="35"/>
      <c r="M1026" s="35"/>
      <c r="N1026" s="25"/>
      <c r="O1026" s="25"/>
      <c r="P1026" s="25"/>
      <c r="Q1026" s="35">
        <v>2.0</v>
      </c>
      <c r="R1026" s="35">
        <v>2.0</v>
      </c>
      <c r="S1026" s="35">
        <v>2.0</v>
      </c>
      <c r="T1026" s="35">
        <v>2.0</v>
      </c>
      <c r="U1026" s="34"/>
      <c r="V1026" s="34"/>
      <c r="W1026" s="34"/>
      <c r="X1026" s="34"/>
      <c r="Y1026" s="34"/>
      <c r="Z1026" s="34"/>
      <c r="AA1026" s="25"/>
      <c r="AB1026" s="25"/>
      <c r="AC1026" s="25"/>
      <c r="AD1026" s="25"/>
      <c r="AE1026" s="25"/>
      <c r="AF1026" s="25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25"/>
      <c r="AU1026" s="34"/>
      <c r="AV1026" s="34"/>
      <c r="AW1026" s="34"/>
    </row>
    <row r="1027" ht="15.0" customHeight="1">
      <c r="A1027" s="32" t="s">
        <v>1052</v>
      </c>
      <c r="B1027" s="25"/>
      <c r="C1027" s="25"/>
      <c r="D1027" s="25"/>
      <c r="E1027" s="25"/>
      <c r="F1027" s="25"/>
      <c r="G1027" s="35">
        <v>0.0</v>
      </c>
      <c r="H1027" s="35">
        <v>1.0</v>
      </c>
      <c r="I1027" s="25"/>
      <c r="J1027" s="25"/>
      <c r="K1027" s="25"/>
      <c r="L1027" s="35"/>
      <c r="M1027" s="35"/>
      <c r="N1027" s="25"/>
      <c r="O1027" s="25"/>
      <c r="P1027" s="25"/>
      <c r="Q1027" s="35">
        <v>2.0</v>
      </c>
      <c r="R1027" s="35">
        <v>2.0</v>
      </c>
      <c r="S1027" s="35">
        <v>2.0</v>
      </c>
      <c r="T1027" s="35">
        <v>2.0</v>
      </c>
      <c r="U1027" s="34"/>
      <c r="V1027" s="34"/>
      <c r="W1027" s="34"/>
      <c r="X1027" s="34"/>
      <c r="Y1027" s="34"/>
      <c r="Z1027" s="34"/>
      <c r="AA1027" s="25"/>
      <c r="AB1027" s="25"/>
      <c r="AC1027" s="25"/>
      <c r="AD1027" s="25"/>
      <c r="AE1027" s="25"/>
      <c r="AF1027" s="25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25"/>
      <c r="AU1027" s="34"/>
      <c r="AV1027" s="34"/>
      <c r="AW1027" s="34"/>
    </row>
    <row r="1028" ht="15.0" customHeight="1">
      <c r="A1028" s="32" t="s">
        <v>1053</v>
      </c>
      <c r="B1028" s="25"/>
      <c r="C1028" s="25"/>
      <c r="D1028" s="25"/>
      <c r="E1028" s="25"/>
      <c r="F1028" s="25"/>
      <c r="G1028" s="35">
        <v>0.0</v>
      </c>
      <c r="H1028" s="35">
        <v>1.0</v>
      </c>
      <c r="I1028" s="25"/>
      <c r="J1028" s="25"/>
      <c r="K1028" s="25"/>
      <c r="L1028" s="35"/>
      <c r="M1028" s="35"/>
      <c r="N1028" s="25"/>
      <c r="O1028" s="25"/>
      <c r="P1028" s="25"/>
      <c r="Q1028" s="35">
        <v>2.0</v>
      </c>
      <c r="R1028" s="35">
        <v>2.0</v>
      </c>
      <c r="S1028" s="35">
        <v>2.0</v>
      </c>
      <c r="T1028" s="35">
        <v>2.0</v>
      </c>
      <c r="U1028" s="34"/>
      <c r="V1028" s="34"/>
      <c r="W1028" s="34"/>
      <c r="X1028" s="34"/>
      <c r="Y1028" s="34"/>
      <c r="Z1028" s="34"/>
      <c r="AA1028" s="25"/>
      <c r="AB1028" s="25"/>
      <c r="AC1028" s="25"/>
      <c r="AD1028" s="25"/>
      <c r="AE1028" s="25"/>
      <c r="AF1028" s="25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25"/>
      <c r="AU1028" s="34"/>
      <c r="AV1028" s="34"/>
      <c r="AW1028" s="34"/>
    </row>
    <row r="1029" ht="15.0" customHeight="1">
      <c r="A1029" s="32" t="s">
        <v>1054</v>
      </c>
      <c r="B1029" s="25"/>
      <c r="C1029" s="25"/>
      <c r="D1029" s="25"/>
      <c r="E1029" s="25"/>
      <c r="F1029" s="25"/>
      <c r="G1029" s="35">
        <v>0.0</v>
      </c>
      <c r="H1029" s="35">
        <v>1.0</v>
      </c>
      <c r="I1029" s="25"/>
      <c r="J1029" s="25"/>
      <c r="K1029" s="25"/>
      <c r="L1029" s="35"/>
      <c r="M1029" s="35"/>
      <c r="N1029" s="25"/>
      <c r="O1029" s="25"/>
      <c r="P1029" s="25"/>
      <c r="Q1029" s="35">
        <v>2.0</v>
      </c>
      <c r="R1029" s="35">
        <v>2.0</v>
      </c>
      <c r="S1029" s="35">
        <v>2.0</v>
      </c>
      <c r="T1029" s="35">
        <v>2.0</v>
      </c>
      <c r="U1029" s="34"/>
      <c r="V1029" s="34"/>
      <c r="W1029" s="34"/>
      <c r="X1029" s="34"/>
      <c r="Y1029" s="34"/>
      <c r="Z1029" s="34"/>
      <c r="AA1029" s="25"/>
      <c r="AB1029" s="25"/>
      <c r="AC1029" s="25"/>
      <c r="AD1029" s="25"/>
      <c r="AE1029" s="25"/>
      <c r="AF1029" s="25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25"/>
      <c r="AU1029" s="34"/>
      <c r="AV1029" s="34"/>
      <c r="AW1029" s="34"/>
    </row>
    <row r="1030" ht="15.0" customHeight="1">
      <c r="A1030" s="32" t="s">
        <v>1055</v>
      </c>
      <c r="B1030" s="25"/>
      <c r="C1030" s="25"/>
      <c r="D1030" s="25"/>
      <c r="E1030" s="25"/>
      <c r="F1030" s="25"/>
      <c r="G1030" s="35">
        <v>0.0</v>
      </c>
      <c r="H1030" s="35">
        <v>1.0</v>
      </c>
      <c r="I1030" s="25"/>
      <c r="J1030" s="25"/>
      <c r="K1030" s="25"/>
      <c r="L1030" s="35"/>
      <c r="M1030" s="35"/>
      <c r="N1030" s="25"/>
      <c r="O1030" s="25"/>
      <c r="P1030" s="25"/>
      <c r="Q1030" s="35">
        <v>2.0</v>
      </c>
      <c r="R1030" s="35">
        <v>2.0</v>
      </c>
      <c r="S1030" s="35">
        <v>2.0</v>
      </c>
      <c r="T1030" s="35">
        <v>2.0</v>
      </c>
      <c r="U1030" s="34"/>
      <c r="V1030" s="34"/>
      <c r="W1030" s="34"/>
      <c r="X1030" s="34"/>
      <c r="Y1030" s="34"/>
      <c r="Z1030" s="34"/>
      <c r="AA1030" s="25"/>
      <c r="AB1030" s="25"/>
      <c r="AC1030" s="25"/>
      <c r="AD1030" s="25"/>
      <c r="AE1030" s="25"/>
      <c r="AF1030" s="25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25"/>
      <c r="AU1030" s="34"/>
      <c r="AV1030" s="34"/>
      <c r="AW1030" s="34"/>
    </row>
    <row r="1031" ht="15.0" customHeight="1">
      <c r="A1031" s="32" t="s">
        <v>1056</v>
      </c>
      <c r="B1031" s="25"/>
      <c r="C1031" s="25"/>
      <c r="D1031" s="25"/>
      <c r="E1031" s="25"/>
      <c r="F1031" s="25"/>
      <c r="G1031" s="35">
        <v>0.0</v>
      </c>
      <c r="H1031" s="35">
        <v>1.0</v>
      </c>
      <c r="I1031" s="25"/>
      <c r="J1031" s="25"/>
      <c r="K1031" s="25"/>
      <c r="L1031" s="35"/>
      <c r="M1031" s="35"/>
      <c r="N1031" s="25"/>
      <c r="O1031" s="25"/>
      <c r="P1031" s="25"/>
      <c r="Q1031" s="35">
        <v>2.0</v>
      </c>
      <c r="R1031" s="35">
        <v>2.0</v>
      </c>
      <c r="S1031" s="35">
        <v>2.0</v>
      </c>
      <c r="T1031" s="35">
        <v>2.0</v>
      </c>
      <c r="U1031" s="34"/>
      <c r="V1031" s="34"/>
      <c r="W1031" s="34"/>
      <c r="X1031" s="34"/>
      <c r="Y1031" s="34"/>
      <c r="Z1031" s="34"/>
      <c r="AA1031" s="25"/>
      <c r="AB1031" s="25"/>
      <c r="AC1031" s="25"/>
      <c r="AD1031" s="25"/>
      <c r="AE1031" s="25"/>
      <c r="AF1031" s="25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25"/>
      <c r="AU1031" s="34"/>
      <c r="AV1031" s="34"/>
      <c r="AW1031" s="34"/>
    </row>
    <row r="1032" ht="15.0" customHeight="1">
      <c r="A1032" s="32" t="s">
        <v>1057</v>
      </c>
      <c r="B1032" s="25"/>
      <c r="C1032" s="25"/>
      <c r="D1032" s="25"/>
      <c r="E1032" s="25"/>
      <c r="F1032" s="25"/>
      <c r="G1032" s="35">
        <v>0.0</v>
      </c>
      <c r="H1032" s="35">
        <v>1.0</v>
      </c>
      <c r="I1032" s="25"/>
      <c r="J1032" s="25"/>
      <c r="K1032" s="25"/>
      <c r="L1032" s="35"/>
      <c r="M1032" s="35"/>
      <c r="N1032" s="25"/>
      <c r="O1032" s="25"/>
      <c r="P1032" s="25"/>
      <c r="Q1032" s="35">
        <v>2.0</v>
      </c>
      <c r="R1032" s="35">
        <v>2.0</v>
      </c>
      <c r="S1032" s="35">
        <v>2.0</v>
      </c>
      <c r="T1032" s="35">
        <v>2.0</v>
      </c>
      <c r="U1032" s="34"/>
      <c r="V1032" s="34"/>
      <c r="W1032" s="34"/>
      <c r="X1032" s="34"/>
      <c r="Y1032" s="34"/>
      <c r="Z1032" s="34"/>
      <c r="AA1032" s="25"/>
      <c r="AB1032" s="25"/>
      <c r="AC1032" s="25"/>
      <c r="AD1032" s="25"/>
      <c r="AE1032" s="25"/>
      <c r="AF1032" s="25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25"/>
      <c r="AU1032" s="34"/>
      <c r="AV1032" s="34"/>
      <c r="AW1032" s="34"/>
    </row>
    <row r="1033" ht="15.0" customHeight="1">
      <c r="A1033" s="32" t="s">
        <v>1058</v>
      </c>
      <c r="B1033" s="25"/>
      <c r="C1033" s="25"/>
      <c r="D1033" s="25"/>
      <c r="E1033" s="25"/>
      <c r="F1033" s="25"/>
      <c r="G1033" s="35">
        <v>0.0</v>
      </c>
      <c r="H1033" s="35">
        <v>1.0</v>
      </c>
      <c r="I1033" s="25"/>
      <c r="J1033" s="25"/>
      <c r="K1033" s="25"/>
      <c r="L1033" s="35"/>
      <c r="M1033" s="35"/>
      <c r="N1033" s="25"/>
      <c r="O1033" s="25"/>
      <c r="P1033" s="25"/>
      <c r="Q1033" s="35">
        <v>2.0</v>
      </c>
      <c r="R1033" s="35">
        <v>2.0</v>
      </c>
      <c r="S1033" s="35">
        <v>2.0</v>
      </c>
      <c r="T1033" s="35">
        <v>2.0</v>
      </c>
      <c r="U1033" s="34"/>
      <c r="V1033" s="34"/>
      <c r="W1033" s="34"/>
      <c r="X1033" s="34"/>
      <c r="Y1033" s="34"/>
      <c r="Z1033" s="34"/>
      <c r="AA1033" s="25"/>
      <c r="AB1033" s="25"/>
      <c r="AC1033" s="25"/>
      <c r="AD1033" s="25"/>
      <c r="AE1033" s="25"/>
      <c r="AF1033" s="25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25"/>
      <c r="AU1033" s="34"/>
      <c r="AV1033" s="34"/>
      <c r="AW1033" s="34"/>
    </row>
    <row r="1034" ht="15.0" customHeight="1">
      <c r="A1034" s="32" t="s">
        <v>1059</v>
      </c>
      <c r="B1034" s="25"/>
      <c r="C1034" s="25"/>
      <c r="D1034" s="25"/>
      <c r="E1034" s="25"/>
      <c r="F1034" s="25"/>
      <c r="G1034" s="35">
        <v>0.0</v>
      </c>
      <c r="H1034" s="35">
        <v>1.0</v>
      </c>
      <c r="I1034" s="25"/>
      <c r="J1034" s="25"/>
      <c r="K1034" s="25"/>
      <c r="L1034" s="35"/>
      <c r="M1034" s="35"/>
      <c r="N1034" s="25"/>
      <c r="O1034" s="25"/>
      <c r="P1034" s="25"/>
      <c r="Q1034" s="35">
        <v>2.0</v>
      </c>
      <c r="R1034" s="35">
        <v>2.0</v>
      </c>
      <c r="S1034" s="35">
        <v>2.0</v>
      </c>
      <c r="T1034" s="35">
        <v>2.0</v>
      </c>
      <c r="U1034" s="34"/>
      <c r="V1034" s="34"/>
      <c r="W1034" s="34"/>
      <c r="X1034" s="34"/>
      <c r="Y1034" s="34"/>
      <c r="Z1034" s="34"/>
      <c r="AA1034" s="25"/>
      <c r="AB1034" s="25"/>
      <c r="AC1034" s="25"/>
      <c r="AD1034" s="25"/>
      <c r="AE1034" s="25"/>
      <c r="AF1034" s="25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25"/>
      <c r="AU1034" s="34"/>
      <c r="AV1034" s="34"/>
      <c r="AW1034" s="34"/>
    </row>
    <row r="1035" ht="15.0" customHeight="1">
      <c r="A1035" s="32" t="s">
        <v>1060</v>
      </c>
      <c r="B1035" s="25"/>
      <c r="C1035" s="25"/>
      <c r="D1035" s="25"/>
      <c r="E1035" s="25"/>
      <c r="F1035" s="25"/>
      <c r="G1035" s="35">
        <v>0.0</v>
      </c>
      <c r="H1035" s="35">
        <v>1.0</v>
      </c>
      <c r="I1035" s="25"/>
      <c r="J1035" s="25"/>
      <c r="K1035" s="25"/>
      <c r="L1035" s="35"/>
      <c r="M1035" s="35"/>
      <c r="N1035" s="25"/>
      <c r="O1035" s="25"/>
      <c r="P1035" s="25"/>
      <c r="Q1035" s="35">
        <v>2.0</v>
      </c>
      <c r="R1035" s="35">
        <v>2.0</v>
      </c>
      <c r="S1035" s="35">
        <v>2.0</v>
      </c>
      <c r="T1035" s="35">
        <v>2.0</v>
      </c>
      <c r="U1035" s="34"/>
      <c r="V1035" s="34"/>
      <c r="W1035" s="34"/>
      <c r="X1035" s="34"/>
      <c r="Y1035" s="34"/>
      <c r="Z1035" s="34"/>
      <c r="AA1035" s="25"/>
      <c r="AB1035" s="25"/>
      <c r="AC1035" s="25"/>
      <c r="AD1035" s="25"/>
      <c r="AE1035" s="25"/>
      <c r="AF1035" s="25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25"/>
      <c r="AU1035" s="34"/>
      <c r="AV1035" s="34"/>
      <c r="AW1035" s="34"/>
    </row>
    <row r="1036" ht="15.0" customHeight="1">
      <c r="A1036" s="32" t="s">
        <v>1061</v>
      </c>
      <c r="B1036" s="25"/>
      <c r="C1036" s="25"/>
      <c r="D1036" s="25"/>
      <c r="E1036" s="25"/>
      <c r="F1036" s="25"/>
      <c r="G1036" s="35">
        <v>0.0</v>
      </c>
      <c r="H1036" s="35">
        <v>1.0</v>
      </c>
      <c r="I1036" s="25"/>
      <c r="J1036" s="25"/>
      <c r="K1036" s="25"/>
      <c r="L1036" s="35"/>
      <c r="M1036" s="35"/>
      <c r="N1036" s="25"/>
      <c r="O1036" s="25"/>
      <c r="P1036" s="25"/>
      <c r="Q1036" s="35">
        <v>2.0</v>
      </c>
      <c r="R1036" s="35">
        <v>2.0</v>
      </c>
      <c r="S1036" s="35">
        <v>2.0</v>
      </c>
      <c r="T1036" s="35">
        <v>2.0</v>
      </c>
      <c r="U1036" s="34"/>
      <c r="V1036" s="34"/>
      <c r="W1036" s="34"/>
      <c r="X1036" s="34"/>
      <c r="Y1036" s="34"/>
      <c r="Z1036" s="34"/>
      <c r="AA1036" s="25"/>
      <c r="AB1036" s="25"/>
      <c r="AC1036" s="25"/>
      <c r="AD1036" s="25"/>
      <c r="AE1036" s="25"/>
      <c r="AF1036" s="25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25"/>
      <c r="AU1036" s="34"/>
      <c r="AV1036" s="34"/>
      <c r="AW1036" s="34"/>
    </row>
    <row r="1037" ht="15.0" customHeight="1">
      <c r="A1037" s="32" t="s">
        <v>1062</v>
      </c>
      <c r="B1037" s="25"/>
      <c r="C1037" s="25"/>
      <c r="D1037" s="25"/>
      <c r="E1037" s="25"/>
      <c r="F1037" s="25"/>
      <c r="G1037" s="35">
        <v>0.0</v>
      </c>
      <c r="H1037" s="35">
        <v>1.0</v>
      </c>
      <c r="I1037" s="25"/>
      <c r="J1037" s="25"/>
      <c r="K1037" s="25"/>
      <c r="L1037" s="35"/>
      <c r="M1037" s="35"/>
      <c r="N1037" s="25"/>
      <c r="O1037" s="25"/>
      <c r="P1037" s="25"/>
      <c r="Q1037" s="35">
        <v>2.0</v>
      </c>
      <c r="R1037" s="35">
        <v>2.0</v>
      </c>
      <c r="S1037" s="35">
        <v>2.0</v>
      </c>
      <c r="T1037" s="35">
        <v>2.0</v>
      </c>
      <c r="U1037" s="34"/>
      <c r="V1037" s="34"/>
      <c r="W1037" s="34"/>
      <c r="X1037" s="34"/>
      <c r="Y1037" s="34"/>
      <c r="Z1037" s="34"/>
      <c r="AA1037" s="25"/>
      <c r="AB1037" s="25"/>
      <c r="AC1037" s="25"/>
      <c r="AD1037" s="25"/>
      <c r="AE1037" s="25"/>
      <c r="AF1037" s="25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25"/>
      <c r="AU1037" s="34"/>
      <c r="AV1037" s="34"/>
      <c r="AW1037" s="34"/>
    </row>
    <row r="1038" ht="15.0" customHeight="1">
      <c r="A1038" s="32" t="s">
        <v>1063</v>
      </c>
      <c r="B1038" s="25"/>
      <c r="C1038" s="25"/>
      <c r="D1038" s="25"/>
      <c r="E1038" s="25"/>
      <c r="F1038" s="25"/>
      <c r="G1038" s="35">
        <v>0.0</v>
      </c>
      <c r="H1038" s="35">
        <v>1.0</v>
      </c>
      <c r="I1038" s="25"/>
      <c r="J1038" s="25"/>
      <c r="K1038" s="25"/>
      <c r="L1038" s="35"/>
      <c r="M1038" s="35"/>
      <c r="N1038" s="25"/>
      <c r="O1038" s="25"/>
      <c r="P1038" s="25"/>
      <c r="Q1038" s="35">
        <v>2.0</v>
      </c>
      <c r="R1038" s="35">
        <v>2.0</v>
      </c>
      <c r="S1038" s="35">
        <v>2.0</v>
      </c>
      <c r="T1038" s="35">
        <v>2.0</v>
      </c>
      <c r="U1038" s="34"/>
      <c r="V1038" s="34"/>
      <c r="W1038" s="34"/>
      <c r="X1038" s="34"/>
      <c r="Y1038" s="34"/>
      <c r="Z1038" s="34"/>
      <c r="AA1038" s="25"/>
      <c r="AB1038" s="25"/>
      <c r="AC1038" s="25"/>
      <c r="AD1038" s="25"/>
      <c r="AE1038" s="25"/>
      <c r="AF1038" s="25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25"/>
      <c r="AU1038" s="34"/>
      <c r="AV1038" s="34"/>
      <c r="AW1038" s="34"/>
    </row>
    <row r="1039" ht="15.0" customHeight="1">
      <c r="A1039" s="32" t="s">
        <v>1064</v>
      </c>
      <c r="B1039" s="25"/>
      <c r="C1039" s="25"/>
      <c r="D1039" s="25"/>
      <c r="E1039" s="25"/>
      <c r="F1039" s="25"/>
      <c r="G1039" s="35">
        <v>0.0</v>
      </c>
      <c r="H1039" s="35">
        <v>1.0</v>
      </c>
      <c r="I1039" s="25"/>
      <c r="J1039" s="25"/>
      <c r="K1039" s="25"/>
      <c r="L1039" s="35"/>
      <c r="M1039" s="35"/>
      <c r="N1039" s="25"/>
      <c r="O1039" s="25"/>
      <c r="P1039" s="25"/>
      <c r="Q1039" s="35">
        <v>2.0</v>
      </c>
      <c r="R1039" s="35">
        <v>2.0</v>
      </c>
      <c r="S1039" s="35">
        <v>2.0</v>
      </c>
      <c r="T1039" s="35">
        <v>2.0</v>
      </c>
      <c r="U1039" s="34"/>
      <c r="V1039" s="34"/>
      <c r="W1039" s="34"/>
      <c r="X1039" s="34"/>
      <c r="Y1039" s="34"/>
      <c r="Z1039" s="34"/>
      <c r="AA1039" s="25"/>
      <c r="AB1039" s="25"/>
      <c r="AC1039" s="25"/>
      <c r="AD1039" s="25"/>
      <c r="AE1039" s="25"/>
      <c r="AF1039" s="25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25"/>
      <c r="AU1039" s="34"/>
      <c r="AV1039" s="34"/>
      <c r="AW1039" s="34"/>
    </row>
    <row r="1040" ht="15.0" customHeight="1">
      <c r="A1040" s="32" t="s">
        <v>1065</v>
      </c>
      <c r="B1040" s="25"/>
      <c r="C1040" s="25"/>
      <c r="D1040" s="25"/>
      <c r="E1040" s="25"/>
      <c r="F1040" s="25"/>
      <c r="G1040" s="35">
        <v>0.0</v>
      </c>
      <c r="H1040" s="35">
        <v>1.0</v>
      </c>
      <c r="I1040" s="25"/>
      <c r="J1040" s="25"/>
      <c r="K1040" s="25"/>
      <c r="L1040" s="35"/>
      <c r="M1040" s="35"/>
      <c r="N1040" s="25"/>
      <c r="O1040" s="25"/>
      <c r="P1040" s="25"/>
      <c r="Q1040" s="35">
        <v>2.0</v>
      </c>
      <c r="R1040" s="35">
        <v>2.0</v>
      </c>
      <c r="S1040" s="35">
        <v>2.0</v>
      </c>
      <c r="T1040" s="35">
        <v>2.0</v>
      </c>
      <c r="U1040" s="34"/>
      <c r="V1040" s="34"/>
      <c r="W1040" s="34"/>
      <c r="X1040" s="34"/>
      <c r="Y1040" s="34"/>
      <c r="Z1040" s="34"/>
      <c r="AA1040" s="25"/>
      <c r="AB1040" s="25"/>
      <c r="AC1040" s="25"/>
      <c r="AD1040" s="25"/>
      <c r="AE1040" s="25"/>
      <c r="AF1040" s="25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25"/>
      <c r="AU1040" s="34"/>
      <c r="AV1040" s="34"/>
      <c r="AW1040" s="34"/>
    </row>
    <row r="1041" ht="15.0" customHeight="1">
      <c r="A1041" s="32" t="s">
        <v>1066</v>
      </c>
      <c r="B1041" s="25"/>
      <c r="C1041" s="25"/>
      <c r="D1041" s="25"/>
      <c r="E1041" s="25"/>
      <c r="F1041" s="25"/>
      <c r="G1041" s="35">
        <v>0.0</v>
      </c>
      <c r="H1041" s="35">
        <v>1.0</v>
      </c>
      <c r="I1041" s="25"/>
      <c r="J1041" s="25"/>
      <c r="K1041" s="25"/>
      <c r="L1041" s="35"/>
      <c r="M1041" s="35"/>
      <c r="N1041" s="25"/>
      <c r="O1041" s="25"/>
      <c r="P1041" s="25"/>
      <c r="Q1041" s="35">
        <v>2.0</v>
      </c>
      <c r="R1041" s="35">
        <v>2.0</v>
      </c>
      <c r="S1041" s="35">
        <v>2.0</v>
      </c>
      <c r="T1041" s="35">
        <v>2.0</v>
      </c>
      <c r="U1041" s="34"/>
      <c r="V1041" s="34"/>
      <c r="W1041" s="34"/>
      <c r="X1041" s="34"/>
      <c r="Y1041" s="34"/>
      <c r="Z1041" s="34"/>
      <c r="AA1041" s="25"/>
      <c r="AB1041" s="25"/>
      <c r="AC1041" s="25"/>
      <c r="AD1041" s="25"/>
      <c r="AE1041" s="25"/>
      <c r="AF1041" s="25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25"/>
      <c r="AU1041" s="34"/>
      <c r="AV1041" s="34"/>
      <c r="AW1041" s="34"/>
    </row>
    <row r="1042" ht="15.0" customHeight="1">
      <c r="A1042" s="32" t="s">
        <v>1067</v>
      </c>
      <c r="B1042" s="25"/>
      <c r="C1042" s="25"/>
      <c r="D1042" s="25"/>
      <c r="E1042" s="25"/>
      <c r="F1042" s="25"/>
      <c r="G1042" s="35">
        <v>0.0</v>
      </c>
      <c r="H1042" s="35">
        <v>1.0</v>
      </c>
      <c r="I1042" s="25"/>
      <c r="J1042" s="25"/>
      <c r="K1042" s="25"/>
      <c r="L1042" s="35"/>
      <c r="M1042" s="35"/>
      <c r="N1042" s="25"/>
      <c r="O1042" s="25"/>
      <c r="P1042" s="25"/>
      <c r="Q1042" s="35">
        <v>2.0</v>
      </c>
      <c r="R1042" s="35">
        <v>2.0</v>
      </c>
      <c r="S1042" s="35">
        <v>2.0</v>
      </c>
      <c r="T1042" s="35">
        <v>2.0</v>
      </c>
      <c r="U1042" s="34"/>
      <c r="V1042" s="34"/>
      <c r="W1042" s="34"/>
      <c r="X1042" s="34"/>
      <c r="Y1042" s="34"/>
      <c r="Z1042" s="34"/>
      <c r="AA1042" s="25"/>
      <c r="AB1042" s="25"/>
      <c r="AC1042" s="25"/>
      <c r="AD1042" s="25"/>
      <c r="AE1042" s="25"/>
      <c r="AF1042" s="25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25"/>
      <c r="AU1042" s="34"/>
      <c r="AV1042" s="34"/>
      <c r="AW1042" s="34"/>
    </row>
    <row r="1043" ht="15.0" customHeight="1">
      <c r="A1043" s="32" t="s">
        <v>1068</v>
      </c>
      <c r="B1043" s="25"/>
      <c r="C1043" s="25"/>
      <c r="D1043" s="25"/>
      <c r="E1043" s="25"/>
      <c r="F1043" s="25"/>
      <c r="G1043" s="35">
        <v>0.0</v>
      </c>
      <c r="H1043" s="35">
        <v>1.0</v>
      </c>
      <c r="I1043" s="25"/>
      <c r="J1043" s="25"/>
      <c r="K1043" s="25"/>
      <c r="L1043" s="35"/>
      <c r="M1043" s="35"/>
      <c r="N1043" s="25"/>
      <c r="O1043" s="25"/>
      <c r="P1043" s="25"/>
      <c r="Q1043" s="35">
        <v>2.0</v>
      </c>
      <c r="R1043" s="35">
        <v>2.0</v>
      </c>
      <c r="S1043" s="35">
        <v>2.0</v>
      </c>
      <c r="T1043" s="35">
        <v>2.0</v>
      </c>
      <c r="U1043" s="34"/>
      <c r="V1043" s="34"/>
      <c r="W1043" s="34"/>
      <c r="X1043" s="34"/>
      <c r="Y1043" s="34"/>
      <c r="Z1043" s="34"/>
      <c r="AA1043" s="25"/>
      <c r="AB1043" s="25"/>
      <c r="AC1043" s="25"/>
      <c r="AD1043" s="25"/>
      <c r="AE1043" s="25"/>
      <c r="AF1043" s="25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25"/>
      <c r="AU1043" s="34"/>
      <c r="AV1043" s="34"/>
      <c r="AW1043" s="34"/>
    </row>
    <row r="1044" ht="15.0" customHeight="1">
      <c r="A1044" s="32" t="s">
        <v>1069</v>
      </c>
      <c r="B1044" s="25"/>
      <c r="C1044" s="25"/>
      <c r="D1044" s="25"/>
      <c r="E1044" s="25"/>
      <c r="F1044" s="25"/>
      <c r="G1044" s="35">
        <v>0.0</v>
      </c>
      <c r="H1044" s="35">
        <v>1.0</v>
      </c>
      <c r="I1044" s="25"/>
      <c r="J1044" s="25"/>
      <c r="K1044" s="25"/>
      <c r="L1044" s="35"/>
      <c r="M1044" s="35"/>
      <c r="N1044" s="25"/>
      <c r="O1044" s="25"/>
      <c r="P1044" s="25"/>
      <c r="Q1044" s="35">
        <v>2.0</v>
      </c>
      <c r="R1044" s="35">
        <v>2.0</v>
      </c>
      <c r="S1044" s="35">
        <v>2.0</v>
      </c>
      <c r="T1044" s="35">
        <v>2.0</v>
      </c>
      <c r="U1044" s="34"/>
      <c r="V1044" s="34"/>
      <c r="W1044" s="34"/>
      <c r="X1044" s="34"/>
      <c r="Y1044" s="34"/>
      <c r="Z1044" s="34"/>
      <c r="AA1044" s="25"/>
      <c r="AB1044" s="25"/>
      <c r="AC1044" s="25"/>
      <c r="AD1044" s="25"/>
      <c r="AE1044" s="25"/>
      <c r="AF1044" s="25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25"/>
      <c r="AU1044" s="34"/>
      <c r="AV1044" s="34"/>
      <c r="AW1044" s="34"/>
    </row>
    <row r="1045" ht="15.0" customHeight="1">
      <c r="A1045" s="32" t="s">
        <v>1070</v>
      </c>
      <c r="B1045" s="25"/>
      <c r="C1045" s="25"/>
      <c r="D1045" s="25"/>
      <c r="E1045" s="25"/>
      <c r="F1045" s="25"/>
      <c r="G1045" s="35">
        <v>0.0</v>
      </c>
      <c r="H1045" s="35">
        <v>1.0</v>
      </c>
      <c r="I1045" s="25"/>
      <c r="J1045" s="25"/>
      <c r="K1045" s="25"/>
      <c r="L1045" s="35"/>
      <c r="M1045" s="35"/>
      <c r="N1045" s="25"/>
      <c r="O1045" s="25"/>
      <c r="P1045" s="25"/>
      <c r="Q1045" s="35">
        <v>2.0</v>
      </c>
      <c r="R1045" s="35">
        <v>2.0</v>
      </c>
      <c r="S1045" s="35">
        <v>2.0</v>
      </c>
      <c r="T1045" s="35">
        <v>2.0</v>
      </c>
      <c r="U1045" s="34"/>
      <c r="V1045" s="34"/>
      <c r="W1045" s="34"/>
      <c r="X1045" s="34"/>
      <c r="Y1045" s="34"/>
      <c r="Z1045" s="34"/>
      <c r="AA1045" s="25"/>
      <c r="AB1045" s="25"/>
      <c r="AC1045" s="25"/>
      <c r="AD1045" s="25"/>
      <c r="AE1045" s="25"/>
      <c r="AF1045" s="25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25"/>
      <c r="AU1045" s="34"/>
      <c r="AV1045" s="34"/>
      <c r="AW1045" s="34"/>
    </row>
    <row r="1046" ht="15.0" customHeight="1">
      <c r="A1046" s="32" t="s">
        <v>1071</v>
      </c>
      <c r="B1046" s="25"/>
      <c r="C1046" s="25"/>
      <c r="D1046" s="25"/>
      <c r="E1046" s="25"/>
      <c r="F1046" s="25"/>
      <c r="G1046" s="35">
        <v>0.0</v>
      </c>
      <c r="H1046" s="35">
        <v>1.0</v>
      </c>
      <c r="I1046" s="25"/>
      <c r="J1046" s="25"/>
      <c r="K1046" s="25"/>
      <c r="L1046" s="35"/>
      <c r="M1046" s="35"/>
      <c r="N1046" s="25"/>
      <c r="O1046" s="25"/>
      <c r="P1046" s="25"/>
      <c r="Q1046" s="35">
        <v>2.0</v>
      </c>
      <c r="R1046" s="35">
        <v>2.0</v>
      </c>
      <c r="S1046" s="35">
        <v>2.0</v>
      </c>
      <c r="T1046" s="35">
        <v>2.0</v>
      </c>
      <c r="U1046" s="34"/>
      <c r="V1046" s="34"/>
      <c r="W1046" s="34"/>
      <c r="X1046" s="34"/>
      <c r="Y1046" s="34"/>
      <c r="Z1046" s="34"/>
      <c r="AA1046" s="25"/>
      <c r="AB1046" s="25"/>
      <c r="AC1046" s="25"/>
      <c r="AD1046" s="25"/>
      <c r="AE1046" s="25"/>
      <c r="AF1046" s="25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25"/>
      <c r="AU1046" s="34"/>
      <c r="AV1046" s="34"/>
      <c r="AW1046" s="34"/>
    </row>
    <row r="1047" ht="15.0" customHeight="1">
      <c r="A1047" s="32" t="s">
        <v>1072</v>
      </c>
      <c r="B1047" s="25"/>
      <c r="C1047" s="25"/>
      <c r="D1047" s="25"/>
      <c r="E1047" s="25"/>
      <c r="F1047" s="25"/>
      <c r="G1047" s="35">
        <v>0.0</v>
      </c>
      <c r="H1047" s="35">
        <v>1.0</v>
      </c>
      <c r="I1047" s="25"/>
      <c r="J1047" s="25"/>
      <c r="K1047" s="25"/>
      <c r="L1047" s="35"/>
      <c r="M1047" s="35"/>
      <c r="N1047" s="25"/>
      <c r="O1047" s="25"/>
      <c r="P1047" s="25"/>
      <c r="Q1047" s="35">
        <v>2.0</v>
      </c>
      <c r="R1047" s="35">
        <v>2.0</v>
      </c>
      <c r="S1047" s="35">
        <v>2.0</v>
      </c>
      <c r="T1047" s="35">
        <v>2.0</v>
      </c>
      <c r="U1047" s="34"/>
      <c r="V1047" s="34"/>
      <c r="W1047" s="34"/>
      <c r="X1047" s="34"/>
      <c r="Y1047" s="34"/>
      <c r="Z1047" s="34"/>
      <c r="AA1047" s="25"/>
      <c r="AB1047" s="25"/>
      <c r="AC1047" s="25"/>
      <c r="AD1047" s="25"/>
      <c r="AE1047" s="25"/>
      <c r="AF1047" s="25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25"/>
      <c r="AU1047" s="34"/>
      <c r="AV1047" s="34"/>
      <c r="AW1047" s="34"/>
    </row>
    <row r="1048" ht="15.0" customHeight="1">
      <c r="A1048" s="32" t="s">
        <v>1073</v>
      </c>
      <c r="B1048" s="25"/>
      <c r="C1048" s="25"/>
      <c r="D1048" s="25"/>
      <c r="E1048" s="25"/>
      <c r="F1048" s="25"/>
      <c r="G1048" s="35">
        <v>0.0</v>
      </c>
      <c r="H1048" s="35">
        <v>1.0</v>
      </c>
      <c r="I1048" s="25"/>
      <c r="J1048" s="25"/>
      <c r="K1048" s="25"/>
      <c r="L1048" s="35"/>
      <c r="M1048" s="35"/>
      <c r="N1048" s="25"/>
      <c r="O1048" s="25"/>
      <c r="P1048" s="25"/>
      <c r="Q1048" s="35">
        <v>2.0</v>
      </c>
      <c r="R1048" s="35">
        <v>2.0</v>
      </c>
      <c r="S1048" s="35">
        <v>2.0</v>
      </c>
      <c r="T1048" s="35">
        <v>2.0</v>
      </c>
      <c r="U1048" s="34"/>
      <c r="V1048" s="34"/>
      <c r="W1048" s="34"/>
      <c r="X1048" s="34"/>
      <c r="Y1048" s="34"/>
      <c r="Z1048" s="34"/>
      <c r="AA1048" s="25"/>
      <c r="AB1048" s="25"/>
      <c r="AC1048" s="25"/>
      <c r="AD1048" s="25"/>
      <c r="AE1048" s="25"/>
      <c r="AF1048" s="25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25"/>
      <c r="AU1048" s="34"/>
      <c r="AV1048" s="34"/>
      <c r="AW1048" s="34"/>
    </row>
    <row r="1049" ht="15.0" customHeight="1">
      <c r="A1049" s="32" t="s">
        <v>1074</v>
      </c>
      <c r="B1049" s="25"/>
      <c r="C1049" s="25"/>
      <c r="D1049" s="25"/>
      <c r="E1049" s="25"/>
      <c r="F1049" s="25"/>
      <c r="G1049" s="35">
        <v>0.0</v>
      </c>
      <c r="H1049" s="35">
        <v>1.0</v>
      </c>
      <c r="I1049" s="25"/>
      <c r="J1049" s="25"/>
      <c r="K1049" s="25"/>
      <c r="L1049" s="35"/>
      <c r="M1049" s="35"/>
      <c r="N1049" s="25"/>
      <c r="O1049" s="25"/>
      <c r="P1049" s="25"/>
      <c r="Q1049" s="35">
        <v>2.0</v>
      </c>
      <c r="R1049" s="35">
        <v>2.0</v>
      </c>
      <c r="S1049" s="35">
        <v>2.0</v>
      </c>
      <c r="T1049" s="35">
        <v>2.0</v>
      </c>
      <c r="U1049" s="34"/>
      <c r="V1049" s="34"/>
      <c r="W1049" s="34"/>
      <c r="X1049" s="34"/>
      <c r="Y1049" s="34"/>
      <c r="Z1049" s="34"/>
      <c r="AA1049" s="25"/>
      <c r="AB1049" s="25"/>
      <c r="AC1049" s="25"/>
      <c r="AD1049" s="25"/>
      <c r="AE1049" s="25"/>
      <c r="AF1049" s="25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25"/>
      <c r="AU1049" s="34"/>
      <c r="AV1049" s="34"/>
      <c r="AW1049" s="34"/>
    </row>
    <row r="1050" ht="15.0" customHeight="1">
      <c r="A1050" s="32" t="s">
        <v>1075</v>
      </c>
      <c r="B1050" s="25"/>
      <c r="C1050" s="25"/>
      <c r="D1050" s="25"/>
      <c r="E1050" s="25"/>
      <c r="F1050" s="25"/>
      <c r="G1050" s="35">
        <v>0.0</v>
      </c>
      <c r="H1050" s="35">
        <v>1.0</v>
      </c>
      <c r="I1050" s="25"/>
      <c r="J1050" s="25"/>
      <c r="K1050" s="25"/>
      <c r="L1050" s="35"/>
      <c r="M1050" s="35"/>
      <c r="N1050" s="25"/>
      <c r="O1050" s="25"/>
      <c r="P1050" s="25"/>
      <c r="Q1050" s="35">
        <v>2.0</v>
      </c>
      <c r="R1050" s="35">
        <v>2.0</v>
      </c>
      <c r="S1050" s="35">
        <v>2.0</v>
      </c>
      <c r="T1050" s="35">
        <v>2.0</v>
      </c>
      <c r="U1050" s="34"/>
      <c r="V1050" s="34"/>
      <c r="W1050" s="34"/>
      <c r="X1050" s="34"/>
      <c r="Y1050" s="34"/>
      <c r="Z1050" s="34"/>
      <c r="AA1050" s="25"/>
      <c r="AB1050" s="25"/>
      <c r="AC1050" s="25"/>
      <c r="AD1050" s="25"/>
      <c r="AE1050" s="25"/>
      <c r="AF1050" s="25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25"/>
      <c r="AU1050" s="34"/>
      <c r="AV1050" s="34"/>
      <c r="AW1050" s="34"/>
    </row>
    <row r="1051" ht="15.0" customHeight="1">
      <c r="A1051" s="32" t="s">
        <v>1076</v>
      </c>
      <c r="B1051" s="25"/>
      <c r="C1051" s="25"/>
      <c r="D1051" s="25"/>
      <c r="E1051" s="25"/>
      <c r="F1051" s="25"/>
      <c r="G1051" s="35">
        <v>0.0</v>
      </c>
      <c r="H1051" s="35">
        <v>1.0</v>
      </c>
      <c r="I1051" s="25"/>
      <c r="J1051" s="25"/>
      <c r="K1051" s="25"/>
      <c r="L1051" s="35"/>
      <c r="M1051" s="35"/>
      <c r="N1051" s="25"/>
      <c r="O1051" s="25"/>
      <c r="P1051" s="25"/>
      <c r="Q1051" s="35">
        <v>2.0</v>
      </c>
      <c r="R1051" s="35">
        <v>2.0</v>
      </c>
      <c r="S1051" s="35">
        <v>2.0</v>
      </c>
      <c r="T1051" s="35">
        <v>2.0</v>
      </c>
      <c r="U1051" s="34"/>
      <c r="V1051" s="34"/>
      <c r="W1051" s="34"/>
      <c r="X1051" s="34"/>
      <c r="Y1051" s="34"/>
      <c r="Z1051" s="34"/>
      <c r="AA1051" s="25"/>
      <c r="AB1051" s="25"/>
      <c r="AC1051" s="25"/>
      <c r="AD1051" s="25"/>
      <c r="AE1051" s="25"/>
      <c r="AF1051" s="25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25"/>
      <c r="AU1051" s="34"/>
      <c r="AV1051" s="34"/>
      <c r="AW1051" s="34"/>
    </row>
    <row r="1052" ht="15.0" customHeight="1">
      <c r="A1052" s="32" t="s">
        <v>1077</v>
      </c>
      <c r="B1052" s="25"/>
      <c r="C1052" s="25"/>
      <c r="D1052" s="25"/>
      <c r="E1052" s="25"/>
      <c r="F1052" s="25"/>
      <c r="G1052" s="35">
        <v>0.0</v>
      </c>
      <c r="H1052" s="35">
        <v>1.0</v>
      </c>
      <c r="I1052" s="25"/>
      <c r="J1052" s="25"/>
      <c r="K1052" s="25"/>
      <c r="L1052" s="35"/>
      <c r="M1052" s="35"/>
      <c r="N1052" s="25"/>
      <c r="O1052" s="25"/>
      <c r="P1052" s="25"/>
      <c r="Q1052" s="35">
        <v>2.0</v>
      </c>
      <c r="R1052" s="35">
        <v>2.0</v>
      </c>
      <c r="S1052" s="35">
        <v>2.0</v>
      </c>
      <c r="T1052" s="35">
        <v>2.0</v>
      </c>
      <c r="U1052" s="34"/>
      <c r="V1052" s="34"/>
      <c r="W1052" s="34"/>
      <c r="X1052" s="34"/>
      <c r="Y1052" s="34"/>
      <c r="Z1052" s="34"/>
      <c r="AA1052" s="25"/>
      <c r="AB1052" s="25"/>
      <c r="AC1052" s="25"/>
      <c r="AD1052" s="25"/>
      <c r="AE1052" s="25"/>
      <c r="AF1052" s="25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25"/>
      <c r="AU1052" s="34"/>
      <c r="AV1052" s="34"/>
      <c r="AW1052" s="34"/>
    </row>
    <row r="1053" ht="15.0" customHeight="1">
      <c r="A1053" s="32" t="s">
        <v>1078</v>
      </c>
      <c r="B1053" s="25"/>
      <c r="C1053" s="25"/>
      <c r="D1053" s="25"/>
      <c r="E1053" s="25"/>
      <c r="F1053" s="25"/>
      <c r="G1053" s="35">
        <v>0.0</v>
      </c>
      <c r="H1053" s="35">
        <v>1.0</v>
      </c>
      <c r="I1053" s="25"/>
      <c r="J1053" s="25"/>
      <c r="K1053" s="25"/>
      <c r="L1053" s="35"/>
      <c r="M1053" s="35"/>
      <c r="N1053" s="25"/>
      <c r="O1053" s="25"/>
      <c r="P1053" s="25"/>
      <c r="Q1053" s="35">
        <v>2.0</v>
      </c>
      <c r="R1053" s="35">
        <v>2.0</v>
      </c>
      <c r="S1053" s="35">
        <v>2.0</v>
      </c>
      <c r="T1053" s="35">
        <v>2.0</v>
      </c>
      <c r="U1053" s="34"/>
      <c r="V1053" s="34"/>
      <c r="W1053" s="34"/>
      <c r="X1053" s="34"/>
      <c r="Y1053" s="34"/>
      <c r="Z1053" s="34"/>
      <c r="AA1053" s="25"/>
      <c r="AB1053" s="25"/>
      <c r="AC1053" s="25"/>
      <c r="AD1053" s="25"/>
      <c r="AE1053" s="25"/>
      <c r="AF1053" s="25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25"/>
      <c r="AU1053" s="34"/>
      <c r="AV1053" s="34"/>
      <c r="AW1053" s="34"/>
    </row>
    <row r="1054" ht="15.0" customHeight="1">
      <c r="A1054" s="32" t="s">
        <v>1079</v>
      </c>
      <c r="B1054" s="25"/>
      <c r="C1054" s="25"/>
      <c r="D1054" s="25"/>
      <c r="E1054" s="25"/>
      <c r="F1054" s="25"/>
      <c r="G1054" s="35">
        <v>0.0</v>
      </c>
      <c r="H1054" s="35">
        <v>1.0</v>
      </c>
      <c r="I1054" s="25"/>
      <c r="J1054" s="25"/>
      <c r="K1054" s="25"/>
      <c r="L1054" s="35"/>
      <c r="M1054" s="35"/>
      <c r="N1054" s="25"/>
      <c r="O1054" s="25"/>
      <c r="P1054" s="25"/>
      <c r="Q1054" s="35">
        <v>2.0</v>
      </c>
      <c r="R1054" s="35">
        <v>2.0</v>
      </c>
      <c r="S1054" s="35">
        <v>2.0</v>
      </c>
      <c r="T1054" s="35">
        <v>2.0</v>
      </c>
      <c r="U1054" s="34"/>
      <c r="V1054" s="34"/>
      <c r="W1054" s="34"/>
      <c r="X1054" s="34"/>
      <c r="Y1054" s="34"/>
      <c r="Z1054" s="34"/>
      <c r="AA1054" s="25"/>
      <c r="AB1054" s="25"/>
      <c r="AC1054" s="25"/>
      <c r="AD1054" s="25"/>
      <c r="AE1054" s="25"/>
      <c r="AF1054" s="25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25"/>
      <c r="AU1054" s="34"/>
      <c r="AV1054" s="34"/>
      <c r="AW1054" s="34"/>
    </row>
    <row r="1055" ht="15.0" customHeight="1">
      <c r="A1055" s="32" t="s">
        <v>1080</v>
      </c>
      <c r="B1055" s="25"/>
      <c r="C1055" s="25"/>
      <c r="D1055" s="25"/>
      <c r="E1055" s="25"/>
      <c r="F1055" s="25"/>
      <c r="G1055" s="35">
        <v>0.0</v>
      </c>
      <c r="H1055" s="35">
        <v>1.0</v>
      </c>
      <c r="I1055" s="25"/>
      <c r="J1055" s="25"/>
      <c r="K1055" s="25"/>
      <c r="L1055" s="35"/>
      <c r="M1055" s="35"/>
      <c r="N1055" s="25"/>
      <c r="O1055" s="25"/>
      <c r="P1055" s="25"/>
      <c r="Q1055" s="35">
        <v>2.0</v>
      </c>
      <c r="R1055" s="35">
        <v>2.0</v>
      </c>
      <c r="S1055" s="35">
        <v>2.0</v>
      </c>
      <c r="T1055" s="35">
        <v>2.0</v>
      </c>
      <c r="U1055" s="34"/>
      <c r="V1055" s="34"/>
      <c r="W1055" s="34"/>
      <c r="X1055" s="34"/>
      <c r="Y1055" s="34"/>
      <c r="Z1055" s="34"/>
      <c r="AA1055" s="25"/>
      <c r="AB1055" s="25"/>
      <c r="AC1055" s="25"/>
      <c r="AD1055" s="25"/>
      <c r="AE1055" s="25"/>
      <c r="AF1055" s="25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25"/>
      <c r="AU1055" s="34"/>
      <c r="AV1055" s="34"/>
      <c r="AW1055" s="34"/>
    </row>
    <row r="1056" ht="15.0" customHeight="1">
      <c r="A1056" s="32" t="s">
        <v>1081</v>
      </c>
      <c r="B1056" s="25"/>
      <c r="C1056" s="25"/>
      <c r="D1056" s="25"/>
      <c r="E1056" s="25"/>
      <c r="F1056" s="25"/>
      <c r="G1056" s="35">
        <v>0.0</v>
      </c>
      <c r="H1056" s="35">
        <v>1.0</v>
      </c>
      <c r="I1056" s="25"/>
      <c r="J1056" s="25"/>
      <c r="K1056" s="25"/>
      <c r="L1056" s="35"/>
      <c r="M1056" s="35"/>
      <c r="N1056" s="25"/>
      <c r="O1056" s="25"/>
      <c r="P1056" s="25"/>
      <c r="Q1056" s="35">
        <v>2.0</v>
      </c>
      <c r="R1056" s="35">
        <v>2.0</v>
      </c>
      <c r="S1056" s="35">
        <v>2.0</v>
      </c>
      <c r="T1056" s="35">
        <v>2.0</v>
      </c>
      <c r="U1056" s="34"/>
      <c r="V1056" s="34"/>
      <c r="W1056" s="34"/>
      <c r="X1056" s="34"/>
      <c r="Y1056" s="34"/>
      <c r="Z1056" s="34"/>
      <c r="AA1056" s="25"/>
      <c r="AB1056" s="25"/>
      <c r="AC1056" s="25"/>
      <c r="AD1056" s="25"/>
      <c r="AE1056" s="25"/>
      <c r="AF1056" s="25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25"/>
      <c r="AU1056" s="34"/>
      <c r="AV1056" s="34"/>
      <c r="AW1056" s="34"/>
    </row>
    <row r="1057" ht="15.0" customHeight="1">
      <c r="A1057" s="32" t="s">
        <v>1082</v>
      </c>
      <c r="B1057" s="25"/>
      <c r="C1057" s="25"/>
      <c r="D1057" s="25"/>
      <c r="E1057" s="25"/>
      <c r="F1057" s="25"/>
      <c r="G1057" s="35">
        <v>0.0</v>
      </c>
      <c r="H1057" s="35">
        <v>1.0</v>
      </c>
      <c r="I1057" s="25"/>
      <c r="J1057" s="25"/>
      <c r="K1057" s="25"/>
      <c r="L1057" s="35"/>
      <c r="M1057" s="35"/>
      <c r="N1057" s="25"/>
      <c r="O1057" s="25"/>
      <c r="P1057" s="25"/>
      <c r="Q1057" s="35">
        <v>2.0</v>
      </c>
      <c r="R1057" s="35">
        <v>2.0</v>
      </c>
      <c r="S1057" s="35">
        <v>2.0</v>
      </c>
      <c r="T1057" s="35">
        <v>2.0</v>
      </c>
      <c r="U1057" s="34"/>
      <c r="V1057" s="34"/>
      <c r="W1057" s="34"/>
      <c r="X1057" s="34"/>
      <c r="Y1057" s="34"/>
      <c r="Z1057" s="34"/>
      <c r="AA1057" s="25"/>
      <c r="AB1057" s="25"/>
      <c r="AC1057" s="25"/>
      <c r="AD1057" s="25"/>
      <c r="AE1057" s="25"/>
      <c r="AF1057" s="25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25"/>
      <c r="AU1057" s="34"/>
      <c r="AV1057" s="34"/>
      <c r="AW1057" s="34"/>
    </row>
    <row r="1058" ht="15.0" customHeight="1">
      <c r="A1058" s="32" t="s">
        <v>1083</v>
      </c>
      <c r="B1058" s="25"/>
      <c r="C1058" s="25"/>
      <c r="D1058" s="25"/>
      <c r="E1058" s="25"/>
      <c r="F1058" s="25"/>
      <c r="G1058" s="35">
        <v>0.0</v>
      </c>
      <c r="H1058" s="35">
        <v>1.0</v>
      </c>
      <c r="I1058" s="25"/>
      <c r="J1058" s="25"/>
      <c r="K1058" s="25"/>
      <c r="L1058" s="35"/>
      <c r="M1058" s="35"/>
      <c r="N1058" s="25"/>
      <c r="O1058" s="25"/>
      <c r="P1058" s="25"/>
      <c r="Q1058" s="35">
        <v>2.0</v>
      </c>
      <c r="R1058" s="35">
        <v>2.0</v>
      </c>
      <c r="S1058" s="35">
        <v>2.0</v>
      </c>
      <c r="T1058" s="35">
        <v>2.0</v>
      </c>
      <c r="U1058" s="34"/>
      <c r="V1058" s="34"/>
      <c r="W1058" s="34"/>
      <c r="X1058" s="34"/>
      <c r="Y1058" s="34"/>
      <c r="Z1058" s="34"/>
      <c r="AA1058" s="25"/>
      <c r="AB1058" s="25"/>
      <c r="AC1058" s="25"/>
      <c r="AD1058" s="25"/>
      <c r="AE1058" s="25"/>
      <c r="AF1058" s="25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25"/>
      <c r="AU1058" s="34"/>
      <c r="AV1058" s="34"/>
      <c r="AW1058" s="34"/>
    </row>
    <row r="1059" ht="15.0" customHeight="1">
      <c r="A1059" s="32" t="s">
        <v>1084</v>
      </c>
      <c r="B1059" s="25"/>
      <c r="C1059" s="25"/>
      <c r="D1059" s="25"/>
      <c r="E1059" s="25"/>
      <c r="F1059" s="25"/>
      <c r="G1059" s="35">
        <v>0.0</v>
      </c>
      <c r="H1059" s="35">
        <v>1.0</v>
      </c>
      <c r="I1059" s="25"/>
      <c r="J1059" s="25"/>
      <c r="K1059" s="25"/>
      <c r="L1059" s="35"/>
      <c r="M1059" s="35"/>
      <c r="N1059" s="25"/>
      <c r="O1059" s="25"/>
      <c r="P1059" s="25"/>
      <c r="Q1059" s="35">
        <v>2.0</v>
      </c>
      <c r="R1059" s="35">
        <v>2.0</v>
      </c>
      <c r="S1059" s="35">
        <v>2.0</v>
      </c>
      <c r="T1059" s="35">
        <v>2.0</v>
      </c>
      <c r="U1059" s="34"/>
      <c r="V1059" s="34"/>
      <c r="W1059" s="34"/>
      <c r="X1059" s="34"/>
      <c r="Y1059" s="34"/>
      <c r="Z1059" s="34"/>
      <c r="AA1059" s="25"/>
      <c r="AB1059" s="25"/>
      <c r="AC1059" s="25"/>
      <c r="AD1059" s="25"/>
      <c r="AE1059" s="25"/>
      <c r="AF1059" s="25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25"/>
      <c r="AU1059" s="34"/>
      <c r="AV1059" s="34"/>
      <c r="AW1059" s="34"/>
    </row>
    <row r="1060" ht="15.0" customHeight="1">
      <c r="A1060" s="32" t="s">
        <v>1085</v>
      </c>
      <c r="B1060" s="25"/>
      <c r="C1060" s="25"/>
      <c r="D1060" s="25"/>
      <c r="E1060" s="25"/>
      <c r="F1060" s="25"/>
      <c r="G1060" s="35">
        <v>0.0</v>
      </c>
      <c r="H1060" s="35">
        <v>1.0</v>
      </c>
      <c r="I1060" s="25"/>
      <c r="J1060" s="25"/>
      <c r="K1060" s="25"/>
      <c r="L1060" s="35"/>
      <c r="M1060" s="35"/>
      <c r="N1060" s="25"/>
      <c r="O1060" s="25"/>
      <c r="P1060" s="25"/>
      <c r="Q1060" s="35">
        <v>2.0</v>
      </c>
      <c r="R1060" s="35">
        <v>2.0</v>
      </c>
      <c r="S1060" s="35">
        <v>2.0</v>
      </c>
      <c r="T1060" s="35">
        <v>2.0</v>
      </c>
      <c r="U1060" s="34"/>
      <c r="V1060" s="34"/>
      <c r="W1060" s="34"/>
      <c r="X1060" s="34"/>
      <c r="Y1060" s="34"/>
      <c r="Z1060" s="34"/>
      <c r="AA1060" s="25"/>
      <c r="AB1060" s="25"/>
      <c r="AC1060" s="25"/>
      <c r="AD1060" s="25"/>
      <c r="AE1060" s="25"/>
      <c r="AF1060" s="25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25"/>
      <c r="AU1060" s="34"/>
      <c r="AV1060" s="34"/>
      <c r="AW1060" s="34"/>
    </row>
    <row r="1061" ht="15.0" customHeight="1">
      <c r="A1061" s="32" t="s">
        <v>1086</v>
      </c>
      <c r="B1061" s="25"/>
      <c r="C1061" s="25"/>
      <c r="D1061" s="25"/>
      <c r="E1061" s="25"/>
      <c r="F1061" s="25"/>
      <c r="G1061" s="35">
        <v>0.0</v>
      </c>
      <c r="H1061" s="35">
        <v>1.0</v>
      </c>
      <c r="I1061" s="25"/>
      <c r="J1061" s="25"/>
      <c r="K1061" s="25"/>
      <c r="L1061" s="35"/>
      <c r="M1061" s="35"/>
      <c r="N1061" s="25"/>
      <c r="O1061" s="25"/>
      <c r="P1061" s="25"/>
      <c r="Q1061" s="35">
        <v>2.0</v>
      </c>
      <c r="R1061" s="35">
        <v>2.0</v>
      </c>
      <c r="S1061" s="35">
        <v>2.0</v>
      </c>
      <c r="T1061" s="35">
        <v>2.0</v>
      </c>
      <c r="U1061" s="34"/>
      <c r="V1061" s="34"/>
      <c r="W1061" s="34"/>
      <c r="X1061" s="34"/>
      <c r="Y1061" s="34"/>
      <c r="Z1061" s="34"/>
      <c r="AA1061" s="25"/>
      <c r="AB1061" s="25"/>
      <c r="AC1061" s="25"/>
      <c r="AD1061" s="25"/>
      <c r="AE1061" s="25"/>
      <c r="AF1061" s="25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25"/>
      <c r="AU1061" s="34"/>
      <c r="AV1061" s="34"/>
      <c r="AW1061" s="34"/>
    </row>
    <row r="1062" ht="15.0" customHeight="1">
      <c r="A1062" s="32" t="s">
        <v>1087</v>
      </c>
      <c r="B1062" s="25"/>
      <c r="C1062" s="25"/>
      <c r="D1062" s="25"/>
      <c r="E1062" s="25"/>
      <c r="F1062" s="25"/>
      <c r="G1062" s="35">
        <v>0.0</v>
      </c>
      <c r="H1062" s="35">
        <v>1.0</v>
      </c>
      <c r="I1062" s="25"/>
      <c r="J1062" s="25"/>
      <c r="K1062" s="25"/>
      <c r="L1062" s="35"/>
      <c r="M1062" s="35"/>
      <c r="N1062" s="25"/>
      <c r="O1062" s="25"/>
      <c r="P1062" s="25"/>
      <c r="Q1062" s="35">
        <v>2.0</v>
      </c>
      <c r="R1062" s="35">
        <v>2.0</v>
      </c>
      <c r="S1062" s="35">
        <v>2.0</v>
      </c>
      <c r="T1062" s="35">
        <v>2.0</v>
      </c>
      <c r="U1062" s="34"/>
      <c r="V1062" s="34"/>
      <c r="W1062" s="34"/>
      <c r="X1062" s="34"/>
      <c r="Y1062" s="34"/>
      <c r="Z1062" s="34"/>
      <c r="AA1062" s="25"/>
      <c r="AB1062" s="25"/>
      <c r="AC1062" s="25"/>
      <c r="AD1062" s="25"/>
      <c r="AE1062" s="25"/>
      <c r="AF1062" s="25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25"/>
      <c r="AU1062" s="34"/>
      <c r="AV1062" s="34"/>
      <c r="AW1062" s="34"/>
    </row>
    <row r="1063" ht="15.0" customHeight="1">
      <c r="A1063" s="32" t="s">
        <v>1088</v>
      </c>
      <c r="B1063" s="25"/>
      <c r="C1063" s="25"/>
      <c r="D1063" s="25"/>
      <c r="E1063" s="25"/>
      <c r="F1063" s="25"/>
      <c r="G1063" s="35">
        <v>0.0</v>
      </c>
      <c r="H1063" s="35">
        <v>1.0</v>
      </c>
      <c r="I1063" s="25"/>
      <c r="J1063" s="25"/>
      <c r="K1063" s="25"/>
      <c r="L1063" s="35"/>
      <c r="M1063" s="35"/>
      <c r="N1063" s="25"/>
      <c r="O1063" s="25"/>
      <c r="P1063" s="25"/>
      <c r="Q1063" s="35">
        <v>2.0</v>
      </c>
      <c r="R1063" s="35">
        <v>2.0</v>
      </c>
      <c r="S1063" s="35">
        <v>2.0</v>
      </c>
      <c r="T1063" s="35">
        <v>2.0</v>
      </c>
      <c r="U1063" s="34"/>
      <c r="V1063" s="34"/>
      <c r="W1063" s="34"/>
      <c r="X1063" s="34"/>
      <c r="Y1063" s="34"/>
      <c r="Z1063" s="34"/>
      <c r="AA1063" s="25"/>
      <c r="AB1063" s="25"/>
      <c r="AC1063" s="25"/>
      <c r="AD1063" s="25"/>
      <c r="AE1063" s="25"/>
      <c r="AF1063" s="25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25"/>
      <c r="AU1063" s="34"/>
      <c r="AV1063" s="34"/>
      <c r="AW1063" s="34"/>
    </row>
    <row r="1064" ht="15.0" customHeight="1">
      <c r="A1064" s="32" t="s">
        <v>1089</v>
      </c>
      <c r="B1064" s="25"/>
      <c r="C1064" s="25"/>
      <c r="D1064" s="25"/>
      <c r="E1064" s="25"/>
      <c r="F1064" s="25"/>
      <c r="G1064" s="35">
        <v>0.0</v>
      </c>
      <c r="H1064" s="35">
        <v>1.0</v>
      </c>
      <c r="I1064" s="25"/>
      <c r="J1064" s="25"/>
      <c r="K1064" s="25"/>
      <c r="L1064" s="35"/>
      <c r="M1064" s="35"/>
      <c r="N1064" s="25"/>
      <c r="O1064" s="25"/>
      <c r="P1064" s="25"/>
      <c r="Q1064" s="35">
        <v>2.0</v>
      </c>
      <c r="R1064" s="35">
        <v>2.0</v>
      </c>
      <c r="S1064" s="35">
        <v>2.0</v>
      </c>
      <c r="T1064" s="35">
        <v>2.0</v>
      </c>
      <c r="U1064" s="34"/>
      <c r="V1064" s="34"/>
      <c r="W1064" s="34"/>
      <c r="X1064" s="34"/>
      <c r="Y1064" s="34"/>
      <c r="Z1064" s="34"/>
      <c r="AA1064" s="25"/>
      <c r="AB1064" s="25"/>
      <c r="AC1064" s="25"/>
      <c r="AD1064" s="25"/>
      <c r="AE1064" s="25"/>
      <c r="AF1064" s="25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25"/>
      <c r="AU1064" s="34"/>
      <c r="AV1064" s="34"/>
      <c r="AW1064" s="34"/>
    </row>
    <row r="1065" ht="15.0" customHeight="1">
      <c r="A1065" s="32" t="s">
        <v>1090</v>
      </c>
      <c r="B1065" s="25"/>
      <c r="C1065" s="25"/>
      <c r="D1065" s="25"/>
      <c r="E1065" s="25"/>
      <c r="F1065" s="25"/>
      <c r="G1065" s="35">
        <v>0.0</v>
      </c>
      <c r="H1065" s="35">
        <v>1.0</v>
      </c>
      <c r="I1065" s="25"/>
      <c r="J1065" s="25"/>
      <c r="K1065" s="25"/>
      <c r="L1065" s="35"/>
      <c r="M1065" s="35"/>
      <c r="N1065" s="25"/>
      <c r="O1065" s="25"/>
      <c r="P1065" s="25"/>
      <c r="Q1065" s="35">
        <v>2.0</v>
      </c>
      <c r="R1065" s="35">
        <v>2.0</v>
      </c>
      <c r="S1065" s="35">
        <v>2.0</v>
      </c>
      <c r="T1065" s="35">
        <v>2.0</v>
      </c>
      <c r="U1065" s="34"/>
      <c r="V1065" s="34"/>
      <c r="W1065" s="34"/>
      <c r="X1065" s="34"/>
      <c r="Y1065" s="34"/>
      <c r="Z1065" s="34"/>
      <c r="AA1065" s="25"/>
      <c r="AB1065" s="25"/>
      <c r="AC1065" s="25"/>
      <c r="AD1065" s="25"/>
      <c r="AE1065" s="25"/>
      <c r="AF1065" s="25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25"/>
      <c r="AU1065" s="34"/>
      <c r="AV1065" s="34"/>
      <c r="AW1065" s="34"/>
    </row>
    <row r="1066" ht="15.0" customHeight="1">
      <c r="A1066" s="32" t="s">
        <v>1091</v>
      </c>
      <c r="B1066" s="25"/>
      <c r="C1066" s="25"/>
      <c r="D1066" s="25"/>
      <c r="E1066" s="25"/>
      <c r="F1066" s="25"/>
      <c r="G1066" s="35">
        <v>0.0</v>
      </c>
      <c r="H1066" s="35">
        <v>1.0</v>
      </c>
      <c r="I1066" s="25"/>
      <c r="J1066" s="25"/>
      <c r="K1066" s="25"/>
      <c r="L1066" s="35"/>
      <c r="M1066" s="35"/>
      <c r="N1066" s="25"/>
      <c r="O1066" s="25"/>
      <c r="P1066" s="25"/>
      <c r="Q1066" s="35">
        <v>2.0</v>
      </c>
      <c r="R1066" s="35">
        <v>2.0</v>
      </c>
      <c r="S1066" s="35">
        <v>2.0</v>
      </c>
      <c r="T1066" s="35">
        <v>2.0</v>
      </c>
      <c r="U1066" s="34"/>
      <c r="V1066" s="34"/>
      <c r="W1066" s="34"/>
      <c r="X1066" s="34"/>
      <c r="Y1066" s="34"/>
      <c r="Z1066" s="34"/>
      <c r="AA1066" s="25"/>
      <c r="AB1066" s="25"/>
      <c r="AC1066" s="25"/>
      <c r="AD1066" s="25"/>
      <c r="AE1066" s="25"/>
      <c r="AF1066" s="25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25"/>
      <c r="AU1066" s="34"/>
      <c r="AV1066" s="34"/>
      <c r="AW1066" s="34"/>
    </row>
    <row r="1067" ht="15.0" customHeight="1">
      <c r="A1067" s="32" t="s">
        <v>1092</v>
      </c>
      <c r="B1067" s="25"/>
      <c r="C1067" s="25"/>
      <c r="D1067" s="25"/>
      <c r="E1067" s="25"/>
      <c r="F1067" s="25"/>
      <c r="G1067" s="35">
        <v>0.0</v>
      </c>
      <c r="H1067" s="35">
        <v>1.0</v>
      </c>
      <c r="I1067" s="25"/>
      <c r="J1067" s="25"/>
      <c r="K1067" s="25"/>
      <c r="L1067" s="35"/>
      <c r="M1067" s="35"/>
      <c r="N1067" s="25"/>
      <c r="O1067" s="25"/>
      <c r="P1067" s="25"/>
      <c r="Q1067" s="35">
        <v>2.0</v>
      </c>
      <c r="R1067" s="35">
        <v>2.0</v>
      </c>
      <c r="S1067" s="35">
        <v>2.0</v>
      </c>
      <c r="T1067" s="35">
        <v>2.0</v>
      </c>
      <c r="U1067" s="34"/>
      <c r="V1067" s="34"/>
      <c r="W1067" s="34"/>
      <c r="X1067" s="34"/>
      <c r="Y1067" s="34"/>
      <c r="Z1067" s="34"/>
      <c r="AA1067" s="25"/>
      <c r="AB1067" s="25"/>
      <c r="AC1067" s="25"/>
      <c r="AD1067" s="25"/>
      <c r="AE1067" s="25"/>
      <c r="AF1067" s="25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25"/>
      <c r="AU1067" s="34"/>
      <c r="AV1067" s="34"/>
      <c r="AW1067" s="34"/>
    </row>
    <row r="1068" ht="15.0" customHeight="1">
      <c r="A1068" s="32" t="s">
        <v>1093</v>
      </c>
      <c r="B1068" s="25"/>
      <c r="C1068" s="25"/>
      <c r="D1068" s="25"/>
      <c r="E1068" s="25"/>
      <c r="F1068" s="25"/>
      <c r="G1068" s="35">
        <v>0.0</v>
      </c>
      <c r="H1068" s="35">
        <v>1.0</v>
      </c>
      <c r="I1068" s="25"/>
      <c r="J1068" s="25"/>
      <c r="K1068" s="25"/>
      <c r="L1068" s="35"/>
      <c r="M1068" s="35"/>
      <c r="N1068" s="25"/>
      <c r="O1068" s="25"/>
      <c r="P1068" s="25"/>
      <c r="Q1068" s="35">
        <v>2.0</v>
      </c>
      <c r="R1068" s="35">
        <v>2.0</v>
      </c>
      <c r="S1068" s="35">
        <v>2.0</v>
      </c>
      <c r="T1068" s="35">
        <v>2.0</v>
      </c>
      <c r="U1068" s="34"/>
      <c r="V1068" s="34"/>
      <c r="W1068" s="34"/>
      <c r="X1068" s="34"/>
      <c r="Y1068" s="34"/>
      <c r="Z1068" s="34"/>
      <c r="AA1068" s="25"/>
      <c r="AB1068" s="25"/>
      <c r="AC1068" s="25"/>
      <c r="AD1068" s="25"/>
      <c r="AE1068" s="25"/>
      <c r="AF1068" s="25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25"/>
      <c r="AU1068" s="34"/>
      <c r="AV1068" s="34"/>
      <c r="AW1068" s="34"/>
    </row>
    <row r="1069" ht="15.0" customHeight="1">
      <c r="A1069" s="32" t="s">
        <v>1094</v>
      </c>
      <c r="B1069" s="25"/>
      <c r="C1069" s="25"/>
      <c r="D1069" s="25"/>
      <c r="E1069" s="25"/>
      <c r="F1069" s="25"/>
      <c r="G1069" s="35">
        <v>0.0</v>
      </c>
      <c r="H1069" s="35">
        <v>1.0</v>
      </c>
      <c r="I1069" s="25"/>
      <c r="J1069" s="25"/>
      <c r="K1069" s="25"/>
      <c r="L1069" s="35"/>
      <c r="M1069" s="35"/>
      <c r="N1069" s="25"/>
      <c r="O1069" s="25"/>
      <c r="P1069" s="25"/>
      <c r="Q1069" s="35">
        <v>2.0</v>
      </c>
      <c r="R1069" s="35">
        <v>2.0</v>
      </c>
      <c r="S1069" s="35">
        <v>2.0</v>
      </c>
      <c r="T1069" s="35">
        <v>2.0</v>
      </c>
      <c r="U1069" s="34"/>
      <c r="V1069" s="34"/>
      <c r="W1069" s="34"/>
      <c r="X1069" s="34"/>
      <c r="Y1069" s="34"/>
      <c r="Z1069" s="34"/>
      <c r="AA1069" s="25"/>
      <c r="AB1069" s="25"/>
      <c r="AC1069" s="25"/>
      <c r="AD1069" s="25"/>
      <c r="AE1069" s="25"/>
      <c r="AF1069" s="25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25"/>
      <c r="AU1069" s="34"/>
      <c r="AV1069" s="34"/>
      <c r="AW1069" s="34"/>
    </row>
    <row r="1070" ht="15.0" customHeight="1">
      <c r="A1070" s="32" t="s">
        <v>1095</v>
      </c>
      <c r="B1070" s="25"/>
      <c r="C1070" s="25"/>
      <c r="D1070" s="25"/>
      <c r="E1070" s="25"/>
      <c r="F1070" s="25"/>
      <c r="G1070" s="35">
        <v>0.0</v>
      </c>
      <c r="H1070" s="35">
        <v>1.0</v>
      </c>
      <c r="I1070" s="25"/>
      <c r="J1070" s="25"/>
      <c r="K1070" s="25"/>
      <c r="L1070" s="35"/>
      <c r="M1070" s="35"/>
      <c r="N1070" s="25"/>
      <c r="O1070" s="25"/>
      <c r="P1070" s="25"/>
      <c r="Q1070" s="35">
        <v>2.0</v>
      </c>
      <c r="R1070" s="35">
        <v>2.0</v>
      </c>
      <c r="S1070" s="35">
        <v>2.0</v>
      </c>
      <c r="T1070" s="35">
        <v>2.0</v>
      </c>
      <c r="U1070" s="34"/>
      <c r="V1070" s="34"/>
      <c r="W1070" s="34"/>
      <c r="X1070" s="34"/>
      <c r="Y1070" s="34"/>
      <c r="Z1070" s="34"/>
      <c r="AA1070" s="25"/>
      <c r="AB1070" s="25"/>
      <c r="AC1070" s="25"/>
      <c r="AD1070" s="25"/>
      <c r="AE1070" s="25"/>
      <c r="AF1070" s="25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25"/>
      <c r="AU1070" s="34"/>
      <c r="AV1070" s="34"/>
      <c r="AW1070" s="34"/>
    </row>
    <row r="1071" ht="15.0" customHeight="1">
      <c r="A1071" s="32" t="s">
        <v>1096</v>
      </c>
      <c r="B1071" s="25"/>
      <c r="C1071" s="25"/>
      <c r="D1071" s="25"/>
      <c r="E1071" s="25"/>
      <c r="F1071" s="25"/>
      <c r="G1071" s="35">
        <v>0.0</v>
      </c>
      <c r="H1071" s="35">
        <v>1.0</v>
      </c>
      <c r="I1071" s="25"/>
      <c r="J1071" s="25"/>
      <c r="K1071" s="25"/>
      <c r="L1071" s="35"/>
      <c r="M1071" s="35"/>
      <c r="N1071" s="25"/>
      <c r="O1071" s="25"/>
      <c r="P1071" s="25"/>
      <c r="Q1071" s="35">
        <v>2.0</v>
      </c>
      <c r="R1071" s="35">
        <v>2.0</v>
      </c>
      <c r="S1071" s="35">
        <v>2.0</v>
      </c>
      <c r="T1071" s="35">
        <v>2.0</v>
      </c>
      <c r="U1071" s="34"/>
      <c r="V1071" s="34"/>
      <c r="W1071" s="34"/>
      <c r="X1071" s="34"/>
      <c r="Y1071" s="34"/>
      <c r="Z1071" s="34"/>
      <c r="AA1071" s="25"/>
      <c r="AB1071" s="25"/>
      <c r="AC1071" s="25"/>
      <c r="AD1071" s="25"/>
      <c r="AE1071" s="25"/>
      <c r="AF1071" s="25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25"/>
      <c r="AU1071" s="34"/>
      <c r="AV1071" s="34"/>
      <c r="AW1071" s="34"/>
    </row>
    <row r="1072" ht="15.0" customHeight="1">
      <c r="A1072" s="32" t="s">
        <v>1097</v>
      </c>
      <c r="B1072" s="25"/>
      <c r="C1072" s="25"/>
      <c r="D1072" s="25"/>
      <c r="E1072" s="25"/>
      <c r="F1072" s="25"/>
      <c r="G1072" s="35">
        <v>0.0</v>
      </c>
      <c r="H1072" s="35">
        <v>1.0</v>
      </c>
      <c r="I1072" s="25"/>
      <c r="J1072" s="25"/>
      <c r="K1072" s="25"/>
      <c r="L1072" s="35"/>
      <c r="M1072" s="35"/>
      <c r="N1072" s="25"/>
      <c r="O1072" s="25"/>
      <c r="P1072" s="25"/>
      <c r="Q1072" s="35">
        <v>2.0</v>
      </c>
      <c r="R1072" s="35">
        <v>2.0</v>
      </c>
      <c r="S1072" s="35">
        <v>2.0</v>
      </c>
      <c r="T1072" s="35">
        <v>2.0</v>
      </c>
      <c r="U1072" s="34"/>
      <c r="V1072" s="34"/>
      <c r="W1072" s="34"/>
      <c r="X1072" s="34"/>
      <c r="Y1072" s="34"/>
      <c r="Z1072" s="34"/>
      <c r="AA1072" s="25"/>
      <c r="AB1072" s="25"/>
      <c r="AC1072" s="25"/>
      <c r="AD1072" s="25"/>
      <c r="AE1072" s="25"/>
      <c r="AF1072" s="25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25"/>
      <c r="AU1072" s="34"/>
      <c r="AV1072" s="34"/>
      <c r="AW1072" s="34"/>
    </row>
    <row r="1073" ht="15.0" customHeight="1">
      <c r="A1073" s="32" t="s">
        <v>1098</v>
      </c>
      <c r="B1073" s="25"/>
      <c r="C1073" s="25"/>
      <c r="D1073" s="25"/>
      <c r="E1073" s="25"/>
      <c r="F1073" s="25"/>
      <c r="G1073" s="35">
        <v>0.0</v>
      </c>
      <c r="H1073" s="35">
        <v>1.0</v>
      </c>
      <c r="I1073" s="25"/>
      <c r="J1073" s="25"/>
      <c r="K1073" s="25"/>
      <c r="L1073" s="35"/>
      <c r="M1073" s="35"/>
      <c r="N1073" s="25"/>
      <c r="O1073" s="25"/>
      <c r="P1073" s="25"/>
      <c r="Q1073" s="35">
        <v>2.0</v>
      </c>
      <c r="R1073" s="35">
        <v>2.0</v>
      </c>
      <c r="S1073" s="35">
        <v>2.0</v>
      </c>
      <c r="T1073" s="35">
        <v>2.0</v>
      </c>
      <c r="U1073" s="34"/>
      <c r="V1073" s="34"/>
      <c r="W1073" s="34"/>
      <c r="X1073" s="34"/>
      <c r="Y1073" s="34"/>
      <c r="Z1073" s="34"/>
      <c r="AA1073" s="25"/>
      <c r="AB1073" s="25"/>
      <c r="AC1073" s="25"/>
      <c r="AD1073" s="25"/>
      <c r="AE1073" s="25"/>
      <c r="AF1073" s="25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25"/>
      <c r="AU1073" s="34"/>
      <c r="AV1073" s="34"/>
      <c r="AW1073" s="34"/>
    </row>
    <row r="1074" ht="15.0" customHeight="1">
      <c r="A1074" s="32" t="s">
        <v>1099</v>
      </c>
      <c r="B1074" s="25"/>
      <c r="C1074" s="25"/>
      <c r="D1074" s="25"/>
      <c r="E1074" s="25"/>
      <c r="F1074" s="25"/>
      <c r="G1074" s="35">
        <v>0.0</v>
      </c>
      <c r="H1074" s="35">
        <v>1.0</v>
      </c>
      <c r="I1074" s="25"/>
      <c r="J1074" s="25"/>
      <c r="K1074" s="25"/>
      <c r="L1074" s="35"/>
      <c r="M1074" s="35"/>
      <c r="N1074" s="25"/>
      <c r="O1074" s="25"/>
      <c r="P1074" s="25"/>
      <c r="Q1074" s="35">
        <v>2.0</v>
      </c>
      <c r="R1074" s="35">
        <v>2.0</v>
      </c>
      <c r="S1074" s="35">
        <v>2.0</v>
      </c>
      <c r="T1074" s="35">
        <v>2.0</v>
      </c>
      <c r="U1074" s="34"/>
      <c r="V1074" s="34"/>
      <c r="W1074" s="34"/>
      <c r="X1074" s="34"/>
      <c r="Y1074" s="34"/>
      <c r="Z1074" s="34"/>
      <c r="AA1074" s="25"/>
      <c r="AB1074" s="25"/>
      <c r="AC1074" s="25"/>
      <c r="AD1074" s="25"/>
      <c r="AE1074" s="25"/>
      <c r="AF1074" s="25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25"/>
      <c r="AU1074" s="34"/>
      <c r="AV1074" s="34"/>
      <c r="AW1074" s="34"/>
    </row>
    <row r="1075" ht="15.0" customHeight="1">
      <c r="A1075" s="32" t="s">
        <v>1100</v>
      </c>
      <c r="B1075" s="25"/>
      <c r="C1075" s="25"/>
      <c r="D1075" s="25"/>
      <c r="E1075" s="25"/>
      <c r="F1075" s="25"/>
      <c r="G1075" s="35">
        <v>0.0</v>
      </c>
      <c r="H1075" s="35">
        <v>1.0</v>
      </c>
      <c r="I1075" s="25"/>
      <c r="J1075" s="25"/>
      <c r="K1075" s="25"/>
      <c r="L1075" s="35"/>
      <c r="M1075" s="35"/>
      <c r="N1075" s="25"/>
      <c r="O1075" s="25"/>
      <c r="P1075" s="25"/>
      <c r="Q1075" s="35">
        <v>2.0</v>
      </c>
      <c r="R1075" s="35">
        <v>2.0</v>
      </c>
      <c r="S1075" s="35">
        <v>2.0</v>
      </c>
      <c r="T1075" s="35">
        <v>2.0</v>
      </c>
      <c r="U1075" s="34"/>
      <c r="V1075" s="34"/>
      <c r="W1075" s="34"/>
      <c r="X1075" s="34"/>
      <c r="Y1075" s="34"/>
      <c r="Z1075" s="34"/>
      <c r="AA1075" s="25"/>
      <c r="AB1075" s="25"/>
      <c r="AC1075" s="25"/>
      <c r="AD1075" s="25"/>
      <c r="AE1075" s="25"/>
      <c r="AF1075" s="25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25"/>
      <c r="AU1075" s="34"/>
      <c r="AV1075" s="34"/>
      <c r="AW1075" s="34"/>
    </row>
    <row r="1076" ht="15.0" customHeight="1">
      <c r="A1076" s="32" t="s">
        <v>1101</v>
      </c>
      <c r="B1076" s="25"/>
      <c r="C1076" s="25"/>
      <c r="D1076" s="25"/>
      <c r="E1076" s="25"/>
      <c r="F1076" s="25"/>
      <c r="G1076" s="35">
        <v>0.0</v>
      </c>
      <c r="H1076" s="35">
        <v>1.0</v>
      </c>
      <c r="I1076" s="25"/>
      <c r="J1076" s="25"/>
      <c r="K1076" s="25"/>
      <c r="L1076" s="35"/>
      <c r="M1076" s="35"/>
      <c r="N1076" s="25"/>
      <c r="O1076" s="25"/>
      <c r="P1076" s="25"/>
      <c r="Q1076" s="35">
        <v>2.0</v>
      </c>
      <c r="R1076" s="35">
        <v>2.0</v>
      </c>
      <c r="S1076" s="35">
        <v>2.0</v>
      </c>
      <c r="T1076" s="35">
        <v>2.0</v>
      </c>
      <c r="U1076" s="34"/>
      <c r="V1076" s="34"/>
      <c r="W1076" s="34"/>
      <c r="X1076" s="34"/>
      <c r="Y1076" s="34"/>
      <c r="Z1076" s="34"/>
      <c r="AA1076" s="25"/>
      <c r="AB1076" s="25"/>
      <c r="AC1076" s="25"/>
      <c r="AD1076" s="25"/>
      <c r="AE1076" s="25"/>
      <c r="AF1076" s="25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25"/>
      <c r="AU1076" s="34"/>
      <c r="AV1076" s="34"/>
      <c r="AW1076" s="34"/>
    </row>
    <row r="1077" ht="15.0" customHeight="1">
      <c r="A1077" s="32" t="s">
        <v>1102</v>
      </c>
      <c r="B1077" s="25"/>
      <c r="C1077" s="25"/>
      <c r="D1077" s="25"/>
      <c r="E1077" s="25"/>
      <c r="F1077" s="25"/>
      <c r="G1077" s="35">
        <v>0.0</v>
      </c>
      <c r="H1077" s="35">
        <v>1.0</v>
      </c>
      <c r="I1077" s="25"/>
      <c r="J1077" s="25"/>
      <c r="K1077" s="25"/>
      <c r="L1077" s="35"/>
      <c r="M1077" s="35"/>
      <c r="N1077" s="25"/>
      <c r="O1077" s="25"/>
      <c r="P1077" s="25"/>
      <c r="Q1077" s="35">
        <v>2.0</v>
      </c>
      <c r="R1077" s="35">
        <v>2.0</v>
      </c>
      <c r="S1077" s="35">
        <v>2.0</v>
      </c>
      <c r="T1077" s="35">
        <v>2.0</v>
      </c>
      <c r="U1077" s="34"/>
      <c r="V1077" s="34"/>
      <c r="W1077" s="34"/>
      <c r="X1077" s="34"/>
      <c r="Y1077" s="34"/>
      <c r="Z1077" s="34"/>
      <c r="AA1077" s="25"/>
      <c r="AB1077" s="25"/>
      <c r="AC1077" s="25"/>
      <c r="AD1077" s="25"/>
      <c r="AE1077" s="25"/>
      <c r="AF1077" s="25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25"/>
      <c r="AU1077" s="34"/>
      <c r="AV1077" s="34"/>
      <c r="AW1077" s="34"/>
    </row>
    <row r="1078" ht="15.0" customHeight="1">
      <c r="A1078" s="32" t="s">
        <v>1103</v>
      </c>
      <c r="B1078" s="25"/>
      <c r="C1078" s="25"/>
      <c r="D1078" s="25"/>
      <c r="E1078" s="25"/>
      <c r="F1078" s="25"/>
      <c r="G1078" s="35">
        <v>0.0</v>
      </c>
      <c r="H1078" s="35">
        <v>1.0</v>
      </c>
      <c r="I1078" s="25"/>
      <c r="J1078" s="25"/>
      <c r="K1078" s="25"/>
      <c r="L1078" s="35"/>
      <c r="M1078" s="35"/>
      <c r="N1078" s="25"/>
      <c r="O1078" s="25"/>
      <c r="P1078" s="25"/>
      <c r="Q1078" s="35">
        <v>2.0</v>
      </c>
      <c r="R1078" s="35">
        <v>2.0</v>
      </c>
      <c r="S1078" s="35">
        <v>2.0</v>
      </c>
      <c r="T1078" s="35">
        <v>2.0</v>
      </c>
      <c r="U1078" s="34"/>
      <c r="V1078" s="34"/>
      <c r="W1078" s="34"/>
      <c r="X1078" s="34"/>
      <c r="Y1078" s="34"/>
      <c r="Z1078" s="34"/>
      <c r="AA1078" s="25"/>
      <c r="AB1078" s="25"/>
      <c r="AC1078" s="25"/>
      <c r="AD1078" s="25"/>
      <c r="AE1078" s="25"/>
      <c r="AF1078" s="25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25"/>
      <c r="AU1078" s="34"/>
      <c r="AV1078" s="34"/>
      <c r="AW1078" s="34"/>
    </row>
    <row r="1079" ht="15.0" customHeight="1">
      <c r="A1079" s="32" t="s">
        <v>1104</v>
      </c>
      <c r="B1079" s="25"/>
      <c r="C1079" s="25"/>
      <c r="D1079" s="25"/>
      <c r="E1079" s="25"/>
      <c r="F1079" s="25"/>
      <c r="G1079" s="35">
        <v>0.0</v>
      </c>
      <c r="H1079" s="35">
        <v>1.0</v>
      </c>
      <c r="I1079" s="25"/>
      <c r="J1079" s="25"/>
      <c r="K1079" s="25"/>
      <c r="L1079" s="35"/>
      <c r="M1079" s="35"/>
      <c r="N1079" s="25"/>
      <c r="O1079" s="25"/>
      <c r="P1079" s="25"/>
      <c r="Q1079" s="35">
        <v>2.0</v>
      </c>
      <c r="R1079" s="35">
        <v>2.0</v>
      </c>
      <c r="S1079" s="35">
        <v>2.0</v>
      </c>
      <c r="T1079" s="35">
        <v>2.0</v>
      </c>
      <c r="U1079" s="34"/>
      <c r="V1079" s="34"/>
      <c r="W1079" s="34"/>
      <c r="X1079" s="34"/>
      <c r="Y1079" s="34"/>
      <c r="Z1079" s="34"/>
      <c r="AA1079" s="25"/>
      <c r="AB1079" s="25"/>
      <c r="AC1079" s="25"/>
      <c r="AD1079" s="25"/>
      <c r="AE1079" s="25"/>
      <c r="AF1079" s="25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25"/>
      <c r="AU1079" s="34"/>
      <c r="AV1079" s="34"/>
      <c r="AW1079" s="34"/>
    </row>
    <row r="1080" ht="15.0" customHeight="1">
      <c r="A1080" s="32" t="s">
        <v>1105</v>
      </c>
      <c r="B1080" s="25"/>
      <c r="C1080" s="25"/>
      <c r="D1080" s="25"/>
      <c r="E1080" s="25"/>
      <c r="F1080" s="25"/>
      <c r="G1080" s="35">
        <v>0.0</v>
      </c>
      <c r="H1080" s="35">
        <v>1.0</v>
      </c>
      <c r="I1080" s="25"/>
      <c r="J1080" s="25"/>
      <c r="K1080" s="25"/>
      <c r="L1080" s="35"/>
      <c r="M1080" s="35"/>
      <c r="N1080" s="25"/>
      <c r="O1080" s="25"/>
      <c r="P1080" s="25"/>
      <c r="Q1080" s="35">
        <v>2.0</v>
      </c>
      <c r="R1080" s="35">
        <v>2.0</v>
      </c>
      <c r="S1080" s="35">
        <v>2.0</v>
      </c>
      <c r="T1080" s="35">
        <v>2.0</v>
      </c>
      <c r="U1080" s="34"/>
      <c r="V1080" s="34"/>
      <c r="W1080" s="34"/>
      <c r="X1080" s="34"/>
      <c r="Y1080" s="34"/>
      <c r="Z1080" s="34"/>
      <c r="AA1080" s="25"/>
      <c r="AB1080" s="25"/>
      <c r="AC1080" s="25"/>
      <c r="AD1080" s="25"/>
      <c r="AE1080" s="25"/>
      <c r="AF1080" s="25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25"/>
      <c r="AU1080" s="34"/>
      <c r="AV1080" s="34"/>
      <c r="AW1080" s="34"/>
    </row>
    <row r="1081" ht="15.0" customHeight="1">
      <c r="A1081" s="32" t="s">
        <v>1106</v>
      </c>
      <c r="B1081" s="25"/>
      <c r="C1081" s="25"/>
      <c r="D1081" s="25"/>
      <c r="E1081" s="25"/>
      <c r="F1081" s="25"/>
      <c r="G1081" s="35">
        <v>0.0</v>
      </c>
      <c r="H1081" s="35">
        <v>1.0</v>
      </c>
      <c r="I1081" s="25"/>
      <c r="J1081" s="25"/>
      <c r="K1081" s="25"/>
      <c r="L1081" s="35"/>
      <c r="M1081" s="35"/>
      <c r="N1081" s="25"/>
      <c r="O1081" s="25"/>
      <c r="P1081" s="25"/>
      <c r="Q1081" s="35">
        <v>2.0</v>
      </c>
      <c r="R1081" s="35">
        <v>2.0</v>
      </c>
      <c r="S1081" s="35">
        <v>2.0</v>
      </c>
      <c r="T1081" s="35">
        <v>2.0</v>
      </c>
      <c r="U1081" s="34"/>
      <c r="V1081" s="34"/>
      <c r="W1081" s="34"/>
      <c r="X1081" s="34"/>
      <c r="Y1081" s="34"/>
      <c r="Z1081" s="34"/>
      <c r="AA1081" s="25"/>
      <c r="AB1081" s="25"/>
      <c r="AC1081" s="25"/>
      <c r="AD1081" s="25"/>
      <c r="AE1081" s="25"/>
      <c r="AF1081" s="25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25"/>
      <c r="AU1081" s="34"/>
      <c r="AV1081" s="34"/>
      <c r="AW1081" s="34"/>
    </row>
    <row r="1082" ht="15.0" customHeight="1">
      <c r="A1082" s="32" t="s">
        <v>1107</v>
      </c>
      <c r="B1082" s="25"/>
      <c r="C1082" s="25"/>
      <c r="D1082" s="25"/>
      <c r="E1082" s="25"/>
      <c r="F1082" s="25"/>
      <c r="G1082" s="35">
        <v>0.0</v>
      </c>
      <c r="H1082" s="35">
        <v>1.0</v>
      </c>
      <c r="I1082" s="25"/>
      <c r="J1082" s="25"/>
      <c r="K1082" s="25"/>
      <c r="L1082" s="35"/>
      <c r="M1082" s="35"/>
      <c r="N1082" s="25"/>
      <c r="O1082" s="25"/>
      <c r="P1082" s="25"/>
      <c r="Q1082" s="35">
        <v>2.0</v>
      </c>
      <c r="R1082" s="35">
        <v>2.0</v>
      </c>
      <c r="S1082" s="35">
        <v>2.0</v>
      </c>
      <c r="T1082" s="35">
        <v>2.0</v>
      </c>
      <c r="U1082" s="34"/>
      <c r="V1082" s="34"/>
      <c r="W1082" s="34"/>
      <c r="X1082" s="34"/>
      <c r="Y1082" s="34"/>
      <c r="Z1082" s="34"/>
      <c r="AA1082" s="25"/>
      <c r="AB1082" s="25"/>
      <c r="AC1082" s="25"/>
      <c r="AD1082" s="25"/>
      <c r="AE1082" s="25"/>
      <c r="AF1082" s="25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25"/>
      <c r="AU1082" s="34"/>
      <c r="AV1082" s="34"/>
      <c r="AW1082" s="34"/>
    </row>
    <row r="1083" ht="15.0" customHeight="1">
      <c r="A1083" s="32" t="s">
        <v>1108</v>
      </c>
      <c r="B1083" s="25"/>
      <c r="C1083" s="25"/>
      <c r="D1083" s="25"/>
      <c r="E1083" s="25"/>
      <c r="F1083" s="25"/>
      <c r="G1083" s="35">
        <v>0.0</v>
      </c>
      <c r="H1083" s="35">
        <v>1.0</v>
      </c>
      <c r="I1083" s="25"/>
      <c r="J1083" s="25"/>
      <c r="K1083" s="25"/>
      <c r="L1083" s="35"/>
      <c r="M1083" s="35"/>
      <c r="N1083" s="25"/>
      <c r="O1083" s="25"/>
      <c r="P1083" s="25"/>
      <c r="Q1083" s="35">
        <v>2.0</v>
      </c>
      <c r="R1083" s="35">
        <v>2.0</v>
      </c>
      <c r="S1083" s="35">
        <v>2.0</v>
      </c>
      <c r="T1083" s="35">
        <v>2.0</v>
      </c>
      <c r="U1083" s="34"/>
      <c r="V1083" s="34"/>
      <c r="W1083" s="34"/>
      <c r="X1083" s="34"/>
      <c r="Y1083" s="34"/>
      <c r="Z1083" s="34"/>
      <c r="AA1083" s="25"/>
      <c r="AB1083" s="25"/>
      <c r="AC1083" s="25"/>
      <c r="AD1083" s="25"/>
      <c r="AE1083" s="25"/>
      <c r="AF1083" s="25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25"/>
      <c r="AU1083" s="34"/>
      <c r="AV1083" s="34"/>
      <c r="AW1083" s="34"/>
    </row>
    <row r="1084" ht="15.0" customHeight="1">
      <c r="A1084" s="32" t="s">
        <v>1109</v>
      </c>
      <c r="B1084" s="25"/>
      <c r="C1084" s="25"/>
      <c r="D1084" s="25"/>
      <c r="E1084" s="25"/>
      <c r="F1084" s="25"/>
      <c r="G1084" s="35">
        <v>0.0</v>
      </c>
      <c r="H1084" s="35">
        <v>1.0</v>
      </c>
      <c r="I1084" s="25"/>
      <c r="J1084" s="25"/>
      <c r="K1084" s="25"/>
      <c r="L1084" s="35"/>
      <c r="M1084" s="35"/>
      <c r="N1084" s="25"/>
      <c r="O1084" s="25"/>
      <c r="P1084" s="25"/>
      <c r="Q1084" s="35">
        <v>2.0</v>
      </c>
      <c r="R1084" s="35">
        <v>2.0</v>
      </c>
      <c r="S1084" s="35">
        <v>2.0</v>
      </c>
      <c r="T1084" s="35">
        <v>2.0</v>
      </c>
      <c r="U1084" s="34"/>
      <c r="V1084" s="34"/>
      <c r="W1084" s="34"/>
      <c r="X1084" s="34"/>
      <c r="Y1084" s="34"/>
      <c r="Z1084" s="34"/>
      <c r="AA1084" s="25"/>
      <c r="AB1084" s="25"/>
      <c r="AC1084" s="25"/>
      <c r="AD1084" s="25"/>
      <c r="AE1084" s="25"/>
      <c r="AF1084" s="25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25"/>
      <c r="AU1084" s="34"/>
      <c r="AV1084" s="34"/>
      <c r="AW1084" s="34"/>
    </row>
    <row r="1085" ht="15.0" customHeight="1">
      <c r="A1085" s="32" t="s">
        <v>1110</v>
      </c>
      <c r="B1085" s="25"/>
      <c r="C1085" s="25"/>
      <c r="D1085" s="25"/>
      <c r="E1085" s="25"/>
      <c r="F1085" s="25"/>
      <c r="G1085" s="35">
        <v>0.0</v>
      </c>
      <c r="H1085" s="35">
        <v>1.0</v>
      </c>
      <c r="I1085" s="25"/>
      <c r="J1085" s="25"/>
      <c r="K1085" s="25"/>
      <c r="L1085" s="35"/>
      <c r="M1085" s="35"/>
      <c r="N1085" s="25"/>
      <c r="O1085" s="25"/>
      <c r="P1085" s="25"/>
      <c r="Q1085" s="35">
        <v>2.0</v>
      </c>
      <c r="R1085" s="35">
        <v>2.0</v>
      </c>
      <c r="S1085" s="35">
        <v>2.0</v>
      </c>
      <c r="T1085" s="35">
        <v>2.0</v>
      </c>
      <c r="U1085" s="34"/>
      <c r="V1085" s="34"/>
      <c r="W1085" s="34"/>
      <c r="X1085" s="34"/>
      <c r="Y1085" s="34"/>
      <c r="Z1085" s="34"/>
      <c r="AA1085" s="25"/>
      <c r="AB1085" s="25"/>
      <c r="AC1085" s="25"/>
      <c r="AD1085" s="25"/>
      <c r="AE1085" s="25"/>
      <c r="AF1085" s="25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25"/>
      <c r="AU1085" s="34"/>
      <c r="AV1085" s="34"/>
      <c r="AW1085" s="34"/>
    </row>
    <row r="1086" ht="15.0" customHeight="1">
      <c r="A1086" s="32" t="s">
        <v>1111</v>
      </c>
      <c r="B1086" s="25"/>
      <c r="C1086" s="25"/>
      <c r="D1086" s="25"/>
      <c r="E1086" s="25"/>
      <c r="F1086" s="25"/>
      <c r="G1086" s="35">
        <v>0.0</v>
      </c>
      <c r="H1086" s="35">
        <v>1.0</v>
      </c>
      <c r="I1086" s="25"/>
      <c r="J1086" s="25"/>
      <c r="K1086" s="25"/>
      <c r="L1086" s="35"/>
      <c r="M1086" s="35"/>
      <c r="N1086" s="25"/>
      <c r="O1086" s="25"/>
      <c r="P1086" s="25"/>
      <c r="Q1086" s="35">
        <v>2.0</v>
      </c>
      <c r="R1086" s="35">
        <v>2.0</v>
      </c>
      <c r="S1086" s="35">
        <v>2.0</v>
      </c>
      <c r="T1086" s="35">
        <v>2.0</v>
      </c>
      <c r="U1086" s="34"/>
      <c r="V1086" s="34"/>
      <c r="W1086" s="34"/>
      <c r="X1086" s="34"/>
      <c r="Y1086" s="34"/>
      <c r="Z1086" s="34"/>
      <c r="AA1086" s="25"/>
      <c r="AB1086" s="25"/>
      <c r="AC1086" s="25"/>
      <c r="AD1086" s="25"/>
      <c r="AE1086" s="25"/>
      <c r="AF1086" s="25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25"/>
      <c r="AU1086" s="34"/>
      <c r="AV1086" s="34"/>
      <c r="AW1086" s="34"/>
    </row>
    <row r="1087" ht="15.0" customHeight="1">
      <c r="A1087" s="32" t="s">
        <v>1112</v>
      </c>
      <c r="B1087" s="25"/>
      <c r="C1087" s="25"/>
      <c r="D1087" s="25"/>
      <c r="E1087" s="25"/>
      <c r="F1087" s="25"/>
      <c r="G1087" s="35">
        <v>0.0</v>
      </c>
      <c r="H1087" s="35">
        <v>1.0</v>
      </c>
      <c r="I1087" s="25"/>
      <c r="J1087" s="25"/>
      <c r="K1087" s="25"/>
      <c r="L1087" s="35"/>
      <c r="M1087" s="35"/>
      <c r="N1087" s="25"/>
      <c r="O1087" s="25"/>
      <c r="P1087" s="25"/>
      <c r="Q1087" s="35">
        <v>2.0</v>
      </c>
      <c r="R1087" s="35">
        <v>2.0</v>
      </c>
      <c r="S1087" s="35">
        <v>2.0</v>
      </c>
      <c r="T1087" s="35">
        <v>2.0</v>
      </c>
      <c r="U1087" s="34"/>
      <c r="V1087" s="34"/>
      <c r="W1087" s="34"/>
      <c r="X1087" s="34"/>
      <c r="Y1087" s="34"/>
      <c r="Z1087" s="34"/>
      <c r="AA1087" s="25"/>
      <c r="AB1087" s="25"/>
      <c r="AC1087" s="25"/>
      <c r="AD1087" s="25"/>
      <c r="AE1087" s="25"/>
      <c r="AF1087" s="25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25"/>
      <c r="AU1087" s="34"/>
      <c r="AV1087" s="34"/>
      <c r="AW1087" s="34"/>
    </row>
    <row r="1088" ht="15.0" customHeight="1">
      <c r="A1088" s="32" t="s">
        <v>1113</v>
      </c>
      <c r="B1088" s="25"/>
      <c r="C1088" s="25"/>
      <c r="D1088" s="25"/>
      <c r="E1088" s="25"/>
      <c r="F1088" s="25"/>
      <c r="G1088" s="35">
        <v>0.0</v>
      </c>
      <c r="H1088" s="35">
        <v>1.0</v>
      </c>
      <c r="I1088" s="25"/>
      <c r="J1088" s="25"/>
      <c r="K1088" s="25"/>
      <c r="L1088" s="35"/>
      <c r="M1088" s="35"/>
      <c r="N1088" s="25"/>
      <c r="O1088" s="25"/>
      <c r="P1088" s="25"/>
      <c r="Q1088" s="35">
        <v>2.0</v>
      </c>
      <c r="R1088" s="35">
        <v>2.0</v>
      </c>
      <c r="S1088" s="35">
        <v>2.0</v>
      </c>
      <c r="T1088" s="35">
        <v>2.0</v>
      </c>
      <c r="U1088" s="34"/>
      <c r="V1088" s="34"/>
      <c r="W1088" s="34"/>
      <c r="X1088" s="34"/>
      <c r="Y1088" s="34"/>
      <c r="Z1088" s="34"/>
      <c r="AA1088" s="25"/>
      <c r="AB1088" s="25"/>
      <c r="AC1088" s="25"/>
      <c r="AD1088" s="25"/>
      <c r="AE1088" s="25"/>
      <c r="AF1088" s="25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25"/>
      <c r="AU1088" s="34"/>
      <c r="AV1088" s="34"/>
      <c r="AW1088" s="34"/>
    </row>
    <row r="1089" ht="15.0" customHeight="1">
      <c r="A1089" s="32" t="s">
        <v>1114</v>
      </c>
      <c r="B1089" s="25"/>
      <c r="C1089" s="25"/>
      <c r="D1089" s="25"/>
      <c r="E1089" s="25"/>
      <c r="F1089" s="25"/>
      <c r="G1089" s="35">
        <v>0.0</v>
      </c>
      <c r="H1089" s="35">
        <v>1.0</v>
      </c>
      <c r="I1089" s="25"/>
      <c r="J1089" s="25"/>
      <c r="K1089" s="25"/>
      <c r="L1089" s="35"/>
      <c r="M1089" s="35"/>
      <c r="N1089" s="25"/>
      <c r="O1089" s="25"/>
      <c r="P1089" s="25"/>
      <c r="Q1089" s="35">
        <v>2.0</v>
      </c>
      <c r="R1089" s="35">
        <v>2.0</v>
      </c>
      <c r="S1089" s="35">
        <v>2.0</v>
      </c>
      <c r="T1089" s="35">
        <v>2.0</v>
      </c>
      <c r="U1089" s="34"/>
      <c r="V1089" s="34"/>
      <c r="W1089" s="34"/>
      <c r="X1089" s="34"/>
      <c r="Y1089" s="34"/>
      <c r="Z1089" s="34"/>
      <c r="AA1089" s="25"/>
      <c r="AB1089" s="25"/>
      <c r="AC1089" s="25"/>
      <c r="AD1089" s="25"/>
      <c r="AE1089" s="25"/>
      <c r="AF1089" s="25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25"/>
      <c r="AU1089" s="34"/>
      <c r="AV1089" s="34"/>
      <c r="AW1089" s="34"/>
    </row>
    <row r="1090" ht="15.0" customHeight="1">
      <c r="A1090" s="32" t="s">
        <v>1115</v>
      </c>
      <c r="B1090" s="25"/>
      <c r="C1090" s="25"/>
      <c r="D1090" s="25"/>
      <c r="E1090" s="25"/>
      <c r="F1090" s="25"/>
      <c r="G1090" s="35">
        <v>0.0</v>
      </c>
      <c r="H1090" s="35">
        <v>1.0</v>
      </c>
      <c r="I1090" s="25"/>
      <c r="J1090" s="25"/>
      <c r="K1090" s="25"/>
      <c r="L1090" s="35"/>
      <c r="M1090" s="35"/>
      <c r="N1090" s="25"/>
      <c r="O1090" s="25"/>
      <c r="P1090" s="25"/>
      <c r="Q1090" s="35">
        <v>2.0</v>
      </c>
      <c r="R1090" s="35">
        <v>2.0</v>
      </c>
      <c r="S1090" s="35">
        <v>2.0</v>
      </c>
      <c r="T1090" s="35">
        <v>2.0</v>
      </c>
      <c r="U1090" s="34"/>
      <c r="V1090" s="34"/>
      <c r="W1090" s="34"/>
      <c r="X1090" s="34"/>
      <c r="Y1090" s="34"/>
      <c r="Z1090" s="34"/>
      <c r="AA1090" s="25"/>
      <c r="AB1090" s="25"/>
      <c r="AC1090" s="25"/>
      <c r="AD1090" s="25"/>
      <c r="AE1090" s="25"/>
      <c r="AF1090" s="25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25"/>
      <c r="AU1090" s="34"/>
      <c r="AV1090" s="34"/>
      <c r="AW1090" s="34"/>
    </row>
    <row r="1091" ht="15.0" customHeight="1">
      <c r="A1091" s="32" t="s">
        <v>1116</v>
      </c>
      <c r="B1091" s="25"/>
      <c r="C1091" s="25"/>
      <c r="D1091" s="25"/>
      <c r="E1091" s="25"/>
      <c r="F1091" s="25"/>
      <c r="G1091" s="35">
        <v>0.0</v>
      </c>
      <c r="H1091" s="35">
        <v>1.0</v>
      </c>
      <c r="I1091" s="25"/>
      <c r="J1091" s="25"/>
      <c r="K1091" s="25"/>
      <c r="L1091" s="35"/>
      <c r="M1091" s="35"/>
      <c r="N1091" s="25"/>
      <c r="O1091" s="25"/>
      <c r="P1091" s="25"/>
      <c r="Q1091" s="35">
        <v>2.0</v>
      </c>
      <c r="R1091" s="35">
        <v>2.0</v>
      </c>
      <c r="S1091" s="35">
        <v>2.0</v>
      </c>
      <c r="T1091" s="35">
        <v>2.0</v>
      </c>
      <c r="U1091" s="34"/>
      <c r="V1091" s="34"/>
      <c r="W1091" s="34"/>
      <c r="X1091" s="34"/>
      <c r="Y1091" s="34"/>
      <c r="Z1091" s="34"/>
      <c r="AA1091" s="25"/>
      <c r="AB1091" s="25"/>
      <c r="AC1091" s="25"/>
      <c r="AD1091" s="25"/>
      <c r="AE1091" s="25"/>
      <c r="AF1091" s="25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25"/>
      <c r="AU1091" s="34"/>
      <c r="AV1091" s="34"/>
      <c r="AW1091" s="34"/>
    </row>
    <row r="1092" ht="15.0" customHeight="1">
      <c r="A1092" s="32" t="s">
        <v>1117</v>
      </c>
      <c r="B1092" s="25"/>
      <c r="C1092" s="25"/>
      <c r="D1092" s="25"/>
      <c r="E1092" s="25"/>
      <c r="F1092" s="25"/>
      <c r="G1092" s="35">
        <v>0.0</v>
      </c>
      <c r="H1092" s="35">
        <v>1.0</v>
      </c>
      <c r="I1092" s="25"/>
      <c r="J1092" s="25"/>
      <c r="K1092" s="25"/>
      <c r="L1092" s="35"/>
      <c r="M1092" s="35"/>
      <c r="N1092" s="25"/>
      <c r="O1092" s="25"/>
      <c r="P1092" s="25"/>
      <c r="Q1092" s="35">
        <v>2.0</v>
      </c>
      <c r="R1092" s="35">
        <v>2.0</v>
      </c>
      <c r="S1092" s="35">
        <v>2.0</v>
      </c>
      <c r="T1092" s="35">
        <v>2.0</v>
      </c>
      <c r="U1092" s="34"/>
      <c r="V1092" s="34"/>
      <c r="W1092" s="34"/>
      <c r="X1092" s="34"/>
      <c r="Y1092" s="34"/>
      <c r="Z1092" s="34"/>
      <c r="AA1092" s="25"/>
      <c r="AB1092" s="25"/>
      <c r="AC1092" s="25"/>
      <c r="AD1092" s="25"/>
      <c r="AE1092" s="25"/>
      <c r="AF1092" s="25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25"/>
      <c r="AU1092" s="34"/>
      <c r="AV1092" s="34"/>
      <c r="AW1092" s="34"/>
    </row>
    <row r="1093" ht="15.0" customHeight="1">
      <c r="A1093" s="32" t="s">
        <v>1118</v>
      </c>
      <c r="B1093" s="25"/>
      <c r="C1093" s="25"/>
      <c r="D1093" s="25"/>
      <c r="E1093" s="25"/>
      <c r="F1093" s="25"/>
      <c r="G1093" s="35">
        <v>0.0</v>
      </c>
      <c r="H1093" s="35">
        <v>1.0</v>
      </c>
      <c r="I1093" s="25"/>
      <c r="J1093" s="25"/>
      <c r="K1093" s="25"/>
      <c r="L1093" s="35"/>
      <c r="M1093" s="35"/>
      <c r="N1093" s="25"/>
      <c r="O1093" s="25"/>
      <c r="P1093" s="25"/>
      <c r="Q1093" s="35">
        <v>2.0</v>
      </c>
      <c r="R1093" s="35">
        <v>2.0</v>
      </c>
      <c r="S1093" s="35">
        <v>2.0</v>
      </c>
      <c r="T1093" s="35">
        <v>2.0</v>
      </c>
      <c r="U1093" s="34"/>
      <c r="V1093" s="34"/>
      <c r="W1093" s="34"/>
      <c r="X1093" s="34"/>
      <c r="Y1093" s="34"/>
      <c r="Z1093" s="34"/>
      <c r="AA1093" s="25"/>
      <c r="AB1093" s="25"/>
      <c r="AC1093" s="25"/>
      <c r="AD1093" s="25"/>
      <c r="AE1093" s="25"/>
      <c r="AF1093" s="25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25"/>
      <c r="AU1093" s="34"/>
      <c r="AV1093" s="34"/>
      <c r="AW1093" s="34"/>
    </row>
    <row r="1094" ht="15.0" customHeight="1">
      <c r="A1094" s="32" t="s">
        <v>1119</v>
      </c>
      <c r="B1094" s="25"/>
      <c r="C1094" s="25"/>
      <c r="D1094" s="25"/>
      <c r="E1094" s="25"/>
      <c r="F1094" s="25"/>
      <c r="G1094" s="35">
        <v>0.0</v>
      </c>
      <c r="H1094" s="35">
        <v>1.0</v>
      </c>
      <c r="I1094" s="25"/>
      <c r="J1094" s="25"/>
      <c r="K1094" s="25"/>
      <c r="L1094" s="35"/>
      <c r="M1094" s="35"/>
      <c r="N1094" s="25"/>
      <c r="O1094" s="25"/>
      <c r="P1094" s="25"/>
      <c r="Q1094" s="35">
        <v>2.0</v>
      </c>
      <c r="R1094" s="35">
        <v>2.0</v>
      </c>
      <c r="S1094" s="35">
        <v>2.0</v>
      </c>
      <c r="T1094" s="35">
        <v>2.0</v>
      </c>
      <c r="U1094" s="34"/>
      <c r="V1094" s="34"/>
      <c r="W1094" s="34"/>
      <c r="X1094" s="34"/>
      <c r="Y1094" s="34"/>
      <c r="Z1094" s="34"/>
      <c r="AA1094" s="25"/>
      <c r="AB1094" s="25"/>
      <c r="AC1094" s="25"/>
      <c r="AD1094" s="25"/>
      <c r="AE1094" s="25"/>
      <c r="AF1094" s="25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25"/>
      <c r="AU1094" s="34"/>
      <c r="AV1094" s="34"/>
      <c r="AW1094" s="34"/>
    </row>
    <row r="1095" ht="15.0" customHeight="1">
      <c r="A1095" s="32" t="s">
        <v>1120</v>
      </c>
      <c r="B1095" s="25"/>
      <c r="C1095" s="25"/>
      <c r="D1095" s="25"/>
      <c r="E1095" s="25"/>
      <c r="F1095" s="25"/>
      <c r="G1095" s="35">
        <v>0.0</v>
      </c>
      <c r="H1095" s="35">
        <v>1.0</v>
      </c>
      <c r="I1095" s="25"/>
      <c r="J1095" s="25"/>
      <c r="K1095" s="25"/>
      <c r="L1095" s="35"/>
      <c r="M1095" s="35"/>
      <c r="N1095" s="25"/>
      <c r="O1095" s="25"/>
      <c r="P1095" s="25"/>
      <c r="Q1095" s="35">
        <v>2.0</v>
      </c>
      <c r="R1095" s="35">
        <v>2.0</v>
      </c>
      <c r="S1095" s="35">
        <v>2.0</v>
      </c>
      <c r="T1095" s="35">
        <v>2.0</v>
      </c>
      <c r="U1095" s="34"/>
      <c r="V1095" s="34"/>
      <c r="W1095" s="34"/>
      <c r="X1095" s="34"/>
      <c r="Y1095" s="34"/>
      <c r="Z1095" s="34"/>
      <c r="AA1095" s="25"/>
      <c r="AB1095" s="25"/>
      <c r="AC1095" s="25"/>
      <c r="AD1095" s="25"/>
      <c r="AE1095" s="25"/>
      <c r="AF1095" s="25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25"/>
      <c r="AU1095" s="34"/>
      <c r="AV1095" s="34"/>
      <c r="AW1095" s="34"/>
    </row>
    <row r="1096" ht="15.0" customHeight="1">
      <c r="A1096" s="32" t="s">
        <v>1121</v>
      </c>
      <c r="B1096" s="25"/>
      <c r="C1096" s="25"/>
      <c r="D1096" s="25"/>
      <c r="E1096" s="25"/>
      <c r="F1096" s="25"/>
      <c r="G1096" s="35">
        <v>0.0</v>
      </c>
      <c r="H1096" s="35">
        <v>1.0</v>
      </c>
      <c r="I1096" s="25"/>
      <c r="J1096" s="25"/>
      <c r="K1096" s="25"/>
      <c r="L1096" s="35"/>
      <c r="M1096" s="35"/>
      <c r="N1096" s="25"/>
      <c r="O1096" s="25"/>
      <c r="P1096" s="25"/>
      <c r="Q1096" s="35">
        <v>2.0</v>
      </c>
      <c r="R1096" s="35">
        <v>2.0</v>
      </c>
      <c r="S1096" s="35">
        <v>2.0</v>
      </c>
      <c r="T1096" s="35">
        <v>2.0</v>
      </c>
      <c r="U1096" s="34"/>
      <c r="V1096" s="34"/>
      <c r="W1096" s="34"/>
      <c r="X1096" s="34"/>
      <c r="Y1096" s="34"/>
      <c r="Z1096" s="34"/>
      <c r="AA1096" s="25"/>
      <c r="AB1096" s="25"/>
      <c r="AC1096" s="25"/>
      <c r="AD1096" s="25"/>
      <c r="AE1096" s="25"/>
      <c r="AF1096" s="25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25"/>
      <c r="AU1096" s="34"/>
      <c r="AV1096" s="34"/>
      <c r="AW1096" s="34"/>
    </row>
    <row r="1097" ht="15.0" customHeight="1">
      <c r="A1097" s="32" t="s">
        <v>1122</v>
      </c>
      <c r="B1097" s="25"/>
      <c r="C1097" s="25"/>
      <c r="D1097" s="25"/>
      <c r="E1097" s="25"/>
      <c r="F1097" s="25"/>
      <c r="G1097" s="35">
        <v>0.0</v>
      </c>
      <c r="H1097" s="35">
        <v>1.0</v>
      </c>
      <c r="I1097" s="25"/>
      <c r="J1097" s="25"/>
      <c r="K1097" s="25"/>
      <c r="L1097" s="35"/>
      <c r="M1097" s="35"/>
      <c r="N1097" s="25"/>
      <c r="O1097" s="25"/>
      <c r="P1097" s="25"/>
      <c r="Q1097" s="35">
        <v>2.0</v>
      </c>
      <c r="R1097" s="35">
        <v>2.0</v>
      </c>
      <c r="S1097" s="35">
        <v>2.0</v>
      </c>
      <c r="T1097" s="35">
        <v>2.0</v>
      </c>
      <c r="U1097" s="34"/>
      <c r="V1097" s="34"/>
      <c r="W1097" s="34"/>
      <c r="X1097" s="34"/>
      <c r="Y1097" s="34"/>
      <c r="Z1097" s="34"/>
      <c r="AA1097" s="25"/>
      <c r="AB1097" s="25"/>
      <c r="AC1097" s="25"/>
      <c r="AD1097" s="25"/>
      <c r="AE1097" s="25"/>
      <c r="AF1097" s="25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25"/>
      <c r="AU1097" s="34"/>
      <c r="AV1097" s="34"/>
      <c r="AW1097" s="34"/>
    </row>
    <row r="1098" ht="15.0" customHeight="1">
      <c r="A1098" s="32" t="s">
        <v>1123</v>
      </c>
      <c r="B1098" s="25"/>
      <c r="C1098" s="25"/>
      <c r="D1098" s="25"/>
      <c r="E1098" s="25"/>
      <c r="F1098" s="25"/>
      <c r="G1098" s="35">
        <v>0.0</v>
      </c>
      <c r="H1098" s="35">
        <v>1.0</v>
      </c>
      <c r="I1098" s="25"/>
      <c r="J1098" s="25"/>
      <c r="K1098" s="25"/>
      <c r="L1098" s="35"/>
      <c r="M1098" s="35"/>
      <c r="N1098" s="25"/>
      <c r="O1098" s="25"/>
      <c r="P1098" s="25"/>
      <c r="Q1098" s="35">
        <v>2.0</v>
      </c>
      <c r="R1098" s="35">
        <v>2.0</v>
      </c>
      <c r="S1098" s="35">
        <v>2.0</v>
      </c>
      <c r="T1098" s="35">
        <v>2.0</v>
      </c>
      <c r="U1098" s="34"/>
      <c r="V1098" s="34"/>
      <c r="W1098" s="34"/>
      <c r="X1098" s="34"/>
      <c r="Y1098" s="34"/>
      <c r="Z1098" s="34"/>
      <c r="AA1098" s="25"/>
      <c r="AB1098" s="25"/>
      <c r="AC1098" s="25"/>
      <c r="AD1098" s="25"/>
      <c r="AE1098" s="25"/>
      <c r="AF1098" s="25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25"/>
      <c r="AU1098" s="34"/>
      <c r="AV1098" s="34"/>
      <c r="AW1098" s="34"/>
    </row>
    <row r="1099" ht="15.0" customHeight="1">
      <c r="A1099" s="32" t="s">
        <v>1124</v>
      </c>
      <c r="B1099" s="25"/>
      <c r="C1099" s="25"/>
      <c r="D1099" s="25"/>
      <c r="E1099" s="25"/>
      <c r="F1099" s="25"/>
      <c r="G1099" s="35">
        <v>0.0</v>
      </c>
      <c r="H1099" s="35">
        <v>1.0</v>
      </c>
      <c r="I1099" s="25"/>
      <c r="J1099" s="25"/>
      <c r="K1099" s="25"/>
      <c r="L1099" s="35"/>
      <c r="M1099" s="35"/>
      <c r="N1099" s="25"/>
      <c r="O1099" s="25"/>
      <c r="P1099" s="25"/>
      <c r="Q1099" s="35">
        <v>2.0</v>
      </c>
      <c r="R1099" s="35">
        <v>2.0</v>
      </c>
      <c r="S1099" s="35">
        <v>2.0</v>
      </c>
      <c r="T1099" s="35">
        <v>2.0</v>
      </c>
      <c r="U1099" s="34"/>
      <c r="V1099" s="34"/>
      <c r="W1099" s="34"/>
      <c r="X1099" s="34"/>
      <c r="Y1099" s="34"/>
      <c r="Z1099" s="34"/>
      <c r="AA1099" s="25"/>
      <c r="AB1099" s="25"/>
      <c r="AC1099" s="25"/>
      <c r="AD1099" s="25"/>
      <c r="AE1099" s="25"/>
      <c r="AF1099" s="25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25"/>
      <c r="AU1099" s="34"/>
      <c r="AV1099" s="34"/>
      <c r="AW1099" s="34"/>
    </row>
    <row r="1100" ht="15.0" customHeight="1">
      <c r="A1100" s="32" t="s">
        <v>1125</v>
      </c>
      <c r="B1100" s="25"/>
      <c r="C1100" s="25"/>
      <c r="D1100" s="25"/>
      <c r="E1100" s="25"/>
      <c r="F1100" s="25"/>
      <c r="G1100" s="35">
        <v>0.0</v>
      </c>
      <c r="H1100" s="35">
        <v>1.0</v>
      </c>
      <c r="I1100" s="25"/>
      <c r="J1100" s="25"/>
      <c r="K1100" s="25"/>
      <c r="L1100" s="35"/>
      <c r="M1100" s="35"/>
      <c r="N1100" s="25"/>
      <c r="O1100" s="25"/>
      <c r="P1100" s="25"/>
      <c r="Q1100" s="35">
        <v>2.0</v>
      </c>
      <c r="R1100" s="35">
        <v>2.0</v>
      </c>
      <c r="S1100" s="35">
        <v>2.0</v>
      </c>
      <c r="T1100" s="35">
        <v>2.0</v>
      </c>
      <c r="U1100" s="34"/>
      <c r="V1100" s="34"/>
      <c r="W1100" s="34"/>
      <c r="X1100" s="34"/>
      <c r="Y1100" s="34"/>
      <c r="Z1100" s="34"/>
      <c r="AA1100" s="25"/>
      <c r="AB1100" s="25"/>
      <c r="AC1100" s="25"/>
      <c r="AD1100" s="25"/>
      <c r="AE1100" s="25"/>
      <c r="AF1100" s="25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25"/>
      <c r="AU1100" s="34"/>
      <c r="AV1100" s="34"/>
      <c r="AW1100" s="34"/>
    </row>
    <row r="1101" ht="15.0" customHeight="1">
      <c r="A1101" s="32" t="s">
        <v>1126</v>
      </c>
      <c r="B1101" s="25"/>
      <c r="C1101" s="25"/>
      <c r="D1101" s="25"/>
      <c r="E1101" s="25"/>
      <c r="F1101" s="25"/>
      <c r="G1101" s="35">
        <v>0.0</v>
      </c>
      <c r="H1101" s="35">
        <v>1.0</v>
      </c>
      <c r="I1101" s="25"/>
      <c r="J1101" s="25"/>
      <c r="K1101" s="25"/>
      <c r="L1101" s="35"/>
      <c r="M1101" s="35"/>
      <c r="N1101" s="25"/>
      <c r="O1101" s="25"/>
      <c r="P1101" s="25"/>
      <c r="Q1101" s="35">
        <v>2.0</v>
      </c>
      <c r="R1101" s="35">
        <v>2.0</v>
      </c>
      <c r="S1101" s="35">
        <v>2.0</v>
      </c>
      <c r="T1101" s="35">
        <v>2.0</v>
      </c>
      <c r="U1101" s="34"/>
      <c r="V1101" s="34"/>
      <c r="W1101" s="34"/>
      <c r="X1101" s="34"/>
      <c r="Y1101" s="34"/>
      <c r="Z1101" s="34"/>
      <c r="AA1101" s="25"/>
      <c r="AB1101" s="25"/>
      <c r="AC1101" s="25"/>
      <c r="AD1101" s="25"/>
      <c r="AE1101" s="25"/>
      <c r="AF1101" s="25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25"/>
      <c r="AU1101" s="34"/>
      <c r="AV1101" s="34"/>
      <c r="AW1101" s="34"/>
    </row>
    <row r="1102" ht="15.0" customHeight="1">
      <c r="A1102" s="32" t="s">
        <v>1127</v>
      </c>
      <c r="B1102" s="25"/>
      <c r="C1102" s="25"/>
      <c r="D1102" s="25"/>
      <c r="E1102" s="25"/>
      <c r="F1102" s="25"/>
      <c r="G1102" s="35">
        <v>0.0</v>
      </c>
      <c r="H1102" s="35">
        <v>1.0</v>
      </c>
      <c r="I1102" s="25"/>
      <c r="J1102" s="25"/>
      <c r="K1102" s="25"/>
      <c r="L1102" s="35"/>
      <c r="M1102" s="35"/>
      <c r="N1102" s="25"/>
      <c r="O1102" s="25"/>
      <c r="P1102" s="25"/>
      <c r="Q1102" s="35">
        <v>2.0</v>
      </c>
      <c r="R1102" s="35">
        <v>2.0</v>
      </c>
      <c r="S1102" s="35">
        <v>2.0</v>
      </c>
      <c r="T1102" s="35">
        <v>2.0</v>
      </c>
      <c r="U1102" s="34"/>
      <c r="V1102" s="34"/>
      <c r="W1102" s="34"/>
      <c r="X1102" s="34"/>
      <c r="Y1102" s="34"/>
      <c r="Z1102" s="34"/>
      <c r="AA1102" s="25"/>
      <c r="AB1102" s="25"/>
      <c r="AC1102" s="25"/>
      <c r="AD1102" s="25"/>
      <c r="AE1102" s="25"/>
      <c r="AF1102" s="25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25"/>
      <c r="AU1102" s="34"/>
      <c r="AV1102" s="34"/>
      <c r="AW1102" s="34"/>
    </row>
    <row r="1103" ht="15.0" customHeight="1">
      <c r="A1103" s="32" t="s">
        <v>1128</v>
      </c>
      <c r="B1103" s="25"/>
      <c r="C1103" s="25"/>
      <c r="D1103" s="25"/>
      <c r="E1103" s="25"/>
      <c r="F1103" s="25"/>
      <c r="G1103" s="35">
        <v>0.0</v>
      </c>
      <c r="H1103" s="35">
        <v>1.0</v>
      </c>
      <c r="I1103" s="25"/>
      <c r="J1103" s="25"/>
      <c r="K1103" s="25"/>
      <c r="L1103" s="35"/>
      <c r="M1103" s="35"/>
      <c r="N1103" s="25"/>
      <c r="O1103" s="25"/>
      <c r="P1103" s="25"/>
      <c r="Q1103" s="35">
        <v>2.0</v>
      </c>
      <c r="R1103" s="35">
        <v>2.0</v>
      </c>
      <c r="S1103" s="35">
        <v>2.0</v>
      </c>
      <c r="T1103" s="35">
        <v>2.0</v>
      </c>
      <c r="U1103" s="34"/>
      <c r="V1103" s="34"/>
      <c r="W1103" s="34"/>
      <c r="X1103" s="34"/>
      <c r="Y1103" s="34"/>
      <c r="Z1103" s="34"/>
      <c r="AA1103" s="25"/>
      <c r="AB1103" s="25"/>
      <c r="AC1103" s="25"/>
      <c r="AD1103" s="25"/>
      <c r="AE1103" s="25"/>
      <c r="AF1103" s="25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25"/>
      <c r="AU1103" s="34"/>
      <c r="AV1103" s="34"/>
      <c r="AW1103" s="34"/>
    </row>
    <row r="1104" ht="15.0" customHeight="1">
      <c r="A1104" s="32" t="s">
        <v>1129</v>
      </c>
      <c r="B1104" s="25"/>
      <c r="C1104" s="25"/>
      <c r="D1104" s="25"/>
      <c r="E1104" s="25"/>
      <c r="F1104" s="25"/>
      <c r="G1104" s="35">
        <v>0.0</v>
      </c>
      <c r="H1104" s="35">
        <v>1.0</v>
      </c>
      <c r="I1104" s="25"/>
      <c r="J1104" s="25"/>
      <c r="K1104" s="25"/>
      <c r="L1104" s="35"/>
      <c r="M1104" s="35"/>
      <c r="N1104" s="25"/>
      <c r="O1104" s="25"/>
      <c r="P1104" s="25"/>
      <c r="Q1104" s="35">
        <v>2.0</v>
      </c>
      <c r="R1104" s="35">
        <v>2.0</v>
      </c>
      <c r="S1104" s="35">
        <v>2.0</v>
      </c>
      <c r="T1104" s="35">
        <v>2.0</v>
      </c>
      <c r="U1104" s="34"/>
      <c r="V1104" s="34"/>
      <c r="W1104" s="34"/>
      <c r="X1104" s="34"/>
      <c r="Y1104" s="34"/>
      <c r="Z1104" s="34"/>
      <c r="AA1104" s="25"/>
      <c r="AB1104" s="25"/>
      <c r="AC1104" s="25"/>
      <c r="AD1104" s="25"/>
      <c r="AE1104" s="25"/>
      <c r="AF1104" s="25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25"/>
      <c r="AU1104" s="34"/>
      <c r="AV1104" s="34"/>
      <c r="AW1104" s="34"/>
    </row>
    <row r="1105" ht="15.0" customHeight="1">
      <c r="A1105" s="32" t="s">
        <v>1130</v>
      </c>
      <c r="B1105" s="25"/>
      <c r="C1105" s="25"/>
      <c r="D1105" s="25"/>
      <c r="E1105" s="25"/>
      <c r="F1105" s="25"/>
      <c r="G1105" s="35">
        <v>0.0</v>
      </c>
      <c r="H1105" s="35">
        <v>1.0</v>
      </c>
      <c r="I1105" s="25"/>
      <c r="J1105" s="25"/>
      <c r="K1105" s="25"/>
      <c r="L1105" s="35"/>
      <c r="M1105" s="35"/>
      <c r="N1105" s="25"/>
      <c r="O1105" s="25"/>
      <c r="P1105" s="25"/>
      <c r="Q1105" s="35">
        <v>2.0</v>
      </c>
      <c r="R1105" s="35">
        <v>2.0</v>
      </c>
      <c r="S1105" s="35">
        <v>2.0</v>
      </c>
      <c r="T1105" s="35">
        <v>2.0</v>
      </c>
      <c r="U1105" s="34"/>
      <c r="V1105" s="34"/>
      <c r="W1105" s="34"/>
      <c r="X1105" s="34"/>
      <c r="Y1105" s="34"/>
      <c r="Z1105" s="34"/>
      <c r="AA1105" s="25"/>
      <c r="AB1105" s="25"/>
      <c r="AC1105" s="25"/>
      <c r="AD1105" s="25"/>
      <c r="AE1105" s="25"/>
      <c r="AF1105" s="25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25"/>
      <c r="AU1105" s="34"/>
      <c r="AV1105" s="34"/>
      <c r="AW1105" s="34"/>
    </row>
    <row r="1106" ht="15.0" customHeight="1">
      <c r="A1106" s="32" t="s">
        <v>1131</v>
      </c>
      <c r="B1106" s="25"/>
      <c r="C1106" s="25"/>
      <c r="D1106" s="25"/>
      <c r="E1106" s="25"/>
      <c r="F1106" s="25"/>
      <c r="G1106" s="35">
        <v>0.0</v>
      </c>
      <c r="H1106" s="35">
        <v>1.0</v>
      </c>
      <c r="I1106" s="25"/>
      <c r="J1106" s="25"/>
      <c r="K1106" s="25"/>
      <c r="L1106" s="35"/>
      <c r="M1106" s="35"/>
      <c r="N1106" s="25"/>
      <c r="O1106" s="25"/>
      <c r="P1106" s="25"/>
      <c r="Q1106" s="35">
        <v>2.0</v>
      </c>
      <c r="R1106" s="35">
        <v>2.0</v>
      </c>
      <c r="S1106" s="35">
        <v>2.0</v>
      </c>
      <c r="T1106" s="35">
        <v>2.0</v>
      </c>
      <c r="U1106" s="34"/>
      <c r="V1106" s="34"/>
      <c r="W1106" s="34"/>
      <c r="X1106" s="34"/>
      <c r="Y1106" s="34"/>
      <c r="Z1106" s="34"/>
      <c r="AA1106" s="25"/>
      <c r="AB1106" s="25"/>
      <c r="AC1106" s="25"/>
      <c r="AD1106" s="25"/>
      <c r="AE1106" s="25"/>
      <c r="AF1106" s="25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25"/>
      <c r="AU1106" s="34"/>
      <c r="AV1106" s="34"/>
      <c r="AW1106" s="34"/>
    </row>
    <row r="1107" ht="15.0" customHeight="1">
      <c r="A1107" s="32" t="s">
        <v>1132</v>
      </c>
      <c r="B1107" s="25"/>
      <c r="C1107" s="25"/>
      <c r="D1107" s="25"/>
      <c r="E1107" s="25"/>
      <c r="F1107" s="25"/>
      <c r="G1107" s="35">
        <v>0.0</v>
      </c>
      <c r="H1107" s="35">
        <v>1.0</v>
      </c>
      <c r="I1107" s="25"/>
      <c r="J1107" s="25"/>
      <c r="K1107" s="25"/>
      <c r="L1107" s="35"/>
      <c r="M1107" s="35"/>
      <c r="N1107" s="25"/>
      <c r="O1107" s="25"/>
      <c r="P1107" s="25"/>
      <c r="Q1107" s="35">
        <v>2.0</v>
      </c>
      <c r="R1107" s="35">
        <v>2.0</v>
      </c>
      <c r="S1107" s="35">
        <v>2.0</v>
      </c>
      <c r="T1107" s="35">
        <v>2.0</v>
      </c>
      <c r="U1107" s="34"/>
      <c r="V1107" s="34"/>
      <c r="W1107" s="34"/>
      <c r="X1107" s="34"/>
      <c r="Y1107" s="34"/>
      <c r="Z1107" s="34"/>
      <c r="AA1107" s="25"/>
      <c r="AB1107" s="25"/>
      <c r="AC1107" s="25"/>
      <c r="AD1107" s="25"/>
      <c r="AE1107" s="25"/>
      <c r="AF1107" s="25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25"/>
      <c r="AU1107" s="34"/>
      <c r="AV1107" s="34"/>
      <c r="AW1107" s="34"/>
    </row>
    <row r="1108" ht="15.0" customHeight="1">
      <c r="A1108" s="32" t="s">
        <v>1133</v>
      </c>
      <c r="B1108" s="25"/>
      <c r="C1108" s="25"/>
      <c r="D1108" s="25"/>
      <c r="E1108" s="25"/>
      <c r="F1108" s="25"/>
      <c r="G1108" s="35">
        <v>0.0</v>
      </c>
      <c r="H1108" s="35">
        <v>1.0</v>
      </c>
      <c r="I1108" s="25"/>
      <c r="J1108" s="25"/>
      <c r="K1108" s="25"/>
      <c r="L1108" s="35"/>
      <c r="M1108" s="35"/>
      <c r="N1108" s="25"/>
      <c r="O1108" s="25"/>
      <c r="P1108" s="25"/>
      <c r="Q1108" s="35">
        <v>2.0</v>
      </c>
      <c r="R1108" s="35">
        <v>2.0</v>
      </c>
      <c r="S1108" s="35">
        <v>2.0</v>
      </c>
      <c r="T1108" s="35">
        <v>2.0</v>
      </c>
      <c r="U1108" s="34"/>
      <c r="V1108" s="34"/>
      <c r="W1108" s="34"/>
      <c r="X1108" s="34"/>
      <c r="Y1108" s="34"/>
      <c r="Z1108" s="34"/>
      <c r="AA1108" s="25"/>
      <c r="AB1108" s="25"/>
      <c r="AC1108" s="25"/>
      <c r="AD1108" s="25"/>
      <c r="AE1108" s="25"/>
      <c r="AF1108" s="25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25"/>
      <c r="AU1108" s="34"/>
      <c r="AV1108" s="34"/>
      <c r="AW1108" s="34"/>
    </row>
    <row r="1109" ht="15.0" customHeight="1">
      <c r="A1109" s="32" t="s">
        <v>1134</v>
      </c>
      <c r="B1109" s="25"/>
      <c r="C1109" s="25"/>
      <c r="D1109" s="25"/>
      <c r="E1109" s="25"/>
      <c r="F1109" s="25"/>
      <c r="G1109" s="35">
        <v>0.0</v>
      </c>
      <c r="H1109" s="35">
        <v>1.0</v>
      </c>
      <c r="I1109" s="25"/>
      <c r="J1109" s="25"/>
      <c r="K1109" s="25"/>
      <c r="L1109" s="35"/>
      <c r="M1109" s="35"/>
      <c r="N1109" s="25"/>
      <c r="O1109" s="25"/>
      <c r="P1109" s="25"/>
      <c r="Q1109" s="35">
        <v>2.0</v>
      </c>
      <c r="R1109" s="35">
        <v>2.0</v>
      </c>
      <c r="S1109" s="35">
        <v>2.0</v>
      </c>
      <c r="T1109" s="35">
        <v>2.0</v>
      </c>
      <c r="U1109" s="34"/>
      <c r="V1109" s="34"/>
      <c r="W1109" s="34"/>
      <c r="X1109" s="34"/>
      <c r="Y1109" s="34"/>
      <c r="Z1109" s="34"/>
      <c r="AA1109" s="25"/>
      <c r="AB1109" s="25"/>
      <c r="AC1109" s="25"/>
      <c r="AD1109" s="25"/>
      <c r="AE1109" s="25"/>
      <c r="AF1109" s="25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25"/>
      <c r="AU1109" s="34"/>
      <c r="AV1109" s="34"/>
      <c r="AW1109" s="34"/>
    </row>
    <row r="1110" ht="15.0" customHeight="1">
      <c r="A1110" s="32" t="s">
        <v>1135</v>
      </c>
      <c r="B1110" s="25"/>
      <c r="C1110" s="25"/>
      <c r="D1110" s="25"/>
      <c r="E1110" s="25"/>
      <c r="F1110" s="25"/>
      <c r="G1110" s="35">
        <v>0.0</v>
      </c>
      <c r="H1110" s="35">
        <v>1.0</v>
      </c>
      <c r="I1110" s="25"/>
      <c r="J1110" s="25"/>
      <c r="K1110" s="25"/>
      <c r="L1110" s="35"/>
      <c r="M1110" s="35"/>
      <c r="N1110" s="25"/>
      <c r="O1110" s="25"/>
      <c r="P1110" s="25"/>
      <c r="Q1110" s="35">
        <v>2.0</v>
      </c>
      <c r="R1110" s="35">
        <v>2.0</v>
      </c>
      <c r="S1110" s="35">
        <v>2.0</v>
      </c>
      <c r="T1110" s="35">
        <v>2.0</v>
      </c>
      <c r="U1110" s="34"/>
      <c r="V1110" s="34"/>
      <c r="W1110" s="34"/>
      <c r="X1110" s="34"/>
      <c r="Y1110" s="34"/>
      <c r="Z1110" s="34"/>
      <c r="AA1110" s="25"/>
      <c r="AB1110" s="25"/>
      <c r="AC1110" s="25"/>
      <c r="AD1110" s="25"/>
      <c r="AE1110" s="25"/>
      <c r="AF1110" s="25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25"/>
      <c r="AU1110" s="34"/>
      <c r="AV1110" s="34"/>
      <c r="AW1110" s="34"/>
    </row>
    <row r="1111" ht="15.0" customHeight="1">
      <c r="A1111" s="32" t="s">
        <v>1136</v>
      </c>
      <c r="B1111" s="25"/>
      <c r="C1111" s="25"/>
      <c r="D1111" s="25"/>
      <c r="E1111" s="25"/>
      <c r="F1111" s="25"/>
      <c r="G1111" s="35">
        <v>0.0</v>
      </c>
      <c r="H1111" s="35">
        <v>1.0</v>
      </c>
      <c r="I1111" s="25"/>
      <c r="J1111" s="25"/>
      <c r="K1111" s="25"/>
      <c r="L1111" s="35"/>
      <c r="M1111" s="35"/>
      <c r="N1111" s="25"/>
      <c r="O1111" s="25"/>
      <c r="P1111" s="25"/>
      <c r="Q1111" s="35">
        <v>2.0</v>
      </c>
      <c r="R1111" s="35">
        <v>2.0</v>
      </c>
      <c r="S1111" s="35">
        <v>2.0</v>
      </c>
      <c r="T1111" s="35">
        <v>2.0</v>
      </c>
      <c r="U1111" s="34"/>
      <c r="V1111" s="34"/>
      <c r="W1111" s="34"/>
      <c r="X1111" s="34"/>
      <c r="Y1111" s="34"/>
      <c r="Z1111" s="34"/>
      <c r="AA1111" s="25"/>
      <c r="AB1111" s="25"/>
      <c r="AC1111" s="25"/>
      <c r="AD1111" s="25"/>
      <c r="AE1111" s="25"/>
      <c r="AF1111" s="25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25"/>
      <c r="AU1111" s="34"/>
      <c r="AV1111" s="34"/>
      <c r="AW1111" s="34"/>
    </row>
    <row r="1112" ht="15.0" customHeight="1">
      <c r="A1112" s="32" t="s">
        <v>1137</v>
      </c>
      <c r="B1112" s="25"/>
      <c r="C1112" s="25"/>
      <c r="D1112" s="25"/>
      <c r="E1112" s="25"/>
      <c r="F1112" s="25"/>
      <c r="G1112" s="35">
        <v>0.0</v>
      </c>
      <c r="H1112" s="35">
        <v>1.0</v>
      </c>
      <c r="I1112" s="25"/>
      <c r="J1112" s="25"/>
      <c r="K1112" s="25"/>
      <c r="L1112" s="35"/>
      <c r="M1112" s="35"/>
      <c r="N1112" s="25"/>
      <c r="O1112" s="25"/>
      <c r="P1112" s="25"/>
      <c r="Q1112" s="35">
        <v>2.0</v>
      </c>
      <c r="R1112" s="35">
        <v>2.0</v>
      </c>
      <c r="S1112" s="35">
        <v>2.0</v>
      </c>
      <c r="T1112" s="35">
        <v>2.0</v>
      </c>
      <c r="U1112" s="34"/>
      <c r="V1112" s="34"/>
      <c r="W1112" s="34"/>
      <c r="X1112" s="34"/>
      <c r="Y1112" s="34"/>
      <c r="Z1112" s="34"/>
      <c r="AA1112" s="25"/>
      <c r="AB1112" s="25"/>
      <c r="AC1112" s="25"/>
      <c r="AD1112" s="25"/>
      <c r="AE1112" s="25"/>
      <c r="AF1112" s="25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25"/>
      <c r="AU1112" s="34"/>
      <c r="AV1112" s="34"/>
      <c r="AW1112" s="34"/>
    </row>
    <row r="1113" ht="15.0" customHeight="1">
      <c r="A1113" s="32" t="s">
        <v>1138</v>
      </c>
      <c r="B1113" s="25"/>
      <c r="C1113" s="25"/>
      <c r="D1113" s="25"/>
      <c r="E1113" s="25"/>
      <c r="F1113" s="25"/>
      <c r="G1113" s="35">
        <v>0.0</v>
      </c>
      <c r="H1113" s="35">
        <v>1.0</v>
      </c>
      <c r="I1113" s="25"/>
      <c r="J1113" s="25"/>
      <c r="K1113" s="25"/>
      <c r="L1113" s="35"/>
      <c r="M1113" s="35"/>
      <c r="N1113" s="25"/>
      <c r="O1113" s="25"/>
      <c r="P1113" s="25"/>
      <c r="Q1113" s="35">
        <v>2.0</v>
      </c>
      <c r="R1113" s="35">
        <v>2.0</v>
      </c>
      <c r="S1113" s="35">
        <v>2.0</v>
      </c>
      <c r="T1113" s="35">
        <v>2.0</v>
      </c>
      <c r="U1113" s="34"/>
      <c r="V1113" s="34"/>
      <c r="W1113" s="34"/>
      <c r="X1113" s="34"/>
      <c r="Y1113" s="34"/>
      <c r="Z1113" s="34"/>
      <c r="AA1113" s="25"/>
      <c r="AB1113" s="25"/>
      <c r="AC1113" s="25"/>
      <c r="AD1113" s="25"/>
      <c r="AE1113" s="25"/>
      <c r="AF1113" s="25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25"/>
      <c r="AU1113" s="34"/>
      <c r="AV1113" s="34"/>
      <c r="AW1113" s="34"/>
    </row>
    <row r="1114" ht="15.0" customHeight="1">
      <c r="A1114" s="32" t="s">
        <v>1139</v>
      </c>
      <c r="B1114" s="25"/>
      <c r="C1114" s="25"/>
      <c r="D1114" s="25"/>
      <c r="E1114" s="25"/>
      <c r="F1114" s="25"/>
      <c r="G1114" s="35">
        <v>0.0</v>
      </c>
      <c r="H1114" s="35">
        <v>1.0</v>
      </c>
      <c r="I1114" s="25"/>
      <c r="J1114" s="25"/>
      <c r="K1114" s="25"/>
      <c r="L1114" s="35"/>
      <c r="M1114" s="35"/>
      <c r="N1114" s="25"/>
      <c r="O1114" s="25"/>
      <c r="P1114" s="25"/>
      <c r="Q1114" s="35">
        <v>2.0</v>
      </c>
      <c r="R1114" s="35">
        <v>2.0</v>
      </c>
      <c r="S1114" s="35">
        <v>2.0</v>
      </c>
      <c r="T1114" s="35">
        <v>2.0</v>
      </c>
      <c r="U1114" s="34"/>
      <c r="V1114" s="34"/>
      <c r="W1114" s="34"/>
      <c r="X1114" s="34"/>
      <c r="Y1114" s="34"/>
      <c r="Z1114" s="34"/>
      <c r="AA1114" s="25"/>
      <c r="AB1114" s="25"/>
      <c r="AC1114" s="25"/>
      <c r="AD1114" s="25"/>
      <c r="AE1114" s="25"/>
      <c r="AF1114" s="25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25"/>
      <c r="AU1114" s="34"/>
      <c r="AV1114" s="34"/>
      <c r="AW1114" s="34"/>
    </row>
    <row r="1115" ht="15.0" customHeight="1">
      <c r="A1115" s="32" t="s">
        <v>1140</v>
      </c>
      <c r="B1115" s="25"/>
      <c r="C1115" s="25"/>
      <c r="D1115" s="25"/>
      <c r="E1115" s="25"/>
      <c r="F1115" s="25"/>
      <c r="G1115" s="35">
        <v>0.0</v>
      </c>
      <c r="H1115" s="35">
        <v>1.0</v>
      </c>
      <c r="I1115" s="25"/>
      <c r="J1115" s="25"/>
      <c r="K1115" s="25"/>
      <c r="L1115" s="35"/>
      <c r="M1115" s="35"/>
      <c r="N1115" s="25"/>
      <c r="O1115" s="25"/>
      <c r="P1115" s="25"/>
      <c r="Q1115" s="35">
        <v>2.0</v>
      </c>
      <c r="R1115" s="35">
        <v>2.0</v>
      </c>
      <c r="S1115" s="35">
        <v>2.0</v>
      </c>
      <c r="T1115" s="35">
        <v>2.0</v>
      </c>
      <c r="U1115" s="34"/>
      <c r="V1115" s="34"/>
      <c r="W1115" s="34"/>
      <c r="X1115" s="34"/>
      <c r="Y1115" s="34"/>
      <c r="Z1115" s="34"/>
      <c r="AA1115" s="25"/>
      <c r="AB1115" s="25"/>
      <c r="AC1115" s="25"/>
      <c r="AD1115" s="25"/>
      <c r="AE1115" s="25"/>
      <c r="AF1115" s="25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25"/>
      <c r="AU1115" s="34"/>
      <c r="AV1115" s="34"/>
      <c r="AW1115" s="34"/>
    </row>
    <row r="1116" ht="15.0" customHeight="1">
      <c r="A1116" s="32" t="s">
        <v>1141</v>
      </c>
      <c r="B1116" s="25"/>
      <c r="C1116" s="25"/>
      <c r="D1116" s="25"/>
      <c r="E1116" s="25"/>
      <c r="F1116" s="25"/>
      <c r="G1116" s="35">
        <v>0.0</v>
      </c>
      <c r="H1116" s="35">
        <v>1.0</v>
      </c>
      <c r="I1116" s="25"/>
      <c r="J1116" s="25"/>
      <c r="K1116" s="25"/>
      <c r="L1116" s="35"/>
      <c r="M1116" s="35"/>
      <c r="N1116" s="25"/>
      <c r="O1116" s="25"/>
      <c r="P1116" s="25"/>
      <c r="Q1116" s="35">
        <v>2.0</v>
      </c>
      <c r="R1116" s="35">
        <v>2.0</v>
      </c>
      <c r="S1116" s="35">
        <v>2.0</v>
      </c>
      <c r="T1116" s="35">
        <v>2.0</v>
      </c>
      <c r="U1116" s="34"/>
      <c r="V1116" s="34"/>
      <c r="W1116" s="34"/>
      <c r="X1116" s="34"/>
      <c r="Y1116" s="34"/>
      <c r="Z1116" s="34"/>
      <c r="AA1116" s="25"/>
      <c r="AB1116" s="25"/>
      <c r="AC1116" s="25"/>
      <c r="AD1116" s="25"/>
      <c r="AE1116" s="25"/>
      <c r="AF1116" s="25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25"/>
      <c r="AU1116" s="34"/>
      <c r="AV1116" s="34"/>
      <c r="AW1116" s="34"/>
    </row>
    <row r="1117" ht="15.0" customHeight="1">
      <c r="A1117" s="32" t="s">
        <v>1142</v>
      </c>
      <c r="B1117" s="25"/>
      <c r="C1117" s="25"/>
      <c r="D1117" s="25"/>
      <c r="E1117" s="25"/>
      <c r="F1117" s="25"/>
      <c r="G1117" s="35">
        <v>0.0</v>
      </c>
      <c r="H1117" s="35">
        <v>1.0</v>
      </c>
      <c r="I1117" s="25"/>
      <c r="J1117" s="25"/>
      <c r="K1117" s="25"/>
      <c r="L1117" s="35"/>
      <c r="M1117" s="35"/>
      <c r="N1117" s="25"/>
      <c r="O1117" s="25"/>
      <c r="P1117" s="25"/>
      <c r="Q1117" s="35">
        <v>2.0</v>
      </c>
      <c r="R1117" s="35">
        <v>2.0</v>
      </c>
      <c r="S1117" s="35">
        <v>2.0</v>
      </c>
      <c r="T1117" s="35">
        <v>2.0</v>
      </c>
      <c r="U1117" s="34"/>
      <c r="V1117" s="34"/>
      <c r="W1117" s="34"/>
      <c r="X1117" s="34"/>
      <c r="Y1117" s="34"/>
      <c r="Z1117" s="34"/>
      <c r="AA1117" s="25"/>
      <c r="AB1117" s="25"/>
      <c r="AC1117" s="25"/>
      <c r="AD1117" s="25"/>
      <c r="AE1117" s="25"/>
      <c r="AF1117" s="25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25"/>
      <c r="AU1117" s="34"/>
      <c r="AV1117" s="34"/>
      <c r="AW1117" s="34"/>
    </row>
    <row r="1118" ht="15.0" customHeight="1">
      <c r="A1118" s="32" t="s">
        <v>1143</v>
      </c>
      <c r="B1118" s="25"/>
      <c r="C1118" s="25"/>
      <c r="D1118" s="25"/>
      <c r="E1118" s="25"/>
      <c r="F1118" s="25"/>
      <c r="G1118" s="35">
        <v>0.0</v>
      </c>
      <c r="H1118" s="35">
        <v>1.0</v>
      </c>
      <c r="I1118" s="25"/>
      <c r="J1118" s="25"/>
      <c r="K1118" s="25"/>
      <c r="L1118" s="35"/>
      <c r="M1118" s="35"/>
      <c r="N1118" s="25"/>
      <c r="O1118" s="25"/>
      <c r="P1118" s="25"/>
      <c r="Q1118" s="35">
        <v>2.0</v>
      </c>
      <c r="R1118" s="35">
        <v>2.0</v>
      </c>
      <c r="S1118" s="35">
        <v>2.0</v>
      </c>
      <c r="T1118" s="35">
        <v>2.0</v>
      </c>
      <c r="U1118" s="34"/>
      <c r="V1118" s="34"/>
      <c r="W1118" s="34"/>
      <c r="X1118" s="34"/>
      <c r="Y1118" s="34"/>
      <c r="Z1118" s="34"/>
      <c r="AA1118" s="25"/>
      <c r="AB1118" s="25"/>
      <c r="AC1118" s="25"/>
      <c r="AD1118" s="25"/>
      <c r="AE1118" s="25"/>
      <c r="AF1118" s="25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25"/>
      <c r="AU1118" s="34"/>
      <c r="AV1118" s="34"/>
      <c r="AW1118" s="34"/>
    </row>
    <row r="1119" ht="15.0" customHeight="1">
      <c r="A1119" s="32" t="s">
        <v>1144</v>
      </c>
      <c r="B1119" s="25"/>
      <c r="C1119" s="25"/>
      <c r="D1119" s="25"/>
      <c r="E1119" s="25"/>
      <c r="F1119" s="25"/>
      <c r="G1119" s="35">
        <v>0.0</v>
      </c>
      <c r="H1119" s="35">
        <v>1.0</v>
      </c>
      <c r="I1119" s="25"/>
      <c r="J1119" s="25"/>
      <c r="K1119" s="25"/>
      <c r="L1119" s="35"/>
      <c r="M1119" s="35"/>
      <c r="N1119" s="25"/>
      <c r="O1119" s="25"/>
      <c r="P1119" s="25"/>
      <c r="Q1119" s="35">
        <v>2.0</v>
      </c>
      <c r="R1119" s="35">
        <v>2.0</v>
      </c>
      <c r="S1119" s="35">
        <v>2.0</v>
      </c>
      <c r="T1119" s="35">
        <v>2.0</v>
      </c>
      <c r="U1119" s="34"/>
      <c r="V1119" s="34"/>
      <c r="W1119" s="34"/>
      <c r="X1119" s="34"/>
      <c r="Y1119" s="34"/>
      <c r="Z1119" s="34"/>
      <c r="AA1119" s="25"/>
      <c r="AB1119" s="25"/>
      <c r="AC1119" s="25"/>
      <c r="AD1119" s="25"/>
      <c r="AE1119" s="25"/>
      <c r="AF1119" s="25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25"/>
      <c r="AU1119" s="34"/>
      <c r="AV1119" s="34"/>
      <c r="AW1119" s="34"/>
    </row>
    <row r="1120" ht="15.0" customHeight="1">
      <c r="A1120" s="32" t="s">
        <v>1145</v>
      </c>
      <c r="B1120" s="25"/>
      <c r="C1120" s="25"/>
      <c r="D1120" s="25"/>
      <c r="E1120" s="25"/>
      <c r="F1120" s="25"/>
      <c r="G1120" s="35">
        <v>0.0</v>
      </c>
      <c r="H1120" s="35">
        <v>1.0</v>
      </c>
      <c r="I1120" s="25"/>
      <c r="J1120" s="25"/>
      <c r="K1120" s="25"/>
      <c r="L1120" s="35"/>
      <c r="M1120" s="35"/>
      <c r="N1120" s="25"/>
      <c r="O1120" s="25"/>
      <c r="P1120" s="25"/>
      <c r="Q1120" s="35">
        <v>2.0</v>
      </c>
      <c r="R1120" s="35">
        <v>2.0</v>
      </c>
      <c r="S1120" s="35">
        <v>2.0</v>
      </c>
      <c r="T1120" s="35">
        <v>2.0</v>
      </c>
      <c r="U1120" s="34"/>
      <c r="V1120" s="34"/>
      <c r="W1120" s="34"/>
      <c r="X1120" s="34"/>
      <c r="Y1120" s="34"/>
      <c r="Z1120" s="34"/>
      <c r="AA1120" s="25"/>
      <c r="AB1120" s="25"/>
      <c r="AC1120" s="25"/>
      <c r="AD1120" s="25"/>
      <c r="AE1120" s="25"/>
      <c r="AF1120" s="25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25"/>
      <c r="AU1120" s="34"/>
      <c r="AV1120" s="34"/>
      <c r="AW1120" s="34"/>
    </row>
    <row r="1121" ht="15.0" customHeight="1">
      <c r="A1121" s="32" t="s">
        <v>1146</v>
      </c>
      <c r="B1121" s="25"/>
      <c r="C1121" s="25"/>
      <c r="D1121" s="25"/>
      <c r="E1121" s="25"/>
      <c r="F1121" s="25"/>
      <c r="G1121" s="35">
        <v>0.0</v>
      </c>
      <c r="H1121" s="35">
        <v>1.0</v>
      </c>
      <c r="I1121" s="25"/>
      <c r="J1121" s="25"/>
      <c r="K1121" s="25"/>
      <c r="L1121" s="35"/>
      <c r="M1121" s="35"/>
      <c r="N1121" s="25"/>
      <c r="O1121" s="25"/>
      <c r="P1121" s="25"/>
      <c r="Q1121" s="35">
        <v>2.0</v>
      </c>
      <c r="R1121" s="35">
        <v>2.0</v>
      </c>
      <c r="S1121" s="35">
        <v>2.0</v>
      </c>
      <c r="T1121" s="35">
        <v>2.0</v>
      </c>
      <c r="U1121" s="34"/>
      <c r="V1121" s="34"/>
      <c r="W1121" s="34"/>
      <c r="X1121" s="34"/>
      <c r="Y1121" s="34"/>
      <c r="Z1121" s="34"/>
      <c r="AA1121" s="25"/>
      <c r="AB1121" s="25"/>
      <c r="AC1121" s="25"/>
      <c r="AD1121" s="25"/>
      <c r="AE1121" s="25"/>
      <c r="AF1121" s="25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25"/>
      <c r="AU1121" s="34"/>
      <c r="AV1121" s="34"/>
      <c r="AW1121" s="34"/>
    </row>
    <row r="1122" ht="15.0" customHeight="1">
      <c r="A1122" s="32" t="s">
        <v>1147</v>
      </c>
      <c r="B1122" s="25"/>
      <c r="C1122" s="25"/>
      <c r="D1122" s="25"/>
      <c r="E1122" s="25"/>
      <c r="F1122" s="25"/>
      <c r="G1122" s="35">
        <v>0.0</v>
      </c>
      <c r="H1122" s="35">
        <v>1.0</v>
      </c>
      <c r="I1122" s="25"/>
      <c r="J1122" s="25"/>
      <c r="K1122" s="25"/>
      <c r="L1122" s="35"/>
      <c r="M1122" s="35"/>
      <c r="N1122" s="25"/>
      <c r="O1122" s="25"/>
      <c r="P1122" s="25"/>
      <c r="Q1122" s="35">
        <v>2.0</v>
      </c>
      <c r="R1122" s="35">
        <v>2.0</v>
      </c>
      <c r="S1122" s="35">
        <v>2.0</v>
      </c>
      <c r="T1122" s="35">
        <v>2.0</v>
      </c>
      <c r="U1122" s="34"/>
      <c r="V1122" s="34"/>
      <c r="W1122" s="34"/>
      <c r="X1122" s="34"/>
      <c r="Y1122" s="34"/>
      <c r="Z1122" s="34"/>
      <c r="AA1122" s="25"/>
      <c r="AB1122" s="25"/>
      <c r="AC1122" s="25"/>
      <c r="AD1122" s="25"/>
      <c r="AE1122" s="25"/>
      <c r="AF1122" s="25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25"/>
      <c r="AU1122" s="34"/>
      <c r="AV1122" s="34"/>
      <c r="AW1122" s="34"/>
    </row>
    <row r="1123" ht="15.0" customHeight="1">
      <c r="A1123" s="32" t="s">
        <v>1148</v>
      </c>
      <c r="B1123" s="25"/>
      <c r="C1123" s="25"/>
      <c r="D1123" s="25"/>
      <c r="E1123" s="25"/>
      <c r="F1123" s="25"/>
      <c r="G1123" s="35">
        <v>0.0</v>
      </c>
      <c r="H1123" s="35">
        <v>1.0</v>
      </c>
      <c r="I1123" s="25"/>
      <c r="J1123" s="25"/>
      <c r="K1123" s="25"/>
      <c r="L1123" s="35"/>
      <c r="M1123" s="35"/>
      <c r="N1123" s="25"/>
      <c r="O1123" s="25"/>
      <c r="P1123" s="25"/>
      <c r="Q1123" s="35">
        <v>2.0</v>
      </c>
      <c r="R1123" s="35">
        <v>2.0</v>
      </c>
      <c r="S1123" s="35">
        <v>2.0</v>
      </c>
      <c r="T1123" s="35">
        <v>2.0</v>
      </c>
      <c r="U1123" s="34"/>
      <c r="V1123" s="34"/>
      <c r="W1123" s="34"/>
      <c r="X1123" s="34"/>
      <c r="Y1123" s="34"/>
      <c r="Z1123" s="34"/>
      <c r="AA1123" s="25"/>
      <c r="AB1123" s="25"/>
      <c r="AC1123" s="25"/>
      <c r="AD1123" s="25"/>
      <c r="AE1123" s="25"/>
      <c r="AF1123" s="25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25"/>
      <c r="AU1123" s="34"/>
      <c r="AV1123" s="34"/>
      <c r="AW1123" s="34"/>
    </row>
    <row r="1124" ht="15.0" customHeight="1">
      <c r="A1124" s="32" t="s">
        <v>1149</v>
      </c>
      <c r="B1124" s="25"/>
      <c r="C1124" s="25"/>
      <c r="D1124" s="25"/>
      <c r="E1124" s="25"/>
      <c r="F1124" s="25"/>
      <c r="G1124" s="35">
        <v>0.0</v>
      </c>
      <c r="H1124" s="35">
        <v>1.0</v>
      </c>
      <c r="I1124" s="25"/>
      <c r="J1124" s="25"/>
      <c r="K1124" s="25"/>
      <c r="L1124" s="35"/>
      <c r="M1124" s="35"/>
      <c r="N1124" s="25"/>
      <c r="O1124" s="25"/>
      <c r="P1124" s="25"/>
      <c r="Q1124" s="35">
        <v>2.0</v>
      </c>
      <c r="R1124" s="35">
        <v>2.0</v>
      </c>
      <c r="S1124" s="35">
        <v>2.0</v>
      </c>
      <c r="T1124" s="35">
        <v>2.0</v>
      </c>
      <c r="U1124" s="34"/>
      <c r="V1124" s="34"/>
      <c r="W1124" s="34"/>
      <c r="X1124" s="34"/>
      <c r="Y1124" s="34"/>
      <c r="Z1124" s="34"/>
      <c r="AA1124" s="25"/>
      <c r="AB1124" s="25"/>
      <c r="AC1124" s="25"/>
      <c r="AD1124" s="25"/>
      <c r="AE1124" s="25"/>
      <c r="AF1124" s="25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25"/>
      <c r="AU1124" s="34"/>
      <c r="AV1124" s="34"/>
      <c r="AW1124" s="34"/>
    </row>
    <row r="1125" ht="15.0" customHeight="1">
      <c r="A1125" s="32" t="s">
        <v>1150</v>
      </c>
      <c r="B1125" s="25"/>
      <c r="C1125" s="25"/>
      <c r="D1125" s="25"/>
      <c r="E1125" s="25"/>
      <c r="F1125" s="25"/>
      <c r="G1125" s="35">
        <v>0.0</v>
      </c>
      <c r="H1125" s="35">
        <v>1.0</v>
      </c>
      <c r="I1125" s="25"/>
      <c r="J1125" s="25"/>
      <c r="K1125" s="25"/>
      <c r="L1125" s="35"/>
      <c r="M1125" s="35"/>
      <c r="N1125" s="25"/>
      <c r="O1125" s="25"/>
      <c r="P1125" s="25"/>
      <c r="Q1125" s="35">
        <v>2.0</v>
      </c>
      <c r="R1125" s="35">
        <v>2.0</v>
      </c>
      <c r="S1125" s="35">
        <v>2.0</v>
      </c>
      <c r="T1125" s="35">
        <v>2.0</v>
      </c>
      <c r="U1125" s="34"/>
      <c r="V1125" s="34"/>
      <c r="W1125" s="34"/>
      <c r="X1125" s="34"/>
      <c r="Y1125" s="34"/>
      <c r="Z1125" s="34"/>
      <c r="AA1125" s="25"/>
      <c r="AB1125" s="25"/>
      <c r="AC1125" s="25"/>
      <c r="AD1125" s="25"/>
      <c r="AE1125" s="25"/>
      <c r="AF1125" s="25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25"/>
      <c r="AU1125" s="34"/>
      <c r="AV1125" s="34"/>
      <c r="AW1125" s="34"/>
    </row>
    <row r="1126" ht="15.0" customHeight="1">
      <c r="A1126" s="32" t="s">
        <v>1151</v>
      </c>
      <c r="B1126" s="25"/>
      <c r="C1126" s="25"/>
      <c r="D1126" s="25"/>
      <c r="E1126" s="25"/>
      <c r="F1126" s="25"/>
      <c r="G1126" s="35">
        <v>0.0</v>
      </c>
      <c r="H1126" s="35">
        <v>1.0</v>
      </c>
      <c r="I1126" s="25"/>
      <c r="J1126" s="25"/>
      <c r="K1126" s="25"/>
      <c r="L1126" s="35"/>
      <c r="M1126" s="35"/>
      <c r="N1126" s="25"/>
      <c r="O1126" s="25"/>
      <c r="P1126" s="25"/>
      <c r="Q1126" s="35">
        <v>2.0</v>
      </c>
      <c r="R1126" s="35">
        <v>2.0</v>
      </c>
      <c r="S1126" s="35">
        <v>2.0</v>
      </c>
      <c r="T1126" s="35">
        <v>2.0</v>
      </c>
      <c r="U1126" s="34"/>
      <c r="V1126" s="34"/>
      <c r="W1126" s="34"/>
      <c r="X1126" s="34"/>
      <c r="Y1126" s="34"/>
      <c r="Z1126" s="34"/>
      <c r="AA1126" s="25"/>
      <c r="AB1126" s="25"/>
      <c r="AC1126" s="25"/>
      <c r="AD1126" s="25"/>
      <c r="AE1126" s="25"/>
      <c r="AF1126" s="25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25"/>
      <c r="AU1126" s="34"/>
      <c r="AV1126" s="34"/>
      <c r="AW1126" s="34"/>
    </row>
    <row r="1127" ht="15.0" customHeight="1">
      <c r="A1127" s="32" t="s">
        <v>1152</v>
      </c>
      <c r="B1127" s="25"/>
      <c r="C1127" s="25"/>
      <c r="D1127" s="25"/>
      <c r="E1127" s="25"/>
      <c r="F1127" s="25"/>
      <c r="G1127" s="35">
        <v>0.0</v>
      </c>
      <c r="H1127" s="35">
        <v>1.0</v>
      </c>
      <c r="I1127" s="25"/>
      <c r="J1127" s="25"/>
      <c r="K1127" s="25"/>
      <c r="L1127" s="35"/>
      <c r="M1127" s="35"/>
      <c r="N1127" s="25"/>
      <c r="O1127" s="25"/>
      <c r="P1127" s="25"/>
      <c r="Q1127" s="35">
        <v>2.0</v>
      </c>
      <c r="R1127" s="35">
        <v>2.0</v>
      </c>
      <c r="S1127" s="35">
        <v>2.0</v>
      </c>
      <c r="T1127" s="35">
        <v>2.0</v>
      </c>
      <c r="U1127" s="34"/>
      <c r="V1127" s="34"/>
      <c r="W1127" s="34"/>
      <c r="X1127" s="34"/>
      <c r="Y1127" s="34"/>
      <c r="Z1127" s="34"/>
      <c r="AA1127" s="25"/>
      <c r="AB1127" s="25"/>
      <c r="AC1127" s="25"/>
      <c r="AD1127" s="25"/>
      <c r="AE1127" s="25"/>
      <c r="AF1127" s="25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25"/>
      <c r="AU1127" s="34"/>
      <c r="AV1127" s="34"/>
      <c r="AW1127" s="34"/>
    </row>
    <row r="1128" ht="15.0" customHeight="1">
      <c r="A1128" s="32" t="s">
        <v>1153</v>
      </c>
      <c r="B1128" s="25"/>
      <c r="C1128" s="25"/>
      <c r="D1128" s="25"/>
      <c r="E1128" s="25"/>
      <c r="F1128" s="25"/>
      <c r="G1128" s="35">
        <v>0.0</v>
      </c>
      <c r="H1128" s="35">
        <v>1.0</v>
      </c>
      <c r="I1128" s="25"/>
      <c r="J1128" s="25"/>
      <c r="K1128" s="25"/>
      <c r="L1128" s="35"/>
      <c r="M1128" s="35"/>
      <c r="N1128" s="25"/>
      <c r="O1128" s="25"/>
      <c r="P1128" s="25"/>
      <c r="Q1128" s="35">
        <v>2.0</v>
      </c>
      <c r="R1128" s="35">
        <v>2.0</v>
      </c>
      <c r="S1128" s="35">
        <v>2.0</v>
      </c>
      <c r="T1128" s="35">
        <v>2.0</v>
      </c>
      <c r="U1128" s="34"/>
      <c r="V1128" s="34"/>
      <c r="W1128" s="34"/>
      <c r="X1128" s="34"/>
      <c r="Y1128" s="34"/>
      <c r="Z1128" s="34"/>
      <c r="AA1128" s="25"/>
      <c r="AB1128" s="25"/>
      <c r="AC1128" s="25"/>
      <c r="AD1128" s="25"/>
      <c r="AE1128" s="25"/>
      <c r="AF1128" s="25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25"/>
      <c r="AU1128" s="34"/>
      <c r="AV1128" s="34"/>
      <c r="AW1128" s="34"/>
    </row>
    <row r="1129" ht="15.0" customHeight="1">
      <c r="A1129" s="32" t="s">
        <v>1154</v>
      </c>
      <c r="B1129" s="25"/>
      <c r="C1129" s="25"/>
      <c r="D1129" s="25"/>
      <c r="E1129" s="25"/>
      <c r="F1129" s="25"/>
      <c r="G1129" s="35">
        <v>0.0</v>
      </c>
      <c r="H1129" s="35">
        <v>1.0</v>
      </c>
      <c r="I1129" s="25"/>
      <c r="J1129" s="25"/>
      <c r="K1129" s="25"/>
      <c r="L1129" s="35"/>
      <c r="M1129" s="35"/>
      <c r="N1129" s="25"/>
      <c r="O1129" s="25"/>
      <c r="P1129" s="25"/>
      <c r="Q1129" s="35">
        <v>2.0</v>
      </c>
      <c r="R1129" s="35">
        <v>2.0</v>
      </c>
      <c r="S1129" s="35">
        <v>2.0</v>
      </c>
      <c r="T1129" s="35">
        <v>2.0</v>
      </c>
      <c r="U1129" s="34"/>
      <c r="V1129" s="34"/>
      <c r="W1129" s="34"/>
      <c r="X1129" s="34"/>
      <c r="Y1129" s="34"/>
      <c r="Z1129" s="34"/>
      <c r="AA1129" s="25"/>
      <c r="AB1129" s="25"/>
      <c r="AC1129" s="25"/>
      <c r="AD1129" s="25"/>
      <c r="AE1129" s="25"/>
      <c r="AF1129" s="25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25"/>
      <c r="AU1129" s="34"/>
      <c r="AV1129" s="34"/>
      <c r="AW1129" s="34"/>
    </row>
    <row r="1130" ht="15.0" customHeight="1">
      <c r="A1130" s="32" t="s">
        <v>1155</v>
      </c>
      <c r="B1130" s="25"/>
      <c r="C1130" s="25"/>
      <c r="D1130" s="25"/>
      <c r="E1130" s="25"/>
      <c r="F1130" s="25"/>
      <c r="G1130" s="35">
        <v>0.0</v>
      </c>
      <c r="H1130" s="35">
        <v>1.0</v>
      </c>
      <c r="I1130" s="25"/>
      <c r="J1130" s="25"/>
      <c r="K1130" s="25"/>
      <c r="L1130" s="35"/>
      <c r="M1130" s="35"/>
      <c r="N1130" s="25"/>
      <c r="O1130" s="25"/>
      <c r="P1130" s="25"/>
      <c r="Q1130" s="35">
        <v>2.0</v>
      </c>
      <c r="R1130" s="35">
        <v>2.0</v>
      </c>
      <c r="S1130" s="35">
        <v>2.0</v>
      </c>
      <c r="T1130" s="35">
        <v>2.0</v>
      </c>
      <c r="U1130" s="34"/>
      <c r="V1130" s="34"/>
      <c r="W1130" s="34"/>
      <c r="X1130" s="34"/>
      <c r="Y1130" s="34"/>
      <c r="Z1130" s="34"/>
      <c r="AA1130" s="25"/>
      <c r="AB1130" s="25"/>
      <c r="AC1130" s="25"/>
      <c r="AD1130" s="25"/>
      <c r="AE1130" s="25"/>
      <c r="AF1130" s="25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25"/>
      <c r="AU1130" s="34"/>
      <c r="AV1130" s="34"/>
      <c r="AW1130" s="34"/>
    </row>
    <row r="1131" ht="15.0" customHeight="1">
      <c r="A1131" s="32" t="s">
        <v>1156</v>
      </c>
      <c r="B1131" s="25"/>
      <c r="C1131" s="25"/>
      <c r="D1131" s="25"/>
      <c r="E1131" s="25"/>
      <c r="F1131" s="25"/>
      <c r="G1131" s="35">
        <v>0.0</v>
      </c>
      <c r="H1131" s="35">
        <v>1.0</v>
      </c>
      <c r="I1131" s="25"/>
      <c r="J1131" s="25"/>
      <c r="K1131" s="25"/>
      <c r="L1131" s="35"/>
      <c r="M1131" s="35"/>
      <c r="N1131" s="25"/>
      <c r="O1131" s="25"/>
      <c r="P1131" s="25"/>
      <c r="Q1131" s="35">
        <v>2.0</v>
      </c>
      <c r="R1131" s="35">
        <v>2.0</v>
      </c>
      <c r="S1131" s="35">
        <v>2.0</v>
      </c>
      <c r="T1131" s="35">
        <v>2.0</v>
      </c>
      <c r="U1131" s="34"/>
      <c r="V1131" s="34"/>
      <c r="W1131" s="34"/>
      <c r="X1131" s="34"/>
      <c r="Y1131" s="34"/>
      <c r="Z1131" s="34"/>
      <c r="AA1131" s="25"/>
      <c r="AB1131" s="25"/>
      <c r="AC1131" s="25"/>
      <c r="AD1131" s="25"/>
      <c r="AE1131" s="25"/>
      <c r="AF1131" s="25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25"/>
      <c r="AU1131" s="34"/>
      <c r="AV1131" s="34"/>
      <c r="AW1131" s="34"/>
    </row>
    <row r="1132" ht="15.0" customHeight="1">
      <c r="A1132" s="32" t="s">
        <v>1157</v>
      </c>
      <c r="B1132" s="25"/>
      <c r="C1132" s="25"/>
      <c r="D1132" s="25"/>
      <c r="E1132" s="25"/>
      <c r="F1132" s="25"/>
      <c r="G1132" s="35">
        <v>0.0</v>
      </c>
      <c r="H1132" s="35">
        <v>1.0</v>
      </c>
      <c r="I1132" s="25"/>
      <c r="J1132" s="25"/>
      <c r="K1132" s="25"/>
      <c r="L1132" s="35"/>
      <c r="M1132" s="35"/>
      <c r="N1132" s="25"/>
      <c r="O1132" s="25"/>
      <c r="P1132" s="25"/>
      <c r="Q1132" s="35">
        <v>2.0</v>
      </c>
      <c r="R1132" s="35">
        <v>2.0</v>
      </c>
      <c r="S1132" s="35">
        <v>2.0</v>
      </c>
      <c r="T1132" s="35">
        <v>2.0</v>
      </c>
      <c r="U1132" s="34"/>
      <c r="V1132" s="34"/>
      <c r="W1132" s="34"/>
      <c r="X1132" s="34"/>
      <c r="Y1132" s="34"/>
      <c r="Z1132" s="34"/>
      <c r="AA1132" s="25"/>
      <c r="AB1132" s="25"/>
      <c r="AC1132" s="25"/>
      <c r="AD1132" s="25"/>
      <c r="AE1132" s="25"/>
      <c r="AF1132" s="25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25"/>
      <c r="AU1132" s="34"/>
      <c r="AV1132" s="34"/>
      <c r="AW1132" s="34"/>
    </row>
    <row r="1133" ht="15.0" customHeight="1">
      <c r="A1133" s="32" t="s">
        <v>1158</v>
      </c>
      <c r="B1133" s="25"/>
      <c r="C1133" s="25"/>
      <c r="D1133" s="25"/>
      <c r="E1133" s="25"/>
      <c r="F1133" s="25"/>
      <c r="G1133" s="35">
        <v>0.0</v>
      </c>
      <c r="H1133" s="35">
        <v>1.0</v>
      </c>
      <c r="I1133" s="25"/>
      <c r="J1133" s="25"/>
      <c r="K1133" s="25"/>
      <c r="L1133" s="35"/>
      <c r="M1133" s="35"/>
      <c r="N1133" s="25"/>
      <c r="O1133" s="25"/>
      <c r="P1133" s="25"/>
      <c r="Q1133" s="35">
        <v>2.0</v>
      </c>
      <c r="R1133" s="35">
        <v>2.0</v>
      </c>
      <c r="S1133" s="35">
        <v>2.0</v>
      </c>
      <c r="T1133" s="35">
        <v>2.0</v>
      </c>
      <c r="U1133" s="34"/>
      <c r="V1133" s="34"/>
      <c r="W1133" s="34"/>
      <c r="X1133" s="34"/>
      <c r="Y1133" s="34"/>
      <c r="Z1133" s="34"/>
      <c r="AA1133" s="25"/>
      <c r="AB1133" s="25"/>
      <c r="AC1133" s="25"/>
      <c r="AD1133" s="25"/>
      <c r="AE1133" s="25"/>
      <c r="AF1133" s="25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25"/>
      <c r="AU1133" s="34"/>
      <c r="AV1133" s="34"/>
      <c r="AW1133" s="34"/>
    </row>
    <row r="1134" ht="15.0" customHeight="1">
      <c r="A1134" s="32" t="s">
        <v>1159</v>
      </c>
      <c r="B1134" s="25"/>
      <c r="C1134" s="25"/>
      <c r="D1134" s="25"/>
      <c r="E1134" s="25"/>
      <c r="F1134" s="25"/>
      <c r="G1134" s="35">
        <v>0.0</v>
      </c>
      <c r="H1134" s="35">
        <v>1.0</v>
      </c>
      <c r="I1134" s="25"/>
      <c r="J1134" s="25"/>
      <c r="K1134" s="25"/>
      <c r="L1134" s="35"/>
      <c r="M1134" s="35"/>
      <c r="N1134" s="25"/>
      <c r="O1134" s="25"/>
      <c r="P1134" s="25"/>
      <c r="Q1134" s="35">
        <v>2.0</v>
      </c>
      <c r="R1134" s="35">
        <v>2.0</v>
      </c>
      <c r="S1134" s="35">
        <v>2.0</v>
      </c>
      <c r="T1134" s="35">
        <v>2.0</v>
      </c>
      <c r="U1134" s="34"/>
      <c r="V1134" s="34"/>
      <c r="W1134" s="34"/>
      <c r="X1134" s="34"/>
      <c r="Y1134" s="34"/>
      <c r="Z1134" s="34"/>
      <c r="AA1134" s="25"/>
      <c r="AB1134" s="25"/>
      <c r="AC1134" s="25"/>
      <c r="AD1134" s="25"/>
      <c r="AE1134" s="25"/>
      <c r="AF1134" s="25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25"/>
      <c r="AU1134" s="34"/>
      <c r="AV1134" s="34"/>
      <c r="AW1134" s="34"/>
    </row>
    <row r="1135" ht="15.0" customHeight="1">
      <c r="A1135" s="32" t="s">
        <v>1160</v>
      </c>
      <c r="B1135" s="25"/>
      <c r="C1135" s="25"/>
      <c r="D1135" s="25"/>
      <c r="E1135" s="25"/>
      <c r="F1135" s="25"/>
      <c r="G1135" s="35">
        <v>0.0</v>
      </c>
      <c r="H1135" s="35">
        <v>1.0</v>
      </c>
      <c r="I1135" s="25"/>
      <c r="J1135" s="25"/>
      <c r="K1135" s="25"/>
      <c r="L1135" s="35"/>
      <c r="M1135" s="35"/>
      <c r="N1135" s="25"/>
      <c r="O1135" s="25"/>
      <c r="P1135" s="25"/>
      <c r="Q1135" s="35">
        <v>2.0</v>
      </c>
      <c r="R1135" s="35">
        <v>2.0</v>
      </c>
      <c r="S1135" s="35">
        <v>2.0</v>
      </c>
      <c r="T1135" s="35">
        <v>2.0</v>
      </c>
      <c r="U1135" s="34"/>
      <c r="V1135" s="34"/>
      <c r="W1135" s="34"/>
      <c r="X1135" s="34"/>
      <c r="Y1135" s="34"/>
      <c r="Z1135" s="34"/>
      <c r="AA1135" s="25"/>
      <c r="AB1135" s="25"/>
      <c r="AC1135" s="25"/>
      <c r="AD1135" s="25"/>
      <c r="AE1135" s="25"/>
      <c r="AF1135" s="25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25"/>
      <c r="AU1135" s="34"/>
      <c r="AV1135" s="34"/>
      <c r="AW1135" s="34"/>
    </row>
    <row r="1136" ht="15.0" customHeight="1">
      <c r="A1136" s="32" t="s">
        <v>1161</v>
      </c>
      <c r="B1136" s="25"/>
      <c r="C1136" s="25"/>
      <c r="D1136" s="25"/>
      <c r="E1136" s="25"/>
      <c r="F1136" s="25"/>
      <c r="G1136" s="35">
        <v>0.0</v>
      </c>
      <c r="H1136" s="35">
        <v>1.0</v>
      </c>
      <c r="I1136" s="25"/>
      <c r="J1136" s="25"/>
      <c r="K1136" s="25"/>
      <c r="L1136" s="35"/>
      <c r="M1136" s="35"/>
      <c r="N1136" s="25"/>
      <c r="O1136" s="25"/>
      <c r="P1136" s="25"/>
      <c r="Q1136" s="35">
        <v>2.0</v>
      </c>
      <c r="R1136" s="35">
        <v>2.0</v>
      </c>
      <c r="S1136" s="35">
        <v>2.0</v>
      </c>
      <c r="T1136" s="35">
        <v>2.0</v>
      </c>
      <c r="U1136" s="34"/>
      <c r="V1136" s="34"/>
      <c r="W1136" s="34"/>
      <c r="X1136" s="34"/>
      <c r="Y1136" s="34"/>
      <c r="Z1136" s="34"/>
      <c r="AA1136" s="25"/>
      <c r="AB1136" s="25"/>
      <c r="AC1136" s="25"/>
      <c r="AD1136" s="25"/>
      <c r="AE1136" s="25"/>
      <c r="AF1136" s="25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25"/>
      <c r="AU1136" s="34"/>
      <c r="AV1136" s="34"/>
      <c r="AW1136" s="34"/>
    </row>
    <row r="1137" ht="15.0" customHeight="1">
      <c r="A1137" s="32" t="s">
        <v>1162</v>
      </c>
      <c r="B1137" s="25"/>
      <c r="C1137" s="25"/>
      <c r="D1137" s="25"/>
      <c r="E1137" s="25"/>
      <c r="F1137" s="25"/>
      <c r="G1137" s="35">
        <v>0.0</v>
      </c>
      <c r="H1137" s="35">
        <v>1.0</v>
      </c>
      <c r="I1137" s="25"/>
      <c r="J1137" s="25"/>
      <c r="K1137" s="25"/>
      <c r="L1137" s="35"/>
      <c r="M1137" s="35"/>
      <c r="N1137" s="25"/>
      <c r="O1137" s="25"/>
      <c r="P1137" s="25"/>
      <c r="Q1137" s="35">
        <v>2.0</v>
      </c>
      <c r="R1137" s="35">
        <v>2.0</v>
      </c>
      <c r="S1137" s="35">
        <v>2.0</v>
      </c>
      <c r="T1137" s="35">
        <v>2.0</v>
      </c>
      <c r="U1137" s="34"/>
      <c r="V1137" s="34"/>
      <c r="W1137" s="34"/>
      <c r="X1137" s="34"/>
      <c r="Y1137" s="34"/>
      <c r="Z1137" s="34"/>
      <c r="AA1137" s="25"/>
      <c r="AB1137" s="25"/>
      <c r="AC1137" s="25"/>
      <c r="AD1137" s="25"/>
      <c r="AE1137" s="25"/>
      <c r="AF1137" s="25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25"/>
      <c r="AU1137" s="34"/>
      <c r="AV1137" s="34"/>
      <c r="AW1137" s="34"/>
    </row>
    <row r="1138" ht="15.0" customHeight="1">
      <c r="A1138" s="32" t="s">
        <v>1163</v>
      </c>
      <c r="B1138" s="25"/>
      <c r="C1138" s="25"/>
      <c r="D1138" s="25"/>
      <c r="E1138" s="25"/>
      <c r="F1138" s="25"/>
      <c r="G1138" s="35">
        <v>0.0</v>
      </c>
      <c r="H1138" s="35">
        <v>1.0</v>
      </c>
      <c r="I1138" s="25"/>
      <c r="J1138" s="25"/>
      <c r="K1138" s="25"/>
      <c r="L1138" s="35"/>
      <c r="M1138" s="35"/>
      <c r="N1138" s="25"/>
      <c r="O1138" s="25"/>
      <c r="P1138" s="25"/>
      <c r="Q1138" s="35">
        <v>2.0</v>
      </c>
      <c r="R1138" s="35">
        <v>2.0</v>
      </c>
      <c r="S1138" s="35">
        <v>2.0</v>
      </c>
      <c r="T1138" s="35">
        <v>2.0</v>
      </c>
      <c r="U1138" s="34"/>
      <c r="V1138" s="34"/>
      <c r="W1138" s="34"/>
      <c r="X1138" s="34"/>
      <c r="Y1138" s="34"/>
      <c r="Z1138" s="34"/>
      <c r="AA1138" s="25"/>
      <c r="AB1138" s="25"/>
      <c r="AC1138" s="25"/>
      <c r="AD1138" s="25"/>
      <c r="AE1138" s="25"/>
      <c r="AF1138" s="25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25"/>
      <c r="AU1138" s="34"/>
      <c r="AV1138" s="34"/>
      <c r="AW1138" s="34"/>
    </row>
    <row r="1139" ht="15.0" customHeight="1">
      <c r="A1139" s="32" t="s">
        <v>1164</v>
      </c>
      <c r="B1139" s="25"/>
      <c r="C1139" s="25"/>
      <c r="D1139" s="25"/>
      <c r="E1139" s="25"/>
      <c r="F1139" s="25"/>
      <c r="G1139" s="35">
        <v>0.0</v>
      </c>
      <c r="H1139" s="35">
        <v>1.0</v>
      </c>
      <c r="I1139" s="25"/>
      <c r="J1139" s="25"/>
      <c r="K1139" s="25"/>
      <c r="L1139" s="35"/>
      <c r="M1139" s="35"/>
      <c r="N1139" s="25"/>
      <c r="O1139" s="25"/>
      <c r="P1139" s="25"/>
      <c r="Q1139" s="35">
        <v>2.0</v>
      </c>
      <c r="R1139" s="35">
        <v>2.0</v>
      </c>
      <c r="S1139" s="35">
        <v>2.0</v>
      </c>
      <c r="T1139" s="35">
        <v>2.0</v>
      </c>
      <c r="U1139" s="34"/>
      <c r="V1139" s="34"/>
      <c r="W1139" s="34"/>
      <c r="X1139" s="34"/>
      <c r="Y1139" s="34"/>
      <c r="Z1139" s="34"/>
      <c r="AA1139" s="25"/>
      <c r="AB1139" s="25"/>
      <c r="AC1139" s="25"/>
      <c r="AD1139" s="25"/>
      <c r="AE1139" s="25"/>
      <c r="AF1139" s="25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25"/>
      <c r="AU1139" s="34"/>
      <c r="AV1139" s="34"/>
      <c r="AW1139" s="34"/>
    </row>
    <row r="1140" ht="15.0" customHeight="1">
      <c r="A1140" s="32" t="s">
        <v>1165</v>
      </c>
      <c r="B1140" s="25"/>
      <c r="C1140" s="25"/>
      <c r="D1140" s="25"/>
      <c r="E1140" s="25"/>
      <c r="F1140" s="25"/>
      <c r="G1140" s="35">
        <v>0.0</v>
      </c>
      <c r="H1140" s="35">
        <v>1.0</v>
      </c>
      <c r="I1140" s="25"/>
      <c r="J1140" s="25"/>
      <c r="K1140" s="25"/>
      <c r="L1140" s="35"/>
      <c r="M1140" s="35"/>
      <c r="N1140" s="25"/>
      <c r="O1140" s="25"/>
      <c r="P1140" s="25"/>
      <c r="Q1140" s="35">
        <v>2.0</v>
      </c>
      <c r="R1140" s="35">
        <v>2.0</v>
      </c>
      <c r="S1140" s="35">
        <v>2.0</v>
      </c>
      <c r="T1140" s="35">
        <v>2.0</v>
      </c>
      <c r="U1140" s="34"/>
      <c r="V1140" s="34"/>
      <c r="W1140" s="34"/>
      <c r="X1140" s="34"/>
      <c r="Y1140" s="34"/>
      <c r="Z1140" s="34"/>
      <c r="AA1140" s="25"/>
      <c r="AB1140" s="25"/>
      <c r="AC1140" s="25"/>
      <c r="AD1140" s="25"/>
      <c r="AE1140" s="25"/>
      <c r="AF1140" s="25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25"/>
      <c r="AU1140" s="34"/>
      <c r="AV1140" s="34"/>
      <c r="AW1140" s="34"/>
    </row>
    <row r="1141" ht="15.0" customHeight="1">
      <c r="A1141" s="32" t="s">
        <v>1166</v>
      </c>
      <c r="B1141" s="25"/>
      <c r="C1141" s="25"/>
      <c r="D1141" s="25"/>
      <c r="E1141" s="25"/>
      <c r="F1141" s="25"/>
      <c r="G1141" s="35">
        <v>0.0</v>
      </c>
      <c r="H1141" s="35">
        <v>1.0</v>
      </c>
      <c r="I1141" s="25"/>
      <c r="J1141" s="25"/>
      <c r="K1141" s="25"/>
      <c r="L1141" s="35"/>
      <c r="M1141" s="35"/>
      <c r="N1141" s="25"/>
      <c r="O1141" s="25"/>
      <c r="P1141" s="25"/>
      <c r="Q1141" s="35">
        <v>2.0</v>
      </c>
      <c r="R1141" s="35">
        <v>2.0</v>
      </c>
      <c r="S1141" s="35">
        <v>2.0</v>
      </c>
      <c r="T1141" s="35">
        <v>2.0</v>
      </c>
      <c r="U1141" s="34"/>
      <c r="V1141" s="34"/>
      <c r="W1141" s="34"/>
      <c r="X1141" s="34"/>
      <c r="Y1141" s="34"/>
      <c r="Z1141" s="34"/>
      <c r="AA1141" s="25"/>
      <c r="AB1141" s="25"/>
      <c r="AC1141" s="25"/>
      <c r="AD1141" s="25"/>
      <c r="AE1141" s="25"/>
      <c r="AF1141" s="25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25"/>
      <c r="AU1141" s="34"/>
      <c r="AV1141" s="34"/>
      <c r="AW1141" s="34"/>
    </row>
    <row r="1142" ht="15.0" customHeight="1">
      <c r="A1142" s="32" t="s">
        <v>1167</v>
      </c>
      <c r="B1142" s="25"/>
      <c r="C1142" s="25"/>
      <c r="D1142" s="25"/>
      <c r="E1142" s="25"/>
      <c r="F1142" s="25"/>
      <c r="G1142" s="35">
        <v>0.0</v>
      </c>
      <c r="H1142" s="35">
        <v>1.0</v>
      </c>
      <c r="I1142" s="25"/>
      <c r="J1142" s="25"/>
      <c r="K1142" s="25"/>
      <c r="L1142" s="35"/>
      <c r="M1142" s="35"/>
      <c r="N1142" s="25"/>
      <c r="O1142" s="25"/>
      <c r="P1142" s="25"/>
      <c r="Q1142" s="35">
        <v>2.0</v>
      </c>
      <c r="R1142" s="35">
        <v>2.0</v>
      </c>
      <c r="S1142" s="35">
        <v>2.0</v>
      </c>
      <c r="T1142" s="35">
        <v>2.0</v>
      </c>
      <c r="U1142" s="34"/>
      <c r="V1142" s="34"/>
      <c r="W1142" s="34"/>
      <c r="X1142" s="34"/>
      <c r="Y1142" s="34"/>
      <c r="Z1142" s="34"/>
      <c r="AA1142" s="25"/>
      <c r="AB1142" s="25"/>
      <c r="AC1142" s="25"/>
      <c r="AD1142" s="25"/>
      <c r="AE1142" s="25"/>
      <c r="AF1142" s="25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25"/>
      <c r="AU1142" s="34"/>
      <c r="AV1142" s="34"/>
      <c r="AW1142" s="34"/>
    </row>
    <row r="1143" ht="15.0" customHeight="1">
      <c r="A1143" s="32" t="s">
        <v>1168</v>
      </c>
      <c r="B1143" s="25"/>
      <c r="C1143" s="25"/>
      <c r="D1143" s="25"/>
      <c r="E1143" s="25"/>
      <c r="F1143" s="25"/>
      <c r="G1143" s="35">
        <v>0.0</v>
      </c>
      <c r="H1143" s="35">
        <v>1.0</v>
      </c>
      <c r="I1143" s="25"/>
      <c r="J1143" s="25"/>
      <c r="K1143" s="25"/>
      <c r="L1143" s="35"/>
      <c r="M1143" s="35"/>
      <c r="N1143" s="25"/>
      <c r="O1143" s="25"/>
      <c r="P1143" s="25"/>
      <c r="Q1143" s="35">
        <v>2.0</v>
      </c>
      <c r="R1143" s="35">
        <v>2.0</v>
      </c>
      <c r="S1143" s="35">
        <v>2.0</v>
      </c>
      <c r="T1143" s="35">
        <v>2.0</v>
      </c>
      <c r="U1143" s="34"/>
      <c r="V1143" s="34"/>
      <c r="W1143" s="34"/>
      <c r="X1143" s="34"/>
      <c r="Y1143" s="34"/>
      <c r="Z1143" s="34"/>
      <c r="AA1143" s="25"/>
      <c r="AB1143" s="25"/>
      <c r="AC1143" s="25"/>
      <c r="AD1143" s="25"/>
      <c r="AE1143" s="25"/>
      <c r="AF1143" s="25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25"/>
      <c r="AU1143" s="34"/>
      <c r="AV1143" s="34"/>
      <c r="AW1143" s="34"/>
    </row>
    <row r="1144" ht="15.0" customHeight="1">
      <c r="A1144" s="32" t="s">
        <v>1169</v>
      </c>
      <c r="B1144" s="25"/>
      <c r="C1144" s="25"/>
      <c r="D1144" s="25"/>
      <c r="E1144" s="25"/>
      <c r="F1144" s="25"/>
      <c r="G1144" s="35">
        <v>0.0</v>
      </c>
      <c r="H1144" s="35">
        <v>1.0</v>
      </c>
      <c r="I1144" s="25"/>
      <c r="J1144" s="25"/>
      <c r="K1144" s="25"/>
      <c r="L1144" s="35"/>
      <c r="M1144" s="35"/>
      <c r="N1144" s="25"/>
      <c r="O1144" s="25"/>
      <c r="P1144" s="25"/>
      <c r="Q1144" s="35">
        <v>2.0</v>
      </c>
      <c r="R1144" s="35">
        <v>2.0</v>
      </c>
      <c r="S1144" s="35">
        <v>2.0</v>
      </c>
      <c r="T1144" s="35">
        <v>2.0</v>
      </c>
      <c r="U1144" s="34"/>
      <c r="V1144" s="34"/>
      <c r="W1144" s="34"/>
      <c r="X1144" s="34"/>
      <c r="Y1144" s="34"/>
      <c r="Z1144" s="34"/>
      <c r="AA1144" s="25"/>
      <c r="AB1144" s="25"/>
      <c r="AC1144" s="25"/>
      <c r="AD1144" s="25"/>
      <c r="AE1144" s="25"/>
      <c r="AF1144" s="25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25"/>
      <c r="AU1144" s="34"/>
      <c r="AV1144" s="34"/>
      <c r="AW1144" s="34"/>
    </row>
    <row r="1145" ht="15.0" customHeight="1">
      <c r="A1145" s="32" t="s">
        <v>1170</v>
      </c>
      <c r="B1145" s="25"/>
      <c r="C1145" s="25"/>
      <c r="D1145" s="25"/>
      <c r="E1145" s="25"/>
      <c r="F1145" s="25"/>
      <c r="G1145" s="35">
        <v>0.0</v>
      </c>
      <c r="H1145" s="35">
        <v>1.0</v>
      </c>
      <c r="I1145" s="25"/>
      <c r="J1145" s="25"/>
      <c r="K1145" s="25"/>
      <c r="L1145" s="35"/>
      <c r="M1145" s="35"/>
      <c r="N1145" s="25"/>
      <c r="O1145" s="25"/>
      <c r="P1145" s="25"/>
      <c r="Q1145" s="35">
        <v>2.0</v>
      </c>
      <c r="R1145" s="35">
        <v>2.0</v>
      </c>
      <c r="S1145" s="35">
        <v>2.0</v>
      </c>
      <c r="T1145" s="35">
        <v>2.0</v>
      </c>
      <c r="U1145" s="34"/>
      <c r="V1145" s="34"/>
      <c r="W1145" s="34"/>
      <c r="X1145" s="34"/>
      <c r="Y1145" s="34"/>
      <c r="Z1145" s="34"/>
      <c r="AA1145" s="25"/>
      <c r="AB1145" s="25"/>
      <c r="AC1145" s="25"/>
      <c r="AD1145" s="25"/>
      <c r="AE1145" s="25"/>
      <c r="AF1145" s="25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25"/>
      <c r="AU1145" s="34"/>
      <c r="AV1145" s="34"/>
      <c r="AW1145" s="34"/>
    </row>
    <row r="1146" ht="15.0" customHeight="1">
      <c r="A1146" s="32" t="s">
        <v>1171</v>
      </c>
      <c r="B1146" s="25"/>
      <c r="C1146" s="25"/>
      <c r="D1146" s="25"/>
      <c r="E1146" s="25"/>
      <c r="F1146" s="25"/>
      <c r="G1146" s="35">
        <v>0.0</v>
      </c>
      <c r="H1146" s="35">
        <v>1.0</v>
      </c>
      <c r="I1146" s="25"/>
      <c r="J1146" s="25"/>
      <c r="K1146" s="25"/>
      <c r="L1146" s="35"/>
      <c r="M1146" s="35"/>
      <c r="N1146" s="25"/>
      <c r="O1146" s="25"/>
      <c r="P1146" s="25"/>
      <c r="Q1146" s="35">
        <v>2.0</v>
      </c>
      <c r="R1146" s="35">
        <v>2.0</v>
      </c>
      <c r="S1146" s="35">
        <v>2.0</v>
      </c>
      <c r="T1146" s="35">
        <v>2.0</v>
      </c>
      <c r="U1146" s="34"/>
      <c r="V1146" s="34"/>
      <c r="W1146" s="34"/>
      <c r="X1146" s="34"/>
      <c r="Y1146" s="34"/>
      <c r="Z1146" s="34"/>
      <c r="AA1146" s="25"/>
      <c r="AB1146" s="25"/>
      <c r="AC1146" s="25"/>
      <c r="AD1146" s="25"/>
      <c r="AE1146" s="25"/>
      <c r="AF1146" s="25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25"/>
      <c r="AU1146" s="34"/>
      <c r="AV1146" s="34"/>
      <c r="AW1146" s="34"/>
    </row>
    <row r="1147" ht="15.0" customHeight="1">
      <c r="A1147" s="32" t="s">
        <v>1172</v>
      </c>
      <c r="B1147" s="25"/>
      <c r="C1147" s="25"/>
      <c r="D1147" s="25"/>
      <c r="E1147" s="25"/>
      <c r="F1147" s="25"/>
      <c r="G1147" s="35">
        <v>0.0</v>
      </c>
      <c r="H1147" s="35">
        <v>1.0</v>
      </c>
      <c r="I1147" s="25"/>
      <c r="J1147" s="25"/>
      <c r="K1147" s="25"/>
      <c r="L1147" s="35"/>
      <c r="M1147" s="35"/>
      <c r="N1147" s="25"/>
      <c r="O1147" s="25"/>
      <c r="P1147" s="25"/>
      <c r="Q1147" s="35">
        <v>2.0</v>
      </c>
      <c r="R1147" s="35">
        <v>2.0</v>
      </c>
      <c r="S1147" s="35">
        <v>2.0</v>
      </c>
      <c r="T1147" s="35">
        <v>2.0</v>
      </c>
      <c r="U1147" s="34"/>
      <c r="V1147" s="34"/>
      <c r="W1147" s="34"/>
      <c r="X1147" s="34"/>
      <c r="Y1147" s="34"/>
      <c r="Z1147" s="34"/>
      <c r="AA1147" s="25"/>
      <c r="AB1147" s="25"/>
      <c r="AC1147" s="25"/>
      <c r="AD1147" s="25"/>
      <c r="AE1147" s="25"/>
      <c r="AF1147" s="25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25"/>
      <c r="AU1147" s="34"/>
      <c r="AV1147" s="34"/>
      <c r="AW1147" s="34"/>
    </row>
    <row r="1148" ht="15.0" customHeight="1">
      <c r="A1148" s="32" t="s">
        <v>1173</v>
      </c>
      <c r="B1148" s="25"/>
      <c r="C1148" s="25"/>
      <c r="D1148" s="25"/>
      <c r="E1148" s="25"/>
      <c r="F1148" s="25"/>
      <c r="G1148" s="35">
        <v>0.0</v>
      </c>
      <c r="H1148" s="35">
        <v>1.0</v>
      </c>
      <c r="I1148" s="25"/>
      <c r="J1148" s="25"/>
      <c r="K1148" s="25"/>
      <c r="L1148" s="35"/>
      <c r="M1148" s="35"/>
      <c r="N1148" s="25"/>
      <c r="O1148" s="25"/>
      <c r="P1148" s="25"/>
      <c r="Q1148" s="35">
        <v>2.0</v>
      </c>
      <c r="R1148" s="35">
        <v>2.0</v>
      </c>
      <c r="S1148" s="35">
        <v>2.0</v>
      </c>
      <c r="T1148" s="35">
        <v>2.0</v>
      </c>
      <c r="U1148" s="34"/>
      <c r="V1148" s="34"/>
      <c r="W1148" s="34"/>
      <c r="X1148" s="34"/>
      <c r="Y1148" s="34"/>
      <c r="Z1148" s="34"/>
      <c r="AA1148" s="25"/>
      <c r="AB1148" s="25"/>
      <c r="AC1148" s="25"/>
      <c r="AD1148" s="25"/>
      <c r="AE1148" s="25"/>
      <c r="AF1148" s="25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25"/>
      <c r="AU1148" s="34"/>
      <c r="AV1148" s="34"/>
      <c r="AW1148" s="34"/>
    </row>
    <row r="1149" ht="15.0" customHeight="1">
      <c r="A1149" s="32" t="s">
        <v>1174</v>
      </c>
      <c r="B1149" s="25"/>
      <c r="C1149" s="25"/>
      <c r="D1149" s="25"/>
      <c r="E1149" s="25"/>
      <c r="F1149" s="25"/>
      <c r="G1149" s="35">
        <v>0.0</v>
      </c>
      <c r="H1149" s="35">
        <v>1.0</v>
      </c>
      <c r="I1149" s="25"/>
      <c r="J1149" s="25"/>
      <c r="K1149" s="25"/>
      <c r="L1149" s="35"/>
      <c r="M1149" s="35"/>
      <c r="N1149" s="25"/>
      <c r="O1149" s="25"/>
      <c r="P1149" s="25"/>
      <c r="Q1149" s="35">
        <v>2.0</v>
      </c>
      <c r="R1149" s="35">
        <v>2.0</v>
      </c>
      <c r="S1149" s="35">
        <v>2.0</v>
      </c>
      <c r="T1149" s="35">
        <v>2.0</v>
      </c>
      <c r="U1149" s="34"/>
      <c r="V1149" s="34"/>
      <c r="W1149" s="34"/>
      <c r="X1149" s="34"/>
      <c r="Y1149" s="34"/>
      <c r="Z1149" s="34"/>
      <c r="AA1149" s="25"/>
      <c r="AB1149" s="25"/>
      <c r="AC1149" s="25"/>
      <c r="AD1149" s="25"/>
      <c r="AE1149" s="25"/>
      <c r="AF1149" s="25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25"/>
      <c r="AU1149" s="34"/>
      <c r="AV1149" s="34"/>
      <c r="AW1149" s="34"/>
    </row>
    <row r="1150" ht="15.0" customHeight="1">
      <c r="A1150" s="32" t="s">
        <v>1175</v>
      </c>
      <c r="B1150" s="25"/>
      <c r="C1150" s="25"/>
      <c r="D1150" s="25"/>
      <c r="E1150" s="25"/>
      <c r="F1150" s="25"/>
      <c r="G1150" s="35">
        <v>0.0</v>
      </c>
      <c r="H1150" s="35">
        <v>1.0</v>
      </c>
      <c r="I1150" s="25"/>
      <c r="J1150" s="25"/>
      <c r="K1150" s="25"/>
      <c r="L1150" s="35"/>
      <c r="M1150" s="35"/>
      <c r="N1150" s="25"/>
      <c r="O1150" s="25"/>
      <c r="P1150" s="25"/>
      <c r="Q1150" s="35">
        <v>2.0</v>
      </c>
      <c r="R1150" s="35">
        <v>2.0</v>
      </c>
      <c r="S1150" s="35">
        <v>2.0</v>
      </c>
      <c r="T1150" s="35">
        <v>2.0</v>
      </c>
      <c r="U1150" s="34"/>
      <c r="V1150" s="34"/>
      <c r="W1150" s="34"/>
      <c r="X1150" s="34"/>
      <c r="Y1150" s="34"/>
      <c r="Z1150" s="34"/>
      <c r="AA1150" s="25"/>
      <c r="AB1150" s="25"/>
      <c r="AC1150" s="25"/>
      <c r="AD1150" s="25"/>
      <c r="AE1150" s="25"/>
      <c r="AF1150" s="25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25"/>
      <c r="AU1150" s="34"/>
      <c r="AV1150" s="34"/>
      <c r="AW1150" s="34"/>
    </row>
    <row r="1151" ht="15.0" customHeight="1">
      <c r="A1151" s="32" t="s">
        <v>1176</v>
      </c>
      <c r="B1151" s="25"/>
      <c r="C1151" s="25"/>
      <c r="D1151" s="25"/>
      <c r="E1151" s="25"/>
      <c r="F1151" s="25"/>
      <c r="G1151" s="35">
        <v>0.0</v>
      </c>
      <c r="H1151" s="35">
        <v>1.0</v>
      </c>
      <c r="I1151" s="25"/>
      <c r="J1151" s="25"/>
      <c r="K1151" s="25"/>
      <c r="L1151" s="35"/>
      <c r="M1151" s="35"/>
      <c r="N1151" s="25"/>
      <c r="O1151" s="25"/>
      <c r="P1151" s="25"/>
      <c r="Q1151" s="35">
        <v>2.0</v>
      </c>
      <c r="R1151" s="35">
        <v>2.0</v>
      </c>
      <c r="S1151" s="35">
        <v>2.0</v>
      </c>
      <c r="T1151" s="35">
        <v>2.0</v>
      </c>
      <c r="U1151" s="34"/>
      <c r="V1151" s="34"/>
      <c r="W1151" s="34"/>
      <c r="X1151" s="34"/>
      <c r="Y1151" s="34"/>
      <c r="Z1151" s="34"/>
      <c r="AA1151" s="25"/>
      <c r="AB1151" s="25"/>
      <c r="AC1151" s="25"/>
      <c r="AD1151" s="25"/>
      <c r="AE1151" s="25"/>
      <c r="AF1151" s="25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25"/>
      <c r="AU1151" s="34"/>
      <c r="AV1151" s="34"/>
      <c r="AW1151" s="34"/>
    </row>
    <row r="1152" ht="15.0" customHeight="1">
      <c r="A1152" s="32" t="s">
        <v>1177</v>
      </c>
      <c r="B1152" s="25"/>
      <c r="C1152" s="25"/>
      <c r="D1152" s="25"/>
      <c r="E1152" s="25"/>
      <c r="F1152" s="25"/>
      <c r="G1152" s="35">
        <v>0.0</v>
      </c>
      <c r="H1152" s="35">
        <v>1.0</v>
      </c>
      <c r="I1152" s="25"/>
      <c r="J1152" s="25"/>
      <c r="K1152" s="25"/>
      <c r="L1152" s="35"/>
      <c r="M1152" s="35"/>
      <c r="N1152" s="25"/>
      <c r="O1152" s="25"/>
      <c r="P1152" s="25"/>
      <c r="Q1152" s="35">
        <v>2.0</v>
      </c>
      <c r="R1152" s="35">
        <v>2.0</v>
      </c>
      <c r="S1152" s="35">
        <v>2.0</v>
      </c>
      <c r="T1152" s="35">
        <v>2.0</v>
      </c>
      <c r="U1152" s="34"/>
      <c r="V1152" s="34"/>
      <c r="W1152" s="34"/>
      <c r="X1152" s="34"/>
      <c r="Y1152" s="34"/>
      <c r="Z1152" s="34"/>
      <c r="AA1152" s="25"/>
      <c r="AB1152" s="25"/>
      <c r="AC1152" s="25"/>
      <c r="AD1152" s="25"/>
      <c r="AE1152" s="25"/>
      <c r="AF1152" s="25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25"/>
      <c r="AU1152" s="34"/>
      <c r="AV1152" s="34"/>
      <c r="AW1152" s="34"/>
    </row>
    <row r="1153" ht="15.0" customHeight="1">
      <c r="A1153" s="32" t="s">
        <v>1178</v>
      </c>
      <c r="B1153" s="25"/>
      <c r="C1153" s="25"/>
      <c r="D1153" s="25"/>
      <c r="E1153" s="25"/>
      <c r="F1153" s="25"/>
      <c r="G1153" s="35">
        <v>0.0</v>
      </c>
      <c r="H1153" s="35">
        <v>1.0</v>
      </c>
      <c r="I1153" s="25"/>
      <c r="J1153" s="25"/>
      <c r="K1153" s="25"/>
      <c r="L1153" s="35"/>
      <c r="M1153" s="35"/>
      <c r="N1153" s="25"/>
      <c r="O1153" s="25"/>
      <c r="P1153" s="25"/>
      <c r="Q1153" s="35">
        <v>2.0</v>
      </c>
      <c r="R1153" s="35">
        <v>2.0</v>
      </c>
      <c r="S1153" s="35">
        <v>2.0</v>
      </c>
      <c r="T1153" s="35">
        <v>2.0</v>
      </c>
      <c r="U1153" s="34"/>
      <c r="V1153" s="34"/>
      <c r="W1153" s="34"/>
      <c r="X1153" s="34"/>
      <c r="Y1153" s="34"/>
      <c r="Z1153" s="34"/>
      <c r="AA1153" s="25"/>
      <c r="AB1153" s="25"/>
      <c r="AC1153" s="25"/>
      <c r="AD1153" s="25"/>
      <c r="AE1153" s="25"/>
      <c r="AF1153" s="25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25"/>
      <c r="AU1153" s="34"/>
      <c r="AV1153" s="34"/>
      <c r="AW1153" s="34"/>
    </row>
    <row r="1154" ht="15.0" customHeight="1">
      <c r="A1154" s="32" t="s">
        <v>1179</v>
      </c>
      <c r="B1154" s="25"/>
      <c r="C1154" s="25"/>
      <c r="D1154" s="25"/>
      <c r="E1154" s="25"/>
      <c r="F1154" s="25"/>
      <c r="G1154" s="35">
        <v>0.0</v>
      </c>
      <c r="H1154" s="35">
        <v>1.0</v>
      </c>
      <c r="I1154" s="25"/>
      <c r="J1154" s="25"/>
      <c r="K1154" s="25"/>
      <c r="L1154" s="35"/>
      <c r="M1154" s="35"/>
      <c r="N1154" s="25"/>
      <c r="O1154" s="25"/>
      <c r="P1154" s="25"/>
      <c r="Q1154" s="35">
        <v>2.0</v>
      </c>
      <c r="R1154" s="35">
        <v>2.0</v>
      </c>
      <c r="S1154" s="35">
        <v>2.0</v>
      </c>
      <c r="T1154" s="35">
        <v>2.0</v>
      </c>
      <c r="U1154" s="34"/>
      <c r="V1154" s="34"/>
      <c r="W1154" s="34"/>
      <c r="X1154" s="34"/>
      <c r="Y1154" s="34"/>
      <c r="Z1154" s="34"/>
      <c r="AA1154" s="25"/>
      <c r="AB1154" s="25"/>
      <c r="AC1154" s="25"/>
      <c r="AD1154" s="25"/>
      <c r="AE1154" s="25"/>
      <c r="AF1154" s="25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25"/>
      <c r="AU1154" s="34"/>
      <c r="AV1154" s="34"/>
      <c r="AW1154" s="34"/>
    </row>
    <row r="1155" ht="15.0" customHeight="1">
      <c r="A1155" s="32" t="s">
        <v>1180</v>
      </c>
      <c r="B1155" s="25"/>
      <c r="C1155" s="25"/>
      <c r="D1155" s="25"/>
      <c r="E1155" s="25"/>
      <c r="F1155" s="25"/>
      <c r="G1155" s="35">
        <v>0.0</v>
      </c>
      <c r="H1155" s="35">
        <v>1.0</v>
      </c>
      <c r="I1155" s="25"/>
      <c r="J1155" s="25"/>
      <c r="K1155" s="25"/>
      <c r="L1155" s="35"/>
      <c r="M1155" s="35"/>
      <c r="N1155" s="25"/>
      <c r="O1155" s="25"/>
      <c r="P1155" s="25"/>
      <c r="Q1155" s="35">
        <v>2.0</v>
      </c>
      <c r="R1155" s="35">
        <v>2.0</v>
      </c>
      <c r="S1155" s="35">
        <v>2.0</v>
      </c>
      <c r="T1155" s="35">
        <v>2.0</v>
      </c>
      <c r="U1155" s="34"/>
      <c r="V1155" s="34"/>
      <c r="W1155" s="34"/>
      <c r="X1155" s="34"/>
      <c r="Y1155" s="34"/>
      <c r="Z1155" s="34"/>
      <c r="AA1155" s="25"/>
      <c r="AB1155" s="25"/>
      <c r="AC1155" s="25"/>
      <c r="AD1155" s="25"/>
      <c r="AE1155" s="25"/>
      <c r="AF1155" s="25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25"/>
      <c r="AU1155" s="34"/>
      <c r="AV1155" s="34"/>
      <c r="AW1155" s="34"/>
    </row>
    <row r="1156" ht="15.0" customHeight="1">
      <c r="A1156" s="32" t="s">
        <v>1181</v>
      </c>
      <c r="B1156" s="25"/>
      <c r="C1156" s="25"/>
      <c r="D1156" s="25"/>
      <c r="E1156" s="25"/>
      <c r="F1156" s="25"/>
      <c r="G1156" s="35">
        <v>0.0</v>
      </c>
      <c r="H1156" s="35">
        <v>1.0</v>
      </c>
      <c r="I1156" s="25"/>
      <c r="J1156" s="25"/>
      <c r="K1156" s="25"/>
      <c r="L1156" s="35"/>
      <c r="M1156" s="35"/>
      <c r="N1156" s="25"/>
      <c r="O1156" s="25"/>
      <c r="P1156" s="25"/>
      <c r="Q1156" s="35">
        <v>2.0</v>
      </c>
      <c r="R1156" s="35">
        <v>2.0</v>
      </c>
      <c r="S1156" s="35">
        <v>2.0</v>
      </c>
      <c r="T1156" s="35">
        <v>2.0</v>
      </c>
      <c r="U1156" s="34"/>
      <c r="V1156" s="34"/>
      <c r="W1156" s="34"/>
      <c r="X1156" s="34"/>
      <c r="Y1156" s="34"/>
      <c r="Z1156" s="34"/>
      <c r="AA1156" s="25"/>
      <c r="AB1156" s="25"/>
      <c r="AC1156" s="25"/>
      <c r="AD1156" s="25"/>
      <c r="AE1156" s="25"/>
      <c r="AF1156" s="25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25"/>
      <c r="AU1156" s="34"/>
      <c r="AV1156" s="34"/>
      <c r="AW1156" s="34"/>
    </row>
    <row r="1157" ht="15.0" customHeight="1">
      <c r="A1157" s="32" t="s">
        <v>1182</v>
      </c>
      <c r="B1157" s="25"/>
      <c r="C1157" s="25"/>
      <c r="D1157" s="25"/>
      <c r="E1157" s="25"/>
      <c r="F1157" s="25"/>
      <c r="G1157" s="35">
        <v>0.0</v>
      </c>
      <c r="H1157" s="35">
        <v>1.0</v>
      </c>
      <c r="I1157" s="25"/>
      <c r="J1157" s="25"/>
      <c r="K1157" s="25"/>
      <c r="L1157" s="35"/>
      <c r="M1157" s="35"/>
      <c r="N1157" s="25"/>
      <c r="O1157" s="25"/>
      <c r="P1157" s="25"/>
      <c r="Q1157" s="35">
        <v>2.0</v>
      </c>
      <c r="R1157" s="35">
        <v>2.0</v>
      </c>
      <c r="S1157" s="35">
        <v>2.0</v>
      </c>
      <c r="T1157" s="35">
        <v>2.0</v>
      </c>
      <c r="U1157" s="34"/>
      <c r="V1157" s="34"/>
      <c r="W1157" s="34"/>
      <c r="X1157" s="34"/>
      <c r="Y1157" s="34"/>
      <c r="Z1157" s="34"/>
      <c r="AA1157" s="25"/>
      <c r="AB1157" s="25"/>
      <c r="AC1157" s="25"/>
      <c r="AD1157" s="25"/>
      <c r="AE1157" s="25"/>
      <c r="AF1157" s="25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25"/>
      <c r="AU1157" s="34"/>
      <c r="AV1157" s="34"/>
      <c r="AW1157" s="34"/>
    </row>
    <row r="1158" ht="15.0" customHeight="1">
      <c r="A1158" s="32" t="s">
        <v>1183</v>
      </c>
      <c r="B1158" s="25"/>
      <c r="C1158" s="25"/>
      <c r="D1158" s="25"/>
      <c r="E1158" s="25"/>
      <c r="F1158" s="25"/>
      <c r="G1158" s="35">
        <v>0.0</v>
      </c>
      <c r="H1158" s="35">
        <v>1.0</v>
      </c>
      <c r="I1158" s="25"/>
      <c r="J1158" s="25"/>
      <c r="K1158" s="25"/>
      <c r="L1158" s="35"/>
      <c r="M1158" s="35"/>
      <c r="N1158" s="25"/>
      <c r="O1158" s="25"/>
      <c r="P1158" s="25"/>
      <c r="Q1158" s="35">
        <v>2.0</v>
      </c>
      <c r="R1158" s="35">
        <v>2.0</v>
      </c>
      <c r="S1158" s="35">
        <v>2.0</v>
      </c>
      <c r="T1158" s="35">
        <v>2.0</v>
      </c>
      <c r="U1158" s="34"/>
      <c r="V1158" s="34"/>
      <c r="W1158" s="34"/>
      <c r="X1158" s="34"/>
      <c r="Y1158" s="34"/>
      <c r="Z1158" s="34"/>
      <c r="AA1158" s="25"/>
      <c r="AB1158" s="25"/>
      <c r="AC1158" s="25"/>
      <c r="AD1158" s="25"/>
      <c r="AE1158" s="25"/>
      <c r="AF1158" s="25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25"/>
      <c r="AU1158" s="34"/>
      <c r="AV1158" s="34"/>
      <c r="AW1158" s="34"/>
    </row>
    <row r="1159" ht="15.0" customHeight="1">
      <c r="A1159" s="32" t="s">
        <v>1184</v>
      </c>
      <c r="B1159" s="25"/>
      <c r="C1159" s="25"/>
      <c r="D1159" s="25"/>
      <c r="E1159" s="25"/>
      <c r="F1159" s="25"/>
      <c r="G1159" s="35">
        <v>0.0</v>
      </c>
      <c r="H1159" s="35">
        <v>1.0</v>
      </c>
      <c r="I1159" s="25"/>
      <c r="J1159" s="25"/>
      <c r="K1159" s="25"/>
      <c r="L1159" s="35"/>
      <c r="M1159" s="35"/>
      <c r="N1159" s="25"/>
      <c r="O1159" s="25"/>
      <c r="P1159" s="25"/>
      <c r="Q1159" s="35">
        <v>2.0</v>
      </c>
      <c r="R1159" s="35">
        <v>2.0</v>
      </c>
      <c r="S1159" s="35">
        <v>2.0</v>
      </c>
      <c r="T1159" s="35">
        <v>2.0</v>
      </c>
      <c r="U1159" s="34"/>
      <c r="V1159" s="34"/>
      <c r="W1159" s="34"/>
      <c r="X1159" s="34"/>
      <c r="Y1159" s="34"/>
      <c r="Z1159" s="34"/>
      <c r="AA1159" s="25"/>
      <c r="AB1159" s="25"/>
      <c r="AC1159" s="25"/>
      <c r="AD1159" s="25"/>
      <c r="AE1159" s="25"/>
      <c r="AF1159" s="25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25"/>
      <c r="AU1159" s="34"/>
      <c r="AV1159" s="34"/>
      <c r="AW1159" s="34"/>
    </row>
    <row r="1160" ht="15.0" customHeight="1">
      <c r="A1160" s="32" t="s">
        <v>1185</v>
      </c>
      <c r="B1160" s="25"/>
      <c r="C1160" s="25"/>
      <c r="D1160" s="25"/>
      <c r="E1160" s="25"/>
      <c r="F1160" s="25"/>
      <c r="G1160" s="35">
        <v>0.0</v>
      </c>
      <c r="H1160" s="35">
        <v>1.0</v>
      </c>
      <c r="I1160" s="25"/>
      <c r="J1160" s="25"/>
      <c r="K1160" s="25"/>
      <c r="L1160" s="35"/>
      <c r="M1160" s="35"/>
      <c r="N1160" s="25"/>
      <c r="O1160" s="25"/>
      <c r="P1160" s="25"/>
      <c r="Q1160" s="35">
        <v>2.0</v>
      </c>
      <c r="R1160" s="35">
        <v>2.0</v>
      </c>
      <c r="S1160" s="35">
        <v>2.0</v>
      </c>
      <c r="T1160" s="35">
        <v>2.0</v>
      </c>
      <c r="U1160" s="34"/>
      <c r="V1160" s="34"/>
      <c r="W1160" s="34"/>
      <c r="X1160" s="34"/>
      <c r="Y1160" s="34"/>
      <c r="Z1160" s="34"/>
      <c r="AA1160" s="25"/>
      <c r="AB1160" s="25"/>
      <c r="AC1160" s="25"/>
      <c r="AD1160" s="25"/>
      <c r="AE1160" s="25"/>
      <c r="AF1160" s="25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25"/>
      <c r="AU1160" s="34"/>
      <c r="AV1160" s="34"/>
      <c r="AW1160" s="34"/>
    </row>
    <row r="1161" ht="15.0" customHeight="1">
      <c r="A1161" s="32" t="s">
        <v>1186</v>
      </c>
      <c r="B1161" s="25"/>
      <c r="C1161" s="25"/>
      <c r="D1161" s="25"/>
      <c r="E1161" s="25"/>
      <c r="F1161" s="25"/>
      <c r="G1161" s="35">
        <v>0.0</v>
      </c>
      <c r="H1161" s="35">
        <v>1.0</v>
      </c>
      <c r="I1161" s="25"/>
      <c r="J1161" s="25"/>
      <c r="K1161" s="25"/>
      <c r="L1161" s="35"/>
      <c r="M1161" s="35"/>
      <c r="N1161" s="25"/>
      <c r="O1161" s="25"/>
      <c r="P1161" s="25"/>
      <c r="Q1161" s="35">
        <v>2.0</v>
      </c>
      <c r="R1161" s="35">
        <v>2.0</v>
      </c>
      <c r="S1161" s="35">
        <v>2.0</v>
      </c>
      <c r="T1161" s="35">
        <v>2.0</v>
      </c>
      <c r="U1161" s="34"/>
      <c r="V1161" s="34"/>
      <c r="W1161" s="34"/>
      <c r="X1161" s="34"/>
      <c r="Y1161" s="34"/>
      <c r="Z1161" s="34"/>
      <c r="AA1161" s="25"/>
      <c r="AB1161" s="25"/>
      <c r="AC1161" s="25"/>
      <c r="AD1161" s="25"/>
      <c r="AE1161" s="25"/>
      <c r="AF1161" s="25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25"/>
      <c r="AU1161" s="34"/>
      <c r="AV1161" s="34"/>
      <c r="AW1161" s="34"/>
    </row>
    <row r="1162" ht="15.0" customHeight="1">
      <c r="A1162" s="32" t="s">
        <v>1187</v>
      </c>
      <c r="B1162" s="25"/>
      <c r="C1162" s="25"/>
      <c r="D1162" s="25"/>
      <c r="E1162" s="25"/>
      <c r="F1162" s="25"/>
      <c r="G1162" s="35">
        <v>0.0</v>
      </c>
      <c r="H1162" s="35">
        <v>1.0</v>
      </c>
      <c r="I1162" s="25"/>
      <c r="J1162" s="25"/>
      <c r="K1162" s="25"/>
      <c r="L1162" s="35"/>
      <c r="M1162" s="35"/>
      <c r="N1162" s="25"/>
      <c r="O1162" s="25"/>
      <c r="P1162" s="25"/>
      <c r="Q1162" s="35">
        <v>2.0</v>
      </c>
      <c r="R1162" s="35">
        <v>2.0</v>
      </c>
      <c r="S1162" s="35">
        <v>2.0</v>
      </c>
      <c r="T1162" s="35">
        <v>2.0</v>
      </c>
      <c r="U1162" s="34"/>
      <c r="V1162" s="34"/>
      <c r="W1162" s="34"/>
      <c r="X1162" s="34"/>
      <c r="Y1162" s="34"/>
      <c r="Z1162" s="34"/>
      <c r="AA1162" s="25"/>
      <c r="AB1162" s="25"/>
      <c r="AC1162" s="25"/>
      <c r="AD1162" s="25"/>
      <c r="AE1162" s="25"/>
      <c r="AF1162" s="25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25"/>
      <c r="AU1162" s="34"/>
      <c r="AV1162" s="34"/>
      <c r="AW1162" s="34"/>
    </row>
    <row r="1163" ht="15.0" customHeight="1">
      <c r="A1163" s="32" t="s">
        <v>1188</v>
      </c>
      <c r="B1163" s="25"/>
      <c r="C1163" s="25"/>
      <c r="D1163" s="25"/>
      <c r="E1163" s="25"/>
      <c r="F1163" s="25"/>
      <c r="G1163" s="35">
        <v>0.0</v>
      </c>
      <c r="H1163" s="35">
        <v>1.0</v>
      </c>
      <c r="I1163" s="25"/>
      <c r="J1163" s="25"/>
      <c r="K1163" s="25"/>
      <c r="L1163" s="35"/>
      <c r="M1163" s="35"/>
      <c r="N1163" s="25"/>
      <c r="O1163" s="25"/>
      <c r="P1163" s="25"/>
      <c r="Q1163" s="35">
        <v>2.0</v>
      </c>
      <c r="R1163" s="35">
        <v>2.0</v>
      </c>
      <c r="S1163" s="35">
        <v>2.0</v>
      </c>
      <c r="T1163" s="35">
        <v>2.0</v>
      </c>
      <c r="U1163" s="34"/>
      <c r="V1163" s="34"/>
      <c r="W1163" s="34"/>
      <c r="X1163" s="34"/>
      <c r="Y1163" s="34"/>
      <c r="Z1163" s="34"/>
      <c r="AA1163" s="25"/>
      <c r="AB1163" s="25"/>
      <c r="AC1163" s="25"/>
      <c r="AD1163" s="25"/>
      <c r="AE1163" s="25"/>
      <c r="AF1163" s="25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25"/>
      <c r="AU1163" s="34"/>
      <c r="AV1163" s="34"/>
      <c r="AW1163" s="34"/>
    </row>
    <row r="1164" ht="15.0" customHeight="1">
      <c r="A1164" s="32" t="s">
        <v>1189</v>
      </c>
      <c r="B1164" s="25"/>
      <c r="C1164" s="25"/>
      <c r="D1164" s="25"/>
      <c r="E1164" s="25"/>
      <c r="F1164" s="25"/>
      <c r="G1164" s="35">
        <v>0.0</v>
      </c>
      <c r="H1164" s="35">
        <v>1.0</v>
      </c>
      <c r="I1164" s="25"/>
      <c r="J1164" s="25"/>
      <c r="K1164" s="25"/>
      <c r="L1164" s="35"/>
      <c r="M1164" s="35"/>
      <c r="N1164" s="25"/>
      <c r="O1164" s="25"/>
      <c r="P1164" s="25"/>
      <c r="Q1164" s="35">
        <v>2.0</v>
      </c>
      <c r="R1164" s="35">
        <v>2.0</v>
      </c>
      <c r="S1164" s="35">
        <v>2.0</v>
      </c>
      <c r="T1164" s="35">
        <v>2.0</v>
      </c>
      <c r="U1164" s="34"/>
      <c r="V1164" s="34"/>
      <c r="W1164" s="34"/>
      <c r="X1164" s="34"/>
      <c r="Y1164" s="34"/>
      <c r="Z1164" s="34"/>
      <c r="AA1164" s="25"/>
      <c r="AB1164" s="25"/>
      <c r="AC1164" s="25"/>
      <c r="AD1164" s="25"/>
      <c r="AE1164" s="25"/>
      <c r="AF1164" s="25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25"/>
      <c r="AU1164" s="34"/>
      <c r="AV1164" s="34"/>
      <c r="AW1164" s="34"/>
    </row>
    <row r="1165" ht="15.0" customHeight="1">
      <c r="A1165" s="32" t="s">
        <v>1190</v>
      </c>
      <c r="B1165" s="25"/>
      <c r="C1165" s="25"/>
      <c r="D1165" s="25"/>
      <c r="E1165" s="25"/>
      <c r="F1165" s="25"/>
      <c r="G1165" s="35">
        <v>0.0</v>
      </c>
      <c r="H1165" s="35">
        <v>1.0</v>
      </c>
      <c r="I1165" s="25"/>
      <c r="J1165" s="25"/>
      <c r="K1165" s="25"/>
      <c r="L1165" s="35"/>
      <c r="M1165" s="35"/>
      <c r="N1165" s="25"/>
      <c r="O1165" s="25"/>
      <c r="P1165" s="25"/>
      <c r="Q1165" s="35">
        <v>2.0</v>
      </c>
      <c r="R1165" s="35">
        <v>2.0</v>
      </c>
      <c r="S1165" s="35">
        <v>2.0</v>
      </c>
      <c r="T1165" s="35">
        <v>2.0</v>
      </c>
      <c r="U1165" s="34"/>
      <c r="V1165" s="34"/>
      <c r="W1165" s="34"/>
      <c r="X1165" s="34"/>
      <c r="Y1165" s="34"/>
      <c r="Z1165" s="34"/>
      <c r="AA1165" s="25"/>
      <c r="AB1165" s="25"/>
      <c r="AC1165" s="25"/>
      <c r="AD1165" s="25"/>
      <c r="AE1165" s="25"/>
      <c r="AF1165" s="25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25"/>
      <c r="AU1165" s="34"/>
      <c r="AV1165" s="34"/>
      <c r="AW1165" s="34"/>
    </row>
    <row r="1166" ht="15.0" customHeight="1">
      <c r="A1166" s="32" t="s">
        <v>1191</v>
      </c>
      <c r="B1166" s="25"/>
      <c r="C1166" s="25"/>
      <c r="D1166" s="25"/>
      <c r="E1166" s="25"/>
      <c r="F1166" s="25"/>
      <c r="G1166" s="35">
        <v>0.0</v>
      </c>
      <c r="H1166" s="35">
        <v>1.0</v>
      </c>
      <c r="I1166" s="25"/>
      <c r="J1166" s="25"/>
      <c r="K1166" s="25"/>
      <c r="L1166" s="35"/>
      <c r="M1166" s="35"/>
      <c r="N1166" s="25"/>
      <c r="O1166" s="25"/>
      <c r="P1166" s="25"/>
      <c r="Q1166" s="35">
        <v>2.0</v>
      </c>
      <c r="R1166" s="35">
        <v>2.0</v>
      </c>
      <c r="S1166" s="35">
        <v>2.0</v>
      </c>
      <c r="T1166" s="35">
        <v>2.0</v>
      </c>
      <c r="U1166" s="34"/>
      <c r="V1166" s="34"/>
      <c r="W1166" s="34"/>
      <c r="X1166" s="34"/>
      <c r="Y1166" s="34"/>
      <c r="Z1166" s="34"/>
      <c r="AA1166" s="25"/>
      <c r="AB1166" s="25"/>
      <c r="AC1166" s="25"/>
      <c r="AD1166" s="25"/>
      <c r="AE1166" s="25"/>
      <c r="AF1166" s="25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25"/>
      <c r="AU1166" s="34"/>
      <c r="AV1166" s="34"/>
      <c r="AW1166" s="34"/>
    </row>
    <row r="1167" ht="15.0" customHeight="1">
      <c r="A1167" s="32" t="s">
        <v>1192</v>
      </c>
      <c r="B1167" s="25"/>
      <c r="C1167" s="25"/>
      <c r="D1167" s="25"/>
      <c r="E1167" s="25"/>
      <c r="F1167" s="25"/>
      <c r="G1167" s="35">
        <v>0.0</v>
      </c>
      <c r="H1167" s="35">
        <v>1.0</v>
      </c>
      <c r="I1167" s="25"/>
      <c r="J1167" s="25"/>
      <c r="K1167" s="25"/>
      <c r="L1167" s="35"/>
      <c r="M1167" s="35"/>
      <c r="N1167" s="25"/>
      <c r="O1167" s="25"/>
      <c r="P1167" s="25"/>
      <c r="Q1167" s="35">
        <v>2.0</v>
      </c>
      <c r="R1167" s="35">
        <v>2.0</v>
      </c>
      <c r="S1167" s="35">
        <v>2.0</v>
      </c>
      <c r="T1167" s="35">
        <v>2.0</v>
      </c>
      <c r="U1167" s="34"/>
      <c r="V1167" s="34"/>
      <c r="W1167" s="34"/>
      <c r="X1167" s="34"/>
      <c r="Y1167" s="34"/>
      <c r="Z1167" s="34"/>
      <c r="AA1167" s="25"/>
      <c r="AB1167" s="25"/>
      <c r="AC1167" s="25"/>
      <c r="AD1167" s="25"/>
      <c r="AE1167" s="25"/>
      <c r="AF1167" s="25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25"/>
      <c r="AU1167" s="34"/>
      <c r="AV1167" s="34"/>
      <c r="AW1167" s="34"/>
    </row>
    <row r="1168" ht="15.0" customHeight="1">
      <c r="A1168" s="32" t="s">
        <v>1193</v>
      </c>
      <c r="B1168" s="25"/>
      <c r="C1168" s="25"/>
      <c r="D1168" s="25"/>
      <c r="E1168" s="25"/>
      <c r="F1168" s="25"/>
      <c r="G1168" s="35">
        <v>0.0</v>
      </c>
      <c r="H1168" s="35">
        <v>1.0</v>
      </c>
      <c r="I1168" s="25"/>
      <c r="J1168" s="25"/>
      <c r="K1168" s="25"/>
      <c r="L1168" s="35"/>
      <c r="M1168" s="35"/>
      <c r="N1168" s="25"/>
      <c r="O1168" s="25"/>
      <c r="P1168" s="25"/>
      <c r="Q1168" s="35">
        <v>2.0</v>
      </c>
      <c r="R1168" s="35">
        <v>2.0</v>
      </c>
      <c r="S1168" s="35">
        <v>2.0</v>
      </c>
      <c r="T1168" s="35">
        <v>2.0</v>
      </c>
      <c r="U1168" s="34"/>
      <c r="V1168" s="34"/>
      <c r="W1168" s="34"/>
      <c r="X1168" s="34"/>
      <c r="Y1168" s="34"/>
      <c r="Z1168" s="34"/>
      <c r="AA1168" s="25"/>
      <c r="AB1168" s="25"/>
      <c r="AC1168" s="25"/>
      <c r="AD1168" s="25"/>
      <c r="AE1168" s="25"/>
      <c r="AF1168" s="25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25"/>
      <c r="AU1168" s="34"/>
      <c r="AV1168" s="34"/>
      <c r="AW1168" s="34"/>
    </row>
    <row r="1169" ht="15.0" customHeight="1">
      <c r="A1169" s="32" t="s">
        <v>1194</v>
      </c>
      <c r="B1169" s="25"/>
      <c r="C1169" s="25"/>
      <c r="D1169" s="25"/>
      <c r="E1169" s="25"/>
      <c r="F1169" s="25"/>
      <c r="G1169" s="35">
        <v>0.0</v>
      </c>
      <c r="H1169" s="35">
        <v>1.0</v>
      </c>
      <c r="I1169" s="25"/>
      <c r="J1169" s="25"/>
      <c r="K1169" s="25"/>
      <c r="L1169" s="35"/>
      <c r="M1169" s="35"/>
      <c r="N1169" s="25"/>
      <c r="O1169" s="25"/>
      <c r="P1169" s="25"/>
      <c r="Q1169" s="35">
        <v>2.0</v>
      </c>
      <c r="R1169" s="35">
        <v>2.0</v>
      </c>
      <c r="S1169" s="35">
        <v>2.0</v>
      </c>
      <c r="T1169" s="35">
        <v>2.0</v>
      </c>
      <c r="U1169" s="34"/>
      <c r="V1169" s="34"/>
      <c r="W1169" s="34"/>
      <c r="X1169" s="34"/>
      <c r="Y1169" s="34"/>
      <c r="Z1169" s="34"/>
      <c r="AA1169" s="25"/>
      <c r="AB1169" s="25"/>
      <c r="AC1169" s="25"/>
      <c r="AD1169" s="25"/>
      <c r="AE1169" s="25"/>
      <c r="AF1169" s="25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25"/>
      <c r="AU1169" s="34"/>
      <c r="AV1169" s="34"/>
      <c r="AW1169" s="34"/>
    </row>
    <row r="1170" ht="15.0" customHeight="1">
      <c r="A1170" s="32" t="s">
        <v>1195</v>
      </c>
      <c r="B1170" s="25"/>
      <c r="C1170" s="25"/>
      <c r="D1170" s="25"/>
      <c r="E1170" s="25"/>
      <c r="F1170" s="25"/>
      <c r="G1170" s="35">
        <v>0.0</v>
      </c>
      <c r="H1170" s="35">
        <v>1.0</v>
      </c>
      <c r="I1170" s="25"/>
      <c r="J1170" s="25"/>
      <c r="K1170" s="25"/>
      <c r="L1170" s="35"/>
      <c r="M1170" s="35"/>
      <c r="N1170" s="25"/>
      <c r="O1170" s="25"/>
      <c r="P1170" s="25"/>
      <c r="Q1170" s="35">
        <v>2.0</v>
      </c>
      <c r="R1170" s="35">
        <v>2.0</v>
      </c>
      <c r="S1170" s="35">
        <v>2.0</v>
      </c>
      <c r="T1170" s="35">
        <v>2.0</v>
      </c>
      <c r="U1170" s="34"/>
      <c r="V1170" s="34"/>
      <c r="W1170" s="34"/>
      <c r="X1170" s="34"/>
      <c r="Y1170" s="34"/>
      <c r="Z1170" s="34"/>
      <c r="AA1170" s="25"/>
      <c r="AB1170" s="25"/>
      <c r="AC1170" s="25"/>
      <c r="AD1170" s="25"/>
      <c r="AE1170" s="25"/>
      <c r="AF1170" s="25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25"/>
      <c r="AU1170" s="34"/>
      <c r="AV1170" s="34"/>
      <c r="AW1170" s="34"/>
    </row>
    <row r="1171" ht="15.0" customHeight="1">
      <c r="A1171" s="32" t="s">
        <v>1196</v>
      </c>
      <c r="B1171" s="25"/>
      <c r="C1171" s="25"/>
      <c r="D1171" s="25"/>
      <c r="E1171" s="25"/>
      <c r="F1171" s="25"/>
      <c r="G1171" s="35">
        <v>0.0</v>
      </c>
      <c r="H1171" s="35">
        <v>1.0</v>
      </c>
      <c r="I1171" s="25"/>
      <c r="J1171" s="25"/>
      <c r="K1171" s="25"/>
      <c r="L1171" s="35"/>
      <c r="M1171" s="35"/>
      <c r="N1171" s="25"/>
      <c r="O1171" s="25"/>
      <c r="P1171" s="25"/>
      <c r="Q1171" s="35">
        <v>2.0</v>
      </c>
      <c r="R1171" s="35">
        <v>2.0</v>
      </c>
      <c r="S1171" s="35">
        <v>2.0</v>
      </c>
      <c r="T1171" s="35">
        <v>2.0</v>
      </c>
      <c r="U1171" s="34"/>
      <c r="V1171" s="34"/>
      <c r="W1171" s="34"/>
      <c r="X1171" s="34"/>
      <c r="Y1171" s="34"/>
      <c r="Z1171" s="34"/>
      <c r="AA1171" s="25"/>
      <c r="AB1171" s="25"/>
      <c r="AC1171" s="25"/>
      <c r="AD1171" s="25"/>
      <c r="AE1171" s="25"/>
      <c r="AF1171" s="25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25"/>
      <c r="AU1171" s="34"/>
      <c r="AV1171" s="34"/>
      <c r="AW1171" s="34"/>
    </row>
    <row r="1172" ht="15.0" customHeight="1">
      <c r="A1172" s="32" t="s">
        <v>1197</v>
      </c>
      <c r="B1172" s="25"/>
      <c r="C1172" s="25"/>
      <c r="D1172" s="25"/>
      <c r="E1172" s="25"/>
      <c r="F1172" s="25"/>
      <c r="G1172" s="35">
        <v>0.0</v>
      </c>
      <c r="H1172" s="35">
        <v>1.0</v>
      </c>
      <c r="I1172" s="25"/>
      <c r="J1172" s="25"/>
      <c r="K1172" s="25"/>
      <c r="L1172" s="35"/>
      <c r="M1172" s="35"/>
      <c r="N1172" s="25"/>
      <c r="O1172" s="25"/>
      <c r="P1172" s="25"/>
      <c r="Q1172" s="35">
        <v>2.0</v>
      </c>
      <c r="R1172" s="35">
        <v>2.0</v>
      </c>
      <c r="S1172" s="35">
        <v>2.0</v>
      </c>
      <c r="T1172" s="35">
        <v>2.0</v>
      </c>
      <c r="U1172" s="34"/>
      <c r="V1172" s="34"/>
      <c r="W1172" s="34"/>
      <c r="X1172" s="34"/>
      <c r="Y1172" s="34"/>
      <c r="Z1172" s="34"/>
      <c r="AA1172" s="25"/>
      <c r="AB1172" s="25"/>
      <c r="AC1172" s="25"/>
      <c r="AD1172" s="25"/>
      <c r="AE1172" s="25"/>
      <c r="AF1172" s="25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25"/>
      <c r="AU1172" s="34"/>
      <c r="AV1172" s="34"/>
      <c r="AW1172" s="34"/>
    </row>
    <row r="1173" ht="15.0" customHeight="1">
      <c r="A1173" s="32" t="s">
        <v>1198</v>
      </c>
      <c r="B1173" s="25"/>
      <c r="C1173" s="25"/>
      <c r="D1173" s="25"/>
      <c r="E1173" s="25"/>
      <c r="F1173" s="25"/>
      <c r="G1173" s="35">
        <v>0.0</v>
      </c>
      <c r="H1173" s="35">
        <v>1.0</v>
      </c>
      <c r="I1173" s="25"/>
      <c r="J1173" s="25"/>
      <c r="K1173" s="25"/>
      <c r="L1173" s="35"/>
      <c r="M1173" s="35"/>
      <c r="N1173" s="25"/>
      <c r="O1173" s="25"/>
      <c r="P1173" s="25"/>
      <c r="Q1173" s="35">
        <v>2.0</v>
      </c>
      <c r="R1173" s="35">
        <v>2.0</v>
      </c>
      <c r="S1173" s="35">
        <v>2.0</v>
      </c>
      <c r="T1173" s="35">
        <v>2.0</v>
      </c>
      <c r="U1173" s="34"/>
      <c r="V1173" s="34"/>
      <c r="W1173" s="34"/>
      <c r="X1173" s="34"/>
      <c r="Y1173" s="34"/>
      <c r="Z1173" s="34"/>
      <c r="AA1173" s="25"/>
      <c r="AB1173" s="25"/>
      <c r="AC1173" s="25"/>
      <c r="AD1173" s="25"/>
      <c r="AE1173" s="25"/>
      <c r="AF1173" s="25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25"/>
      <c r="AU1173" s="34"/>
      <c r="AV1173" s="34"/>
      <c r="AW1173" s="34"/>
    </row>
    <row r="1174" ht="15.0" customHeight="1">
      <c r="A1174" s="32" t="s">
        <v>1199</v>
      </c>
      <c r="B1174" s="25"/>
      <c r="C1174" s="25"/>
      <c r="D1174" s="25"/>
      <c r="E1174" s="25"/>
      <c r="F1174" s="25"/>
      <c r="G1174" s="35">
        <v>0.0</v>
      </c>
      <c r="H1174" s="35">
        <v>1.0</v>
      </c>
      <c r="I1174" s="25"/>
      <c r="J1174" s="25"/>
      <c r="K1174" s="25"/>
      <c r="L1174" s="35"/>
      <c r="M1174" s="35"/>
      <c r="N1174" s="25"/>
      <c r="O1174" s="25"/>
      <c r="P1174" s="25"/>
      <c r="Q1174" s="35">
        <v>2.0</v>
      </c>
      <c r="R1174" s="35">
        <v>2.0</v>
      </c>
      <c r="S1174" s="35">
        <v>2.0</v>
      </c>
      <c r="T1174" s="35">
        <v>2.0</v>
      </c>
      <c r="U1174" s="34"/>
      <c r="V1174" s="34"/>
      <c r="W1174" s="34"/>
      <c r="X1174" s="34"/>
      <c r="Y1174" s="34"/>
      <c r="Z1174" s="34"/>
      <c r="AA1174" s="25"/>
      <c r="AB1174" s="25"/>
      <c r="AC1174" s="25"/>
      <c r="AD1174" s="25"/>
      <c r="AE1174" s="25"/>
      <c r="AF1174" s="25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25"/>
      <c r="AU1174" s="34"/>
      <c r="AV1174" s="34"/>
      <c r="AW1174" s="34"/>
    </row>
    <row r="1175" ht="15.0" customHeight="1">
      <c r="A1175" s="32" t="s">
        <v>1200</v>
      </c>
      <c r="B1175" s="25"/>
      <c r="C1175" s="25"/>
      <c r="D1175" s="25"/>
      <c r="E1175" s="25"/>
      <c r="F1175" s="25"/>
      <c r="G1175" s="35">
        <v>0.0</v>
      </c>
      <c r="H1175" s="35">
        <v>1.0</v>
      </c>
      <c r="I1175" s="25"/>
      <c r="J1175" s="25"/>
      <c r="K1175" s="25"/>
      <c r="L1175" s="35"/>
      <c r="M1175" s="35"/>
      <c r="N1175" s="25"/>
      <c r="O1175" s="25"/>
      <c r="P1175" s="25"/>
      <c r="Q1175" s="35">
        <v>2.0</v>
      </c>
      <c r="R1175" s="35">
        <v>2.0</v>
      </c>
      <c r="S1175" s="35">
        <v>2.0</v>
      </c>
      <c r="T1175" s="35">
        <v>2.0</v>
      </c>
      <c r="U1175" s="34"/>
      <c r="V1175" s="34"/>
      <c r="W1175" s="34"/>
      <c r="X1175" s="34"/>
      <c r="Y1175" s="34"/>
      <c r="Z1175" s="34"/>
      <c r="AA1175" s="25"/>
      <c r="AB1175" s="25"/>
      <c r="AC1175" s="25"/>
      <c r="AD1175" s="25"/>
      <c r="AE1175" s="25"/>
      <c r="AF1175" s="25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25"/>
      <c r="AU1175" s="34"/>
      <c r="AV1175" s="34"/>
      <c r="AW1175" s="34"/>
    </row>
    <row r="1176" ht="15.0" customHeight="1">
      <c r="A1176" s="32" t="s">
        <v>1201</v>
      </c>
      <c r="B1176" s="25"/>
      <c r="C1176" s="25"/>
      <c r="D1176" s="25"/>
      <c r="E1176" s="25"/>
      <c r="F1176" s="25"/>
      <c r="G1176" s="35">
        <v>0.0</v>
      </c>
      <c r="H1176" s="35">
        <v>1.0</v>
      </c>
      <c r="I1176" s="25"/>
      <c r="J1176" s="25"/>
      <c r="K1176" s="25"/>
      <c r="L1176" s="35"/>
      <c r="M1176" s="35"/>
      <c r="N1176" s="25"/>
      <c r="O1176" s="25"/>
      <c r="P1176" s="25"/>
      <c r="Q1176" s="35">
        <v>2.0</v>
      </c>
      <c r="R1176" s="35">
        <v>2.0</v>
      </c>
      <c r="S1176" s="35">
        <v>2.0</v>
      </c>
      <c r="T1176" s="35">
        <v>2.0</v>
      </c>
      <c r="U1176" s="34"/>
      <c r="V1176" s="34"/>
      <c r="W1176" s="34"/>
      <c r="X1176" s="34"/>
      <c r="Y1176" s="34"/>
      <c r="Z1176" s="34"/>
      <c r="AA1176" s="25"/>
      <c r="AB1176" s="25"/>
      <c r="AC1176" s="25"/>
      <c r="AD1176" s="25"/>
      <c r="AE1176" s="25"/>
      <c r="AF1176" s="25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25"/>
      <c r="AU1176" s="34"/>
      <c r="AV1176" s="34"/>
      <c r="AW1176" s="34"/>
    </row>
    <row r="1177" ht="15.0" customHeight="1">
      <c r="A1177" s="32" t="s">
        <v>1202</v>
      </c>
      <c r="B1177" s="25"/>
      <c r="C1177" s="25"/>
      <c r="D1177" s="25"/>
      <c r="E1177" s="25"/>
      <c r="F1177" s="25"/>
      <c r="G1177" s="35">
        <v>0.0</v>
      </c>
      <c r="H1177" s="35">
        <v>1.0</v>
      </c>
      <c r="I1177" s="25"/>
      <c r="J1177" s="25"/>
      <c r="K1177" s="25"/>
      <c r="L1177" s="35"/>
      <c r="M1177" s="35"/>
      <c r="N1177" s="25"/>
      <c r="O1177" s="25"/>
      <c r="P1177" s="25"/>
      <c r="Q1177" s="35">
        <v>2.0</v>
      </c>
      <c r="R1177" s="35">
        <v>2.0</v>
      </c>
      <c r="S1177" s="35">
        <v>2.0</v>
      </c>
      <c r="T1177" s="35">
        <v>2.0</v>
      </c>
      <c r="U1177" s="34"/>
      <c r="V1177" s="34"/>
      <c r="W1177" s="34"/>
      <c r="X1177" s="34"/>
      <c r="Y1177" s="34"/>
      <c r="Z1177" s="34"/>
      <c r="AA1177" s="25"/>
      <c r="AB1177" s="25"/>
      <c r="AC1177" s="25"/>
      <c r="AD1177" s="25"/>
      <c r="AE1177" s="25"/>
      <c r="AF1177" s="25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25"/>
      <c r="AU1177" s="34"/>
      <c r="AV1177" s="34"/>
      <c r="AW1177" s="34"/>
    </row>
    <row r="1178" ht="15.0" customHeight="1">
      <c r="A1178" s="32" t="s">
        <v>1203</v>
      </c>
      <c r="B1178" s="25"/>
      <c r="C1178" s="25"/>
      <c r="D1178" s="25"/>
      <c r="E1178" s="25"/>
      <c r="F1178" s="25"/>
      <c r="G1178" s="35">
        <v>0.0</v>
      </c>
      <c r="H1178" s="35">
        <v>1.0</v>
      </c>
      <c r="I1178" s="25"/>
      <c r="J1178" s="25"/>
      <c r="K1178" s="25"/>
      <c r="L1178" s="35"/>
      <c r="M1178" s="35"/>
      <c r="N1178" s="25"/>
      <c r="O1178" s="25"/>
      <c r="P1178" s="25"/>
      <c r="Q1178" s="35">
        <v>2.0</v>
      </c>
      <c r="R1178" s="35">
        <v>2.0</v>
      </c>
      <c r="S1178" s="35">
        <v>2.0</v>
      </c>
      <c r="T1178" s="35">
        <v>2.0</v>
      </c>
      <c r="U1178" s="34"/>
      <c r="V1178" s="34"/>
      <c r="W1178" s="34"/>
      <c r="X1178" s="34"/>
      <c r="Y1178" s="34"/>
      <c r="Z1178" s="34"/>
      <c r="AA1178" s="25"/>
      <c r="AB1178" s="25"/>
      <c r="AC1178" s="25"/>
      <c r="AD1178" s="25"/>
      <c r="AE1178" s="25"/>
      <c r="AF1178" s="25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25"/>
      <c r="AU1178" s="34"/>
      <c r="AV1178" s="34"/>
      <c r="AW1178" s="34"/>
    </row>
    <row r="1179" ht="15.0" customHeight="1">
      <c r="A1179" s="32" t="s">
        <v>1204</v>
      </c>
      <c r="B1179" s="25"/>
      <c r="C1179" s="25"/>
      <c r="D1179" s="25"/>
      <c r="E1179" s="25"/>
      <c r="F1179" s="25"/>
      <c r="G1179" s="35">
        <v>0.0</v>
      </c>
      <c r="H1179" s="35">
        <v>1.0</v>
      </c>
      <c r="I1179" s="25"/>
      <c r="J1179" s="25"/>
      <c r="K1179" s="25"/>
      <c r="L1179" s="35"/>
      <c r="M1179" s="35"/>
      <c r="N1179" s="25"/>
      <c r="O1179" s="25"/>
      <c r="P1179" s="25"/>
      <c r="Q1179" s="35">
        <v>2.0</v>
      </c>
      <c r="R1179" s="35">
        <v>2.0</v>
      </c>
      <c r="S1179" s="35">
        <v>2.0</v>
      </c>
      <c r="T1179" s="35">
        <v>2.0</v>
      </c>
      <c r="U1179" s="34"/>
      <c r="V1179" s="34"/>
      <c r="W1179" s="34"/>
      <c r="X1179" s="34"/>
      <c r="Y1179" s="34"/>
      <c r="Z1179" s="34"/>
      <c r="AA1179" s="25"/>
      <c r="AB1179" s="25"/>
      <c r="AC1179" s="25"/>
      <c r="AD1179" s="25"/>
      <c r="AE1179" s="25"/>
      <c r="AF1179" s="25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25"/>
      <c r="AU1179" s="34"/>
      <c r="AV1179" s="34"/>
      <c r="AW1179" s="34"/>
    </row>
    <row r="1180" ht="15.0" customHeight="1">
      <c r="A1180" s="32" t="s">
        <v>1205</v>
      </c>
      <c r="B1180" s="25"/>
      <c r="C1180" s="25"/>
      <c r="D1180" s="25"/>
      <c r="E1180" s="25"/>
      <c r="F1180" s="25"/>
      <c r="G1180" s="35">
        <v>0.0</v>
      </c>
      <c r="H1180" s="35">
        <v>1.0</v>
      </c>
      <c r="I1180" s="25"/>
      <c r="J1180" s="25"/>
      <c r="K1180" s="25"/>
      <c r="L1180" s="35"/>
      <c r="M1180" s="35"/>
      <c r="N1180" s="25"/>
      <c r="O1180" s="25"/>
      <c r="P1180" s="25"/>
      <c r="Q1180" s="35">
        <v>2.0</v>
      </c>
      <c r="R1180" s="35">
        <v>2.0</v>
      </c>
      <c r="S1180" s="35">
        <v>2.0</v>
      </c>
      <c r="T1180" s="35">
        <v>2.0</v>
      </c>
      <c r="U1180" s="34"/>
      <c r="V1180" s="34"/>
      <c r="W1180" s="34"/>
      <c r="X1180" s="34"/>
      <c r="Y1180" s="34"/>
      <c r="Z1180" s="34"/>
      <c r="AA1180" s="25"/>
      <c r="AB1180" s="25"/>
      <c r="AC1180" s="25"/>
      <c r="AD1180" s="25"/>
      <c r="AE1180" s="25"/>
      <c r="AF1180" s="25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25"/>
      <c r="AU1180" s="34"/>
      <c r="AV1180" s="34"/>
      <c r="AW1180" s="34"/>
    </row>
    <row r="1181" ht="15.0" customHeight="1">
      <c r="A1181" s="32" t="s">
        <v>1206</v>
      </c>
      <c r="B1181" s="25"/>
      <c r="C1181" s="25"/>
      <c r="D1181" s="25"/>
      <c r="E1181" s="25"/>
      <c r="F1181" s="25"/>
      <c r="G1181" s="35">
        <v>0.0</v>
      </c>
      <c r="H1181" s="35">
        <v>1.0</v>
      </c>
      <c r="I1181" s="25"/>
      <c r="J1181" s="25"/>
      <c r="K1181" s="25"/>
      <c r="L1181" s="35"/>
      <c r="M1181" s="35"/>
      <c r="N1181" s="25"/>
      <c r="O1181" s="25"/>
      <c r="P1181" s="25"/>
      <c r="Q1181" s="35">
        <v>2.0</v>
      </c>
      <c r="R1181" s="35">
        <v>2.0</v>
      </c>
      <c r="S1181" s="35">
        <v>2.0</v>
      </c>
      <c r="T1181" s="35">
        <v>2.0</v>
      </c>
      <c r="U1181" s="34"/>
      <c r="V1181" s="34"/>
      <c r="W1181" s="34"/>
      <c r="X1181" s="34"/>
      <c r="Y1181" s="34"/>
      <c r="Z1181" s="34"/>
      <c r="AA1181" s="25"/>
      <c r="AB1181" s="25"/>
      <c r="AC1181" s="25"/>
      <c r="AD1181" s="25"/>
      <c r="AE1181" s="25"/>
      <c r="AF1181" s="25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25"/>
      <c r="AU1181" s="34"/>
      <c r="AV1181" s="34"/>
      <c r="AW1181" s="34"/>
    </row>
    <row r="1182" ht="15.0" customHeight="1">
      <c r="A1182" s="32" t="s">
        <v>1207</v>
      </c>
      <c r="B1182" s="25"/>
      <c r="C1182" s="25"/>
      <c r="D1182" s="25"/>
      <c r="E1182" s="25"/>
      <c r="F1182" s="25"/>
      <c r="G1182" s="35">
        <v>0.0</v>
      </c>
      <c r="H1182" s="35">
        <v>1.0</v>
      </c>
      <c r="I1182" s="25"/>
      <c r="J1182" s="25"/>
      <c r="K1182" s="25"/>
      <c r="L1182" s="35"/>
      <c r="M1182" s="35"/>
      <c r="N1182" s="25"/>
      <c r="O1182" s="25"/>
      <c r="P1182" s="25"/>
      <c r="Q1182" s="35">
        <v>2.0</v>
      </c>
      <c r="R1182" s="35">
        <v>2.0</v>
      </c>
      <c r="S1182" s="35">
        <v>2.0</v>
      </c>
      <c r="T1182" s="35">
        <v>2.0</v>
      </c>
      <c r="U1182" s="34"/>
      <c r="V1182" s="34"/>
      <c r="W1182" s="34"/>
      <c r="X1182" s="34"/>
      <c r="Y1182" s="34"/>
      <c r="Z1182" s="34"/>
      <c r="AA1182" s="25"/>
      <c r="AB1182" s="25"/>
      <c r="AC1182" s="25"/>
      <c r="AD1182" s="25"/>
      <c r="AE1182" s="25"/>
      <c r="AF1182" s="25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25"/>
      <c r="AU1182" s="34"/>
      <c r="AV1182" s="34"/>
      <c r="AW1182" s="34"/>
    </row>
    <row r="1183" ht="15.0" customHeight="1">
      <c r="A1183" s="32" t="s">
        <v>1208</v>
      </c>
      <c r="B1183" s="25"/>
      <c r="C1183" s="25"/>
      <c r="D1183" s="25"/>
      <c r="E1183" s="25"/>
      <c r="F1183" s="25"/>
      <c r="G1183" s="35">
        <v>0.0</v>
      </c>
      <c r="H1183" s="35">
        <v>1.0</v>
      </c>
      <c r="I1183" s="25"/>
      <c r="J1183" s="25"/>
      <c r="K1183" s="25"/>
      <c r="L1183" s="35"/>
      <c r="M1183" s="35"/>
      <c r="N1183" s="25"/>
      <c r="O1183" s="25"/>
      <c r="P1183" s="25"/>
      <c r="Q1183" s="35">
        <v>2.0</v>
      </c>
      <c r="R1183" s="35">
        <v>2.0</v>
      </c>
      <c r="S1183" s="35">
        <v>2.0</v>
      </c>
      <c r="T1183" s="35">
        <v>2.0</v>
      </c>
      <c r="U1183" s="34"/>
      <c r="V1183" s="34"/>
      <c r="W1183" s="34"/>
      <c r="X1183" s="34"/>
      <c r="Y1183" s="34"/>
      <c r="Z1183" s="34"/>
      <c r="AA1183" s="25"/>
      <c r="AB1183" s="25"/>
      <c r="AC1183" s="25"/>
      <c r="AD1183" s="25"/>
      <c r="AE1183" s="25"/>
      <c r="AF1183" s="25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25"/>
      <c r="AU1183" s="34"/>
      <c r="AV1183" s="34"/>
      <c r="AW1183" s="34"/>
    </row>
    <row r="1184" ht="15.0" customHeight="1">
      <c r="A1184" s="32" t="s">
        <v>1209</v>
      </c>
      <c r="B1184" s="25"/>
      <c r="C1184" s="25"/>
      <c r="D1184" s="25"/>
      <c r="E1184" s="25"/>
      <c r="F1184" s="25"/>
      <c r="G1184" s="35">
        <v>0.0</v>
      </c>
      <c r="H1184" s="35">
        <v>1.0</v>
      </c>
      <c r="I1184" s="25"/>
      <c r="J1184" s="25"/>
      <c r="K1184" s="25"/>
      <c r="L1184" s="35"/>
      <c r="M1184" s="35"/>
      <c r="N1184" s="25"/>
      <c r="O1184" s="25"/>
      <c r="P1184" s="25"/>
      <c r="Q1184" s="35">
        <v>2.0</v>
      </c>
      <c r="R1184" s="35">
        <v>2.0</v>
      </c>
      <c r="S1184" s="35">
        <v>2.0</v>
      </c>
      <c r="T1184" s="35">
        <v>2.0</v>
      </c>
      <c r="U1184" s="34"/>
      <c r="V1184" s="34"/>
      <c r="W1184" s="34"/>
      <c r="X1184" s="34"/>
      <c r="Y1184" s="34"/>
      <c r="Z1184" s="34"/>
      <c r="AA1184" s="25"/>
      <c r="AB1184" s="25"/>
      <c r="AC1184" s="25"/>
      <c r="AD1184" s="25"/>
      <c r="AE1184" s="25"/>
      <c r="AF1184" s="25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25"/>
      <c r="AU1184" s="34"/>
      <c r="AV1184" s="34"/>
      <c r="AW1184" s="34"/>
    </row>
    <row r="1185" ht="15.0" customHeight="1">
      <c r="A1185" s="32" t="s">
        <v>1210</v>
      </c>
      <c r="B1185" s="25"/>
      <c r="C1185" s="25"/>
      <c r="D1185" s="25"/>
      <c r="E1185" s="25"/>
      <c r="F1185" s="25"/>
      <c r="G1185" s="35">
        <v>0.0</v>
      </c>
      <c r="H1185" s="35">
        <v>1.0</v>
      </c>
      <c r="I1185" s="25"/>
      <c r="J1185" s="25"/>
      <c r="K1185" s="25"/>
      <c r="L1185" s="35"/>
      <c r="M1185" s="35"/>
      <c r="N1185" s="25"/>
      <c r="O1185" s="25"/>
      <c r="P1185" s="25"/>
      <c r="Q1185" s="35">
        <v>2.0</v>
      </c>
      <c r="R1185" s="35">
        <v>2.0</v>
      </c>
      <c r="S1185" s="35">
        <v>2.0</v>
      </c>
      <c r="T1185" s="35">
        <v>2.0</v>
      </c>
      <c r="U1185" s="34"/>
      <c r="V1185" s="34"/>
      <c r="W1185" s="34"/>
      <c r="X1185" s="34"/>
      <c r="Y1185" s="34"/>
      <c r="Z1185" s="34"/>
      <c r="AA1185" s="25"/>
      <c r="AB1185" s="25"/>
      <c r="AC1185" s="25"/>
      <c r="AD1185" s="25"/>
      <c r="AE1185" s="25"/>
      <c r="AF1185" s="25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25"/>
      <c r="AU1185" s="34"/>
      <c r="AV1185" s="34"/>
      <c r="AW1185" s="34"/>
    </row>
    <row r="1186" ht="15.0" customHeight="1">
      <c r="A1186" s="32" t="s">
        <v>1211</v>
      </c>
      <c r="B1186" s="25"/>
      <c r="C1186" s="25"/>
      <c r="D1186" s="25"/>
      <c r="E1186" s="25"/>
      <c r="F1186" s="25"/>
      <c r="G1186" s="35">
        <v>0.0</v>
      </c>
      <c r="H1186" s="35">
        <v>1.0</v>
      </c>
      <c r="I1186" s="25"/>
      <c r="J1186" s="25"/>
      <c r="K1186" s="25"/>
      <c r="L1186" s="35"/>
      <c r="M1186" s="35"/>
      <c r="N1186" s="25"/>
      <c r="O1186" s="25"/>
      <c r="P1186" s="25"/>
      <c r="Q1186" s="35">
        <v>2.0</v>
      </c>
      <c r="R1186" s="35">
        <v>2.0</v>
      </c>
      <c r="S1186" s="35">
        <v>2.0</v>
      </c>
      <c r="T1186" s="35">
        <v>2.0</v>
      </c>
      <c r="U1186" s="34"/>
      <c r="V1186" s="34"/>
      <c r="W1186" s="34"/>
      <c r="X1186" s="34"/>
      <c r="Y1186" s="34"/>
      <c r="Z1186" s="34"/>
      <c r="AA1186" s="25"/>
      <c r="AB1186" s="25"/>
      <c r="AC1186" s="25"/>
      <c r="AD1186" s="25"/>
      <c r="AE1186" s="25"/>
      <c r="AF1186" s="25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25"/>
      <c r="AU1186" s="34"/>
      <c r="AV1186" s="34"/>
      <c r="AW1186" s="34"/>
    </row>
    <row r="1187" ht="15.0" customHeight="1">
      <c r="A1187" s="32" t="s">
        <v>1212</v>
      </c>
      <c r="B1187" s="25"/>
      <c r="C1187" s="25"/>
      <c r="D1187" s="25"/>
      <c r="E1187" s="25"/>
      <c r="F1187" s="25"/>
      <c r="G1187" s="35">
        <v>0.0</v>
      </c>
      <c r="H1187" s="35">
        <v>1.0</v>
      </c>
      <c r="I1187" s="25"/>
      <c r="J1187" s="25"/>
      <c r="K1187" s="25"/>
      <c r="L1187" s="35"/>
      <c r="M1187" s="35"/>
      <c r="N1187" s="25"/>
      <c r="O1187" s="25"/>
      <c r="P1187" s="25"/>
      <c r="Q1187" s="35">
        <v>2.0</v>
      </c>
      <c r="R1187" s="35">
        <v>2.0</v>
      </c>
      <c r="S1187" s="35">
        <v>2.0</v>
      </c>
      <c r="T1187" s="35">
        <v>2.0</v>
      </c>
      <c r="U1187" s="34"/>
      <c r="V1187" s="34"/>
      <c r="W1187" s="34"/>
      <c r="X1187" s="34"/>
      <c r="Y1187" s="34"/>
      <c r="Z1187" s="34"/>
      <c r="AA1187" s="25"/>
      <c r="AB1187" s="25"/>
      <c r="AC1187" s="25"/>
      <c r="AD1187" s="25"/>
      <c r="AE1187" s="25"/>
      <c r="AF1187" s="25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25"/>
      <c r="AU1187" s="34"/>
      <c r="AV1187" s="34"/>
      <c r="AW1187" s="34"/>
    </row>
    <row r="1188" ht="15.0" customHeight="1">
      <c r="A1188" s="32" t="s">
        <v>1213</v>
      </c>
      <c r="B1188" s="25"/>
      <c r="C1188" s="25"/>
      <c r="D1188" s="25"/>
      <c r="E1188" s="25"/>
      <c r="F1188" s="25"/>
      <c r="G1188" s="35">
        <v>0.0</v>
      </c>
      <c r="H1188" s="35">
        <v>1.0</v>
      </c>
      <c r="I1188" s="25"/>
      <c r="J1188" s="25"/>
      <c r="K1188" s="25"/>
      <c r="L1188" s="35"/>
      <c r="M1188" s="35"/>
      <c r="N1188" s="25"/>
      <c r="O1188" s="25"/>
      <c r="P1188" s="25"/>
      <c r="Q1188" s="35">
        <v>2.0</v>
      </c>
      <c r="R1188" s="35">
        <v>2.0</v>
      </c>
      <c r="S1188" s="35">
        <v>2.0</v>
      </c>
      <c r="T1188" s="35">
        <v>2.0</v>
      </c>
      <c r="U1188" s="34"/>
      <c r="V1188" s="34"/>
      <c r="W1188" s="34"/>
      <c r="X1188" s="34"/>
      <c r="Y1188" s="34"/>
      <c r="Z1188" s="34"/>
      <c r="AA1188" s="25"/>
      <c r="AB1188" s="25"/>
      <c r="AC1188" s="25"/>
      <c r="AD1188" s="25"/>
      <c r="AE1188" s="25"/>
      <c r="AF1188" s="25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25"/>
      <c r="AU1188" s="34"/>
      <c r="AV1188" s="34"/>
      <c r="AW1188" s="34"/>
    </row>
    <row r="1189" ht="15.0" customHeight="1">
      <c r="A1189" s="32" t="s">
        <v>1214</v>
      </c>
      <c r="B1189" s="25"/>
      <c r="C1189" s="25"/>
      <c r="D1189" s="25"/>
      <c r="E1189" s="25"/>
      <c r="F1189" s="25"/>
      <c r="G1189" s="35">
        <v>0.0</v>
      </c>
      <c r="H1189" s="35">
        <v>1.0</v>
      </c>
      <c r="I1189" s="25"/>
      <c r="J1189" s="25"/>
      <c r="K1189" s="25"/>
      <c r="L1189" s="35"/>
      <c r="M1189" s="35"/>
      <c r="N1189" s="25"/>
      <c r="O1189" s="25"/>
      <c r="P1189" s="25"/>
      <c r="Q1189" s="35">
        <v>2.0</v>
      </c>
      <c r="R1189" s="35">
        <v>2.0</v>
      </c>
      <c r="S1189" s="35">
        <v>2.0</v>
      </c>
      <c r="T1189" s="35">
        <v>2.0</v>
      </c>
      <c r="U1189" s="34"/>
      <c r="V1189" s="34"/>
      <c r="W1189" s="34"/>
      <c r="X1189" s="34"/>
      <c r="Y1189" s="34"/>
      <c r="Z1189" s="34"/>
      <c r="AA1189" s="25"/>
      <c r="AB1189" s="25"/>
      <c r="AC1189" s="25"/>
      <c r="AD1189" s="25"/>
      <c r="AE1189" s="25"/>
      <c r="AF1189" s="25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25"/>
      <c r="AU1189" s="34"/>
      <c r="AV1189" s="34"/>
      <c r="AW1189" s="34"/>
    </row>
    <row r="1190" ht="15.0" customHeight="1">
      <c r="A1190" s="32" t="s">
        <v>1215</v>
      </c>
      <c r="B1190" s="25"/>
      <c r="C1190" s="25"/>
      <c r="D1190" s="25"/>
      <c r="E1190" s="25"/>
      <c r="F1190" s="25"/>
      <c r="G1190" s="35">
        <v>0.0</v>
      </c>
      <c r="H1190" s="35">
        <v>1.0</v>
      </c>
      <c r="I1190" s="25"/>
      <c r="J1190" s="25"/>
      <c r="K1190" s="25"/>
      <c r="L1190" s="35"/>
      <c r="M1190" s="35"/>
      <c r="N1190" s="25"/>
      <c r="O1190" s="25"/>
      <c r="P1190" s="25"/>
      <c r="Q1190" s="35">
        <v>2.0</v>
      </c>
      <c r="R1190" s="35">
        <v>2.0</v>
      </c>
      <c r="S1190" s="35">
        <v>2.0</v>
      </c>
      <c r="T1190" s="35">
        <v>2.0</v>
      </c>
      <c r="U1190" s="34"/>
      <c r="V1190" s="34"/>
      <c r="W1190" s="34"/>
      <c r="X1190" s="34"/>
      <c r="Y1190" s="34"/>
      <c r="Z1190" s="34"/>
      <c r="AA1190" s="25"/>
      <c r="AB1190" s="25"/>
      <c r="AC1190" s="25"/>
      <c r="AD1190" s="25"/>
      <c r="AE1190" s="25"/>
      <c r="AF1190" s="25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25"/>
      <c r="AU1190" s="34"/>
      <c r="AV1190" s="34"/>
      <c r="AW1190" s="34"/>
    </row>
    <row r="1191" ht="15.0" customHeight="1">
      <c r="A1191" s="32" t="s">
        <v>1216</v>
      </c>
      <c r="B1191" s="25"/>
      <c r="C1191" s="25"/>
      <c r="D1191" s="25"/>
      <c r="E1191" s="25"/>
      <c r="F1191" s="25"/>
      <c r="G1191" s="35">
        <v>0.0</v>
      </c>
      <c r="H1191" s="35">
        <v>1.0</v>
      </c>
      <c r="I1191" s="25"/>
      <c r="J1191" s="25"/>
      <c r="K1191" s="25"/>
      <c r="L1191" s="35"/>
      <c r="M1191" s="35"/>
      <c r="N1191" s="25"/>
      <c r="O1191" s="25"/>
      <c r="P1191" s="25"/>
      <c r="Q1191" s="35">
        <v>2.0</v>
      </c>
      <c r="R1191" s="35">
        <v>2.0</v>
      </c>
      <c r="S1191" s="35">
        <v>2.0</v>
      </c>
      <c r="T1191" s="35">
        <v>2.0</v>
      </c>
      <c r="U1191" s="34"/>
      <c r="V1191" s="34"/>
      <c r="W1191" s="34"/>
      <c r="X1191" s="34"/>
      <c r="Y1191" s="34"/>
      <c r="Z1191" s="34"/>
      <c r="AA1191" s="25"/>
      <c r="AB1191" s="25"/>
      <c r="AC1191" s="25"/>
      <c r="AD1191" s="25"/>
      <c r="AE1191" s="25"/>
      <c r="AF1191" s="25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25"/>
      <c r="AU1191" s="34"/>
      <c r="AV1191" s="34"/>
      <c r="AW1191" s="34"/>
    </row>
    <row r="1192" ht="15.0" customHeight="1">
      <c r="A1192" s="32" t="s">
        <v>1217</v>
      </c>
      <c r="B1192" s="25"/>
      <c r="C1192" s="25"/>
      <c r="D1192" s="25"/>
      <c r="E1192" s="25"/>
      <c r="F1192" s="25"/>
      <c r="G1192" s="35">
        <v>0.0</v>
      </c>
      <c r="H1192" s="35">
        <v>1.0</v>
      </c>
      <c r="I1192" s="25"/>
      <c r="J1192" s="25"/>
      <c r="K1192" s="25"/>
      <c r="L1192" s="35"/>
      <c r="M1192" s="35"/>
      <c r="N1192" s="25"/>
      <c r="O1192" s="25"/>
      <c r="P1192" s="25"/>
      <c r="Q1192" s="35">
        <v>2.0</v>
      </c>
      <c r="R1192" s="35">
        <v>2.0</v>
      </c>
      <c r="S1192" s="35">
        <v>2.0</v>
      </c>
      <c r="T1192" s="35">
        <v>2.0</v>
      </c>
      <c r="U1192" s="34"/>
      <c r="V1192" s="34"/>
      <c r="W1192" s="34"/>
      <c r="X1192" s="34"/>
      <c r="Y1192" s="34"/>
      <c r="Z1192" s="34"/>
      <c r="AA1192" s="25"/>
      <c r="AB1192" s="25"/>
      <c r="AC1192" s="25"/>
      <c r="AD1192" s="25"/>
      <c r="AE1192" s="25"/>
      <c r="AF1192" s="25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25"/>
      <c r="AU1192" s="34"/>
      <c r="AV1192" s="34"/>
      <c r="AW1192" s="34"/>
    </row>
    <row r="1193" ht="15.0" customHeight="1">
      <c r="A1193" s="32" t="s">
        <v>1218</v>
      </c>
      <c r="B1193" s="25"/>
      <c r="C1193" s="25"/>
      <c r="D1193" s="25"/>
      <c r="E1193" s="25"/>
      <c r="F1193" s="25"/>
      <c r="G1193" s="35">
        <v>0.0</v>
      </c>
      <c r="H1193" s="35">
        <v>1.0</v>
      </c>
      <c r="I1193" s="25"/>
      <c r="J1193" s="25"/>
      <c r="K1193" s="25"/>
      <c r="L1193" s="35"/>
      <c r="M1193" s="35"/>
      <c r="N1193" s="25"/>
      <c r="O1193" s="25"/>
      <c r="P1193" s="25"/>
      <c r="Q1193" s="35">
        <v>2.0</v>
      </c>
      <c r="R1193" s="35">
        <v>2.0</v>
      </c>
      <c r="S1193" s="35">
        <v>2.0</v>
      </c>
      <c r="T1193" s="35">
        <v>2.0</v>
      </c>
      <c r="U1193" s="34"/>
      <c r="V1193" s="34"/>
      <c r="W1193" s="34"/>
      <c r="X1193" s="34"/>
      <c r="Y1193" s="34"/>
      <c r="Z1193" s="34"/>
      <c r="AA1193" s="25"/>
      <c r="AB1193" s="25"/>
      <c r="AC1193" s="25"/>
      <c r="AD1193" s="25"/>
      <c r="AE1193" s="25"/>
      <c r="AF1193" s="25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25"/>
      <c r="AU1193" s="34"/>
      <c r="AV1193" s="34"/>
      <c r="AW1193" s="34"/>
    </row>
    <row r="1194" ht="15.0" customHeight="1">
      <c r="A1194" s="32" t="s">
        <v>1219</v>
      </c>
      <c r="B1194" s="25"/>
      <c r="C1194" s="25"/>
      <c r="D1194" s="25"/>
      <c r="E1194" s="25"/>
      <c r="F1194" s="25"/>
      <c r="G1194" s="35">
        <v>0.0</v>
      </c>
      <c r="H1194" s="35">
        <v>1.0</v>
      </c>
      <c r="I1194" s="25"/>
      <c r="J1194" s="25"/>
      <c r="K1194" s="25"/>
      <c r="L1194" s="35"/>
      <c r="M1194" s="35"/>
      <c r="N1194" s="25"/>
      <c r="O1194" s="25"/>
      <c r="P1194" s="25"/>
      <c r="Q1194" s="35">
        <v>2.0</v>
      </c>
      <c r="R1194" s="35">
        <v>2.0</v>
      </c>
      <c r="S1194" s="35">
        <v>2.0</v>
      </c>
      <c r="T1194" s="35">
        <v>2.0</v>
      </c>
      <c r="U1194" s="34"/>
      <c r="V1194" s="34"/>
      <c r="W1194" s="34"/>
      <c r="X1194" s="34"/>
      <c r="Y1194" s="34"/>
      <c r="Z1194" s="34"/>
      <c r="AA1194" s="25"/>
      <c r="AB1194" s="25"/>
      <c r="AC1194" s="25"/>
      <c r="AD1194" s="25"/>
      <c r="AE1194" s="25"/>
      <c r="AF1194" s="25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25"/>
      <c r="AU1194" s="34"/>
      <c r="AV1194" s="34"/>
      <c r="AW1194" s="34"/>
    </row>
    <row r="1195" ht="15.0" customHeight="1">
      <c r="A1195" s="32" t="s">
        <v>1220</v>
      </c>
      <c r="B1195" s="25"/>
      <c r="C1195" s="25"/>
      <c r="D1195" s="25"/>
      <c r="E1195" s="25"/>
      <c r="F1195" s="25"/>
      <c r="G1195" s="35">
        <v>0.0</v>
      </c>
      <c r="H1195" s="35">
        <v>1.0</v>
      </c>
      <c r="I1195" s="25"/>
      <c r="J1195" s="25"/>
      <c r="K1195" s="25"/>
      <c r="L1195" s="35"/>
      <c r="M1195" s="35"/>
      <c r="N1195" s="25"/>
      <c r="O1195" s="25"/>
      <c r="P1195" s="25"/>
      <c r="Q1195" s="35">
        <v>2.0</v>
      </c>
      <c r="R1195" s="35">
        <v>2.0</v>
      </c>
      <c r="S1195" s="35">
        <v>2.0</v>
      </c>
      <c r="T1195" s="35">
        <v>2.0</v>
      </c>
      <c r="U1195" s="34"/>
      <c r="V1195" s="34"/>
      <c r="W1195" s="34"/>
      <c r="X1195" s="34"/>
      <c r="Y1195" s="34"/>
      <c r="Z1195" s="34"/>
      <c r="AA1195" s="25"/>
      <c r="AB1195" s="25"/>
      <c r="AC1195" s="25"/>
      <c r="AD1195" s="25"/>
      <c r="AE1195" s="25"/>
      <c r="AF1195" s="25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25"/>
      <c r="AU1195" s="34"/>
      <c r="AV1195" s="34"/>
      <c r="AW1195" s="34"/>
    </row>
    <row r="1196" ht="15.0" customHeight="1">
      <c r="A1196" s="32" t="s">
        <v>1221</v>
      </c>
      <c r="B1196" s="25"/>
      <c r="C1196" s="25"/>
      <c r="D1196" s="25"/>
      <c r="E1196" s="25"/>
      <c r="F1196" s="25"/>
      <c r="G1196" s="35">
        <v>0.0</v>
      </c>
      <c r="H1196" s="35">
        <v>1.0</v>
      </c>
      <c r="I1196" s="25"/>
      <c r="J1196" s="25"/>
      <c r="K1196" s="25"/>
      <c r="L1196" s="35"/>
      <c r="M1196" s="35"/>
      <c r="N1196" s="25"/>
      <c r="O1196" s="25"/>
      <c r="P1196" s="25"/>
      <c r="Q1196" s="35">
        <v>2.0</v>
      </c>
      <c r="R1196" s="35">
        <v>2.0</v>
      </c>
      <c r="S1196" s="35">
        <v>2.0</v>
      </c>
      <c r="T1196" s="35">
        <v>2.0</v>
      </c>
      <c r="U1196" s="34"/>
      <c r="V1196" s="34"/>
      <c r="W1196" s="34"/>
      <c r="X1196" s="34"/>
      <c r="Y1196" s="34"/>
      <c r="Z1196" s="34"/>
      <c r="AA1196" s="25"/>
      <c r="AB1196" s="25"/>
      <c r="AC1196" s="25"/>
      <c r="AD1196" s="25"/>
      <c r="AE1196" s="25"/>
      <c r="AF1196" s="25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25"/>
      <c r="AU1196" s="34"/>
      <c r="AV1196" s="34"/>
      <c r="AW1196" s="34"/>
    </row>
    <row r="1197" ht="15.0" customHeight="1">
      <c r="A1197" s="32" t="s">
        <v>1222</v>
      </c>
      <c r="B1197" s="25"/>
      <c r="C1197" s="25"/>
      <c r="D1197" s="25"/>
      <c r="E1197" s="25"/>
      <c r="F1197" s="25"/>
      <c r="G1197" s="35">
        <v>0.0</v>
      </c>
      <c r="H1197" s="35">
        <v>1.0</v>
      </c>
      <c r="I1197" s="25"/>
      <c r="J1197" s="25"/>
      <c r="K1197" s="25"/>
      <c r="L1197" s="35"/>
      <c r="M1197" s="35"/>
      <c r="N1197" s="25"/>
      <c r="O1197" s="25"/>
      <c r="P1197" s="25"/>
      <c r="Q1197" s="35">
        <v>2.0</v>
      </c>
      <c r="R1197" s="35">
        <v>2.0</v>
      </c>
      <c r="S1197" s="35">
        <v>2.0</v>
      </c>
      <c r="T1197" s="35">
        <v>2.0</v>
      </c>
      <c r="U1197" s="34"/>
      <c r="V1197" s="34"/>
      <c r="W1197" s="34"/>
      <c r="X1197" s="34"/>
      <c r="Y1197" s="34"/>
      <c r="Z1197" s="34"/>
      <c r="AA1197" s="25"/>
      <c r="AB1197" s="25"/>
      <c r="AC1197" s="25"/>
      <c r="AD1197" s="25"/>
      <c r="AE1197" s="25"/>
      <c r="AF1197" s="25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25"/>
      <c r="AU1197" s="34"/>
      <c r="AV1197" s="34"/>
      <c r="AW1197" s="34"/>
    </row>
    <row r="1198" ht="15.0" customHeight="1">
      <c r="A1198" s="32" t="s">
        <v>1223</v>
      </c>
      <c r="B1198" s="25"/>
      <c r="C1198" s="25"/>
      <c r="D1198" s="25"/>
      <c r="E1198" s="25"/>
      <c r="F1198" s="25"/>
      <c r="G1198" s="35">
        <v>0.0</v>
      </c>
      <c r="H1198" s="35">
        <v>1.0</v>
      </c>
      <c r="I1198" s="25"/>
      <c r="J1198" s="25"/>
      <c r="K1198" s="25"/>
      <c r="L1198" s="35"/>
      <c r="M1198" s="35"/>
      <c r="N1198" s="25"/>
      <c r="O1198" s="25"/>
      <c r="P1198" s="25"/>
      <c r="Q1198" s="35">
        <v>2.0</v>
      </c>
      <c r="R1198" s="35">
        <v>2.0</v>
      </c>
      <c r="S1198" s="35">
        <v>2.0</v>
      </c>
      <c r="T1198" s="35">
        <v>2.0</v>
      </c>
      <c r="U1198" s="34"/>
      <c r="V1198" s="34"/>
      <c r="W1198" s="34"/>
      <c r="X1198" s="34"/>
      <c r="Y1198" s="34"/>
      <c r="Z1198" s="34"/>
      <c r="AA1198" s="25"/>
      <c r="AB1198" s="25"/>
      <c r="AC1198" s="25"/>
      <c r="AD1198" s="25"/>
      <c r="AE1198" s="25"/>
      <c r="AF1198" s="25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25"/>
      <c r="AU1198" s="34"/>
      <c r="AV1198" s="34"/>
      <c r="AW1198" s="34"/>
    </row>
    <row r="1199" ht="15.0" customHeight="1">
      <c r="A1199" s="32" t="s">
        <v>1224</v>
      </c>
      <c r="B1199" s="25"/>
      <c r="C1199" s="25"/>
      <c r="D1199" s="25"/>
      <c r="E1199" s="25"/>
      <c r="F1199" s="25"/>
      <c r="G1199" s="35">
        <v>0.0</v>
      </c>
      <c r="H1199" s="35">
        <v>1.0</v>
      </c>
      <c r="I1199" s="25"/>
      <c r="J1199" s="25"/>
      <c r="K1199" s="25"/>
      <c r="L1199" s="35"/>
      <c r="M1199" s="35"/>
      <c r="N1199" s="25"/>
      <c r="O1199" s="25"/>
      <c r="P1199" s="25"/>
      <c r="Q1199" s="35">
        <v>2.0</v>
      </c>
      <c r="R1199" s="35">
        <v>2.0</v>
      </c>
      <c r="S1199" s="35">
        <v>2.0</v>
      </c>
      <c r="T1199" s="35">
        <v>2.0</v>
      </c>
      <c r="U1199" s="34"/>
      <c r="V1199" s="34"/>
      <c r="W1199" s="34"/>
      <c r="X1199" s="34"/>
      <c r="Y1199" s="34"/>
      <c r="Z1199" s="34"/>
      <c r="AA1199" s="25"/>
      <c r="AB1199" s="25"/>
      <c r="AC1199" s="25"/>
      <c r="AD1199" s="25"/>
      <c r="AE1199" s="25"/>
      <c r="AF1199" s="25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25"/>
      <c r="AU1199" s="34"/>
      <c r="AV1199" s="34"/>
      <c r="AW1199" s="34"/>
    </row>
    <row r="1200" ht="15.0" customHeight="1">
      <c r="A1200" s="32" t="s">
        <v>1225</v>
      </c>
      <c r="B1200" s="25"/>
      <c r="C1200" s="25"/>
      <c r="D1200" s="25"/>
      <c r="E1200" s="25"/>
      <c r="F1200" s="25"/>
      <c r="G1200" s="35">
        <v>0.0</v>
      </c>
      <c r="H1200" s="35">
        <v>1.0</v>
      </c>
      <c r="I1200" s="25"/>
      <c r="J1200" s="25"/>
      <c r="K1200" s="25"/>
      <c r="L1200" s="35"/>
      <c r="M1200" s="35"/>
      <c r="N1200" s="25"/>
      <c r="O1200" s="25"/>
      <c r="P1200" s="25"/>
      <c r="Q1200" s="35">
        <v>2.0</v>
      </c>
      <c r="R1200" s="35">
        <v>2.0</v>
      </c>
      <c r="S1200" s="35">
        <v>2.0</v>
      </c>
      <c r="T1200" s="35">
        <v>2.0</v>
      </c>
      <c r="U1200" s="34"/>
      <c r="V1200" s="34"/>
      <c r="W1200" s="34"/>
      <c r="X1200" s="34"/>
      <c r="Y1200" s="34"/>
      <c r="Z1200" s="34"/>
      <c r="AA1200" s="25"/>
      <c r="AB1200" s="25"/>
      <c r="AC1200" s="25"/>
      <c r="AD1200" s="25"/>
      <c r="AE1200" s="25"/>
      <c r="AF1200" s="25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25"/>
      <c r="AU1200" s="34"/>
      <c r="AV1200" s="34"/>
      <c r="AW1200" s="34"/>
    </row>
    <row r="1201" ht="15.0" customHeight="1">
      <c r="A1201" s="32" t="s">
        <v>1226</v>
      </c>
      <c r="B1201" s="25"/>
      <c r="C1201" s="25"/>
      <c r="D1201" s="25"/>
      <c r="E1201" s="25"/>
      <c r="F1201" s="25"/>
      <c r="G1201" s="35">
        <v>0.0</v>
      </c>
      <c r="H1201" s="35">
        <v>1.0</v>
      </c>
      <c r="I1201" s="25"/>
      <c r="J1201" s="25"/>
      <c r="K1201" s="25"/>
      <c r="L1201" s="35"/>
      <c r="M1201" s="35"/>
      <c r="N1201" s="25"/>
      <c r="O1201" s="25"/>
      <c r="P1201" s="25"/>
      <c r="Q1201" s="35">
        <v>2.0</v>
      </c>
      <c r="R1201" s="35">
        <v>2.0</v>
      </c>
      <c r="S1201" s="35">
        <v>2.0</v>
      </c>
      <c r="T1201" s="35">
        <v>2.0</v>
      </c>
      <c r="U1201" s="34"/>
      <c r="V1201" s="34"/>
      <c r="W1201" s="34"/>
      <c r="X1201" s="34"/>
      <c r="Y1201" s="34"/>
      <c r="Z1201" s="34"/>
      <c r="AA1201" s="25"/>
      <c r="AB1201" s="25"/>
      <c r="AC1201" s="25"/>
      <c r="AD1201" s="25"/>
      <c r="AE1201" s="25"/>
      <c r="AF1201" s="25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25"/>
      <c r="AU1201" s="34"/>
      <c r="AV1201" s="34"/>
      <c r="AW1201" s="34"/>
    </row>
    <row r="1202" ht="15.0" customHeight="1">
      <c r="A1202" s="32" t="s">
        <v>1227</v>
      </c>
      <c r="B1202" s="25"/>
      <c r="C1202" s="25"/>
      <c r="D1202" s="25"/>
      <c r="E1202" s="25"/>
      <c r="F1202" s="25"/>
      <c r="G1202" s="35">
        <v>0.0</v>
      </c>
      <c r="H1202" s="35">
        <v>1.0</v>
      </c>
      <c r="I1202" s="25"/>
      <c r="J1202" s="25"/>
      <c r="K1202" s="25"/>
      <c r="L1202" s="35"/>
      <c r="M1202" s="35"/>
      <c r="N1202" s="25"/>
      <c r="O1202" s="25"/>
      <c r="P1202" s="25"/>
      <c r="Q1202" s="35">
        <v>2.0</v>
      </c>
      <c r="R1202" s="35">
        <v>2.0</v>
      </c>
      <c r="S1202" s="35">
        <v>2.0</v>
      </c>
      <c r="T1202" s="35">
        <v>2.0</v>
      </c>
      <c r="U1202" s="34"/>
      <c r="V1202" s="34"/>
      <c r="W1202" s="34"/>
      <c r="X1202" s="34"/>
      <c r="Y1202" s="34"/>
      <c r="Z1202" s="34"/>
      <c r="AA1202" s="25"/>
      <c r="AB1202" s="25"/>
      <c r="AC1202" s="25"/>
      <c r="AD1202" s="25"/>
      <c r="AE1202" s="25"/>
      <c r="AF1202" s="25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25"/>
      <c r="AU1202" s="34"/>
      <c r="AV1202" s="34"/>
      <c r="AW1202" s="34"/>
    </row>
    <row r="1203" ht="15.0" customHeight="1">
      <c r="A1203" s="32" t="s">
        <v>1228</v>
      </c>
      <c r="B1203" s="25"/>
      <c r="C1203" s="25"/>
      <c r="D1203" s="25"/>
      <c r="E1203" s="25"/>
      <c r="F1203" s="25"/>
      <c r="G1203" s="35">
        <v>0.0</v>
      </c>
      <c r="H1203" s="35">
        <v>1.0</v>
      </c>
      <c r="I1203" s="25"/>
      <c r="J1203" s="25"/>
      <c r="K1203" s="25"/>
      <c r="L1203" s="35"/>
      <c r="M1203" s="35"/>
      <c r="N1203" s="25"/>
      <c r="O1203" s="25"/>
      <c r="P1203" s="25"/>
      <c r="Q1203" s="35">
        <v>2.0</v>
      </c>
      <c r="R1203" s="35">
        <v>2.0</v>
      </c>
      <c r="S1203" s="35">
        <v>2.0</v>
      </c>
      <c r="T1203" s="35">
        <v>2.0</v>
      </c>
      <c r="U1203" s="34"/>
      <c r="V1203" s="34"/>
      <c r="W1203" s="34"/>
      <c r="X1203" s="34"/>
      <c r="Y1203" s="34"/>
      <c r="Z1203" s="34"/>
      <c r="AA1203" s="25"/>
      <c r="AB1203" s="25"/>
      <c r="AC1203" s="25"/>
      <c r="AD1203" s="25"/>
      <c r="AE1203" s="25"/>
      <c r="AF1203" s="25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25"/>
      <c r="AU1203" s="34"/>
      <c r="AV1203" s="34"/>
      <c r="AW1203" s="34"/>
    </row>
    <row r="1204" ht="15.0" customHeight="1">
      <c r="A1204" s="32" t="s">
        <v>1229</v>
      </c>
      <c r="B1204" s="25"/>
      <c r="C1204" s="25"/>
      <c r="D1204" s="25"/>
      <c r="E1204" s="25"/>
      <c r="F1204" s="25"/>
      <c r="G1204" s="35">
        <v>0.0</v>
      </c>
      <c r="H1204" s="35">
        <v>1.0</v>
      </c>
      <c r="I1204" s="25"/>
      <c r="J1204" s="25"/>
      <c r="K1204" s="25"/>
      <c r="L1204" s="35"/>
      <c r="M1204" s="35"/>
      <c r="N1204" s="25"/>
      <c r="O1204" s="25"/>
      <c r="P1204" s="25"/>
      <c r="Q1204" s="35">
        <v>2.0</v>
      </c>
      <c r="R1204" s="35">
        <v>2.0</v>
      </c>
      <c r="S1204" s="35">
        <v>2.0</v>
      </c>
      <c r="T1204" s="35">
        <v>2.0</v>
      </c>
      <c r="U1204" s="34"/>
      <c r="V1204" s="34"/>
      <c r="W1204" s="34"/>
      <c r="X1204" s="34"/>
      <c r="Y1204" s="34"/>
      <c r="Z1204" s="34"/>
      <c r="AA1204" s="25"/>
      <c r="AB1204" s="25"/>
      <c r="AC1204" s="25"/>
      <c r="AD1204" s="25"/>
      <c r="AE1204" s="25"/>
      <c r="AF1204" s="25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25"/>
      <c r="AU1204" s="34"/>
      <c r="AV1204" s="34"/>
      <c r="AW1204" s="34"/>
    </row>
    <row r="1205" ht="15.0" customHeight="1">
      <c r="A1205" s="32" t="s">
        <v>1230</v>
      </c>
      <c r="B1205" s="25"/>
      <c r="C1205" s="25"/>
      <c r="D1205" s="25"/>
      <c r="E1205" s="25"/>
      <c r="F1205" s="25"/>
      <c r="G1205" s="35">
        <v>0.0</v>
      </c>
      <c r="H1205" s="35">
        <v>1.0</v>
      </c>
      <c r="I1205" s="25"/>
      <c r="J1205" s="25"/>
      <c r="K1205" s="25"/>
      <c r="L1205" s="35"/>
      <c r="M1205" s="35"/>
      <c r="N1205" s="25"/>
      <c r="O1205" s="25"/>
      <c r="P1205" s="25"/>
      <c r="Q1205" s="35">
        <v>2.0</v>
      </c>
      <c r="R1205" s="35">
        <v>2.0</v>
      </c>
      <c r="S1205" s="35">
        <v>2.0</v>
      </c>
      <c r="T1205" s="35">
        <v>2.0</v>
      </c>
      <c r="U1205" s="34"/>
      <c r="V1205" s="34"/>
      <c r="W1205" s="34"/>
      <c r="X1205" s="34"/>
      <c r="Y1205" s="34"/>
      <c r="Z1205" s="34"/>
      <c r="AA1205" s="25"/>
      <c r="AB1205" s="25"/>
      <c r="AC1205" s="25"/>
      <c r="AD1205" s="25"/>
      <c r="AE1205" s="25"/>
      <c r="AF1205" s="25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25"/>
      <c r="AU1205" s="34"/>
      <c r="AV1205" s="34"/>
      <c r="AW1205" s="34"/>
    </row>
    <row r="1206" ht="15.0" customHeight="1">
      <c r="A1206" s="32" t="s">
        <v>1231</v>
      </c>
      <c r="B1206" s="25"/>
      <c r="C1206" s="25"/>
      <c r="D1206" s="25"/>
      <c r="E1206" s="25"/>
      <c r="F1206" s="25"/>
      <c r="G1206" s="35">
        <v>0.0</v>
      </c>
      <c r="H1206" s="35">
        <v>1.0</v>
      </c>
      <c r="I1206" s="25"/>
      <c r="J1206" s="25"/>
      <c r="K1206" s="25"/>
      <c r="L1206" s="35"/>
      <c r="M1206" s="35"/>
      <c r="N1206" s="25"/>
      <c r="O1206" s="25"/>
      <c r="P1206" s="25"/>
      <c r="Q1206" s="35">
        <v>2.0</v>
      </c>
      <c r="R1206" s="35">
        <v>2.0</v>
      </c>
      <c r="S1206" s="35">
        <v>2.0</v>
      </c>
      <c r="T1206" s="35">
        <v>2.0</v>
      </c>
      <c r="U1206" s="34"/>
      <c r="V1206" s="34"/>
      <c r="W1206" s="34"/>
      <c r="X1206" s="34"/>
      <c r="Y1206" s="34"/>
      <c r="Z1206" s="34"/>
      <c r="AA1206" s="25"/>
      <c r="AB1206" s="25"/>
      <c r="AC1206" s="25"/>
      <c r="AD1206" s="25"/>
      <c r="AE1206" s="25"/>
      <c r="AF1206" s="25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25"/>
      <c r="AU1206" s="34"/>
      <c r="AV1206" s="34"/>
      <c r="AW1206" s="34"/>
    </row>
    <row r="1207" ht="15.0" customHeight="1">
      <c r="A1207" s="32" t="s">
        <v>1232</v>
      </c>
      <c r="B1207" s="25"/>
      <c r="C1207" s="25"/>
      <c r="D1207" s="25"/>
      <c r="E1207" s="25"/>
      <c r="F1207" s="25"/>
      <c r="G1207" s="35">
        <v>0.0</v>
      </c>
      <c r="H1207" s="35">
        <v>1.0</v>
      </c>
      <c r="I1207" s="25"/>
      <c r="J1207" s="25"/>
      <c r="K1207" s="25"/>
      <c r="L1207" s="35"/>
      <c r="M1207" s="35"/>
      <c r="N1207" s="25"/>
      <c r="O1207" s="25"/>
      <c r="P1207" s="25"/>
      <c r="Q1207" s="35">
        <v>2.0</v>
      </c>
      <c r="R1207" s="35">
        <v>2.0</v>
      </c>
      <c r="S1207" s="35">
        <v>2.0</v>
      </c>
      <c r="T1207" s="35">
        <v>2.0</v>
      </c>
      <c r="U1207" s="34"/>
      <c r="V1207" s="34"/>
      <c r="W1207" s="34"/>
      <c r="X1207" s="34"/>
      <c r="Y1207" s="34"/>
      <c r="Z1207" s="34"/>
      <c r="AA1207" s="25"/>
      <c r="AB1207" s="25"/>
      <c r="AC1207" s="25"/>
      <c r="AD1207" s="25"/>
      <c r="AE1207" s="25"/>
      <c r="AF1207" s="25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25"/>
      <c r="AU1207" s="34"/>
      <c r="AV1207" s="34"/>
      <c r="AW1207" s="34"/>
    </row>
    <row r="1208" ht="15.0" customHeight="1">
      <c r="A1208" s="32" t="s">
        <v>1233</v>
      </c>
      <c r="B1208" s="25"/>
      <c r="C1208" s="25"/>
      <c r="D1208" s="25"/>
      <c r="E1208" s="25"/>
      <c r="F1208" s="25"/>
      <c r="G1208" s="35">
        <v>0.0</v>
      </c>
      <c r="H1208" s="35">
        <v>1.0</v>
      </c>
      <c r="I1208" s="25"/>
      <c r="J1208" s="25"/>
      <c r="K1208" s="25"/>
      <c r="L1208" s="35"/>
      <c r="M1208" s="35"/>
      <c r="N1208" s="25"/>
      <c r="O1208" s="25"/>
      <c r="P1208" s="25"/>
      <c r="Q1208" s="35">
        <v>2.0</v>
      </c>
      <c r="R1208" s="35">
        <v>2.0</v>
      </c>
      <c r="S1208" s="35">
        <v>2.0</v>
      </c>
      <c r="T1208" s="35">
        <v>2.0</v>
      </c>
      <c r="U1208" s="34"/>
      <c r="V1208" s="34"/>
      <c r="W1208" s="34"/>
      <c r="X1208" s="34"/>
      <c r="Y1208" s="34"/>
      <c r="Z1208" s="34"/>
      <c r="AA1208" s="25"/>
      <c r="AB1208" s="25"/>
      <c r="AC1208" s="25"/>
      <c r="AD1208" s="25"/>
      <c r="AE1208" s="25"/>
      <c r="AF1208" s="25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25"/>
      <c r="AU1208" s="34"/>
      <c r="AV1208" s="34"/>
      <c r="AW1208" s="34"/>
    </row>
    <row r="1209" ht="15.0" customHeight="1">
      <c r="A1209" s="32" t="s">
        <v>1234</v>
      </c>
      <c r="B1209" s="25"/>
      <c r="C1209" s="25"/>
      <c r="D1209" s="25"/>
      <c r="E1209" s="25"/>
      <c r="F1209" s="25"/>
      <c r="G1209" s="35">
        <v>0.0</v>
      </c>
      <c r="H1209" s="35">
        <v>1.0</v>
      </c>
      <c r="I1209" s="25"/>
      <c r="J1209" s="25"/>
      <c r="K1209" s="25"/>
      <c r="L1209" s="35"/>
      <c r="M1209" s="35"/>
      <c r="N1209" s="25"/>
      <c r="O1209" s="25"/>
      <c r="P1209" s="25"/>
      <c r="Q1209" s="35">
        <v>2.0</v>
      </c>
      <c r="R1209" s="35">
        <v>2.0</v>
      </c>
      <c r="S1209" s="35">
        <v>2.0</v>
      </c>
      <c r="T1209" s="35">
        <v>2.0</v>
      </c>
      <c r="U1209" s="34"/>
      <c r="V1209" s="34"/>
      <c r="W1209" s="34"/>
      <c r="X1209" s="34"/>
      <c r="Y1209" s="34"/>
      <c r="Z1209" s="34"/>
      <c r="AA1209" s="25"/>
      <c r="AB1209" s="25"/>
      <c r="AC1209" s="25"/>
      <c r="AD1209" s="25"/>
      <c r="AE1209" s="25"/>
      <c r="AF1209" s="25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25"/>
      <c r="AU1209" s="34"/>
      <c r="AV1209" s="34"/>
      <c r="AW1209" s="34"/>
    </row>
    <row r="1210" ht="15.0" customHeight="1">
      <c r="A1210" s="32" t="s">
        <v>1235</v>
      </c>
      <c r="B1210" s="25"/>
      <c r="C1210" s="25"/>
      <c r="D1210" s="25"/>
      <c r="E1210" s="25"/>
      <c r="F1210" s="25"/>
      <c r="G1210" s="35">
        <v>0.0</v>
      </c>
      <c r="H1210" s="35">
        <v>1.0</v>
      </c>
      <c r="I1210" s="25"/>
      <c r="J1210" s="25"/>
      <c r="K1210" s="25"/>
      <c r="L1210" s="35"/>
      <c r="M1210" s="35"/>
      <c r="N1210" s="25"/>
      <c r="O1210" s="25"/>
      <c r="P1210" s="25"/>
      <c r="Q1210" s="35">
        <v>2.0</v>
      </c>
      <c r="R1210" s="35">
        <v>2.0</v>
      </c>
      <c r="S1210" s="35">
        <v>2.0</v>
      </c>
      <c r="T1210" s="35">
        <v>2.0</v>
      </c>
      <c r="U1210" s="34"/>
      <c r="V1210" s="34"/>
      <c r="W1210" s="34"/>
      <c r="X1210" s="34"/>
      <c r="Y1210" s="34"/>
      <c r="Z1210" s="34"/>
      <c r="AA1210" s="25"/>
      <c r="AB1210" s="25"/>
      <c r="AC1210" s="25"/>
      <c r="AD1210" s="25"/>
      <c r="AE1210" s="25"/>
      <c r="AF1210" s="25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25"/>
      <c r="AU1210" s="34"/>
      <c r="AV1210" s="34"/>
      <c r="AW1210" s="34"/>
    </row>
    <row r="1211" ht="15.0" customHeight="1">
      <c r="A1211" s="32" t="s">
        <v>1236</v>
      </c>
      <c r="B1211" s="25"/>
      <c r="C1211" s="25"/>
      <c r="D1211" s="25"/>
      <c r="E1211" s="25"/>
      <c r="F1211" s="25"/>
      <c r="G1211" s="35">
        <v>0.0</v>
      </c>
      <c r="H1211" s="35">
        <v>1.0</v>
      </c>
      <c r="I1211" s="25"/>
      <c r="J1211" s="25"/>
      <c r="K1211" s="25"/>
      <c r="L1211" s="35"/>
      <c r="M1211" s="35"/>
      <c r="N1211" s="25"/>
      <c r="O1211" s="25"/>
      <c r="P1211" s="25"/>
      <c r="Q1211" s="35">
        <v>2.0</v>
      </c>
      <c r="R1211" s="35">
        <v>2.0</v>
      </c>
      <c r="S1211" s="35">
        <v>2.0</v>
      </c>
      <c r="T1211" s="35">
        <v>2.0</v>
      </c>
      <c r="U1211" s="34"/>
      <c r="V1211" s="34"/>
      <c r="W1211" s="34"/>
      <c r="X1211" s="34"/>
      <c r="Y1211" s="34"/>
      <c r="Z1211" s="34"/>
      <c r="AA1211" s="25"/>
      <c r="AB1211" s="25"/>
      <c r="AC1211" s="25"/>
      <c r="AD1211" s="25"/>
      <c r="AE1211" s="25"/>
      <c r="AF1211" s="25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25"/>
      <c r="AU1211" s="34"/>
      <c r="AV1211" s="34"/>
      <c r="AW1211" s="34"/>
    </row>
    <row r="1212" ht="15.0" customHeight="1">
      <c r="A1212" s="32" t="s">
        <v>1237</v>
      </c>
      <c r="B1212" s="25"/>
      <c r="C1212" s="25"/>
      <c r="D1212" s="25"/>
      <c r="E1212" s="25"/>
      <c r="F1212" s="25"/>
      <c r="G1212" s="35">
        <v>0.0</v>
      </c>
      <c r="H1212" s="35">
        <v>1.0</v>
      </c>
      <c r="I1212" s="25"/>
      <c r="J1212" s="25"/>
      <c r="K1212" s="25"/>
      <c r="L1212" s="35"/>
      <c r="M1212" s="35"/>
      <c r="N1212" s="25"/>
      <c r="O1212" s="25"/>
      <c r="P1212" s="25"/>
      <c r="Q1212" s="35">
        <v>2.0</v>
      </c>
      <c r="R1212" s="35">
        <v>2.0</v>
      </c>
      <c r="S1212" s="35">
        <v>2.0</v>
      </c>
      <c r="T1212" s="35">
        <v>2.0</v>
      </c>
      <c r="U1212" s="34"/>
      <c r="V1212" s="34"/>
      <c r="W1212" s="34"/>
      <c r="X1212" s="34"/>
      <c r="Y1212" s="34"/>
      <c r="Z1212" s="34"/>
      <c r="AA1212" s="25"/>
      <c r="AB1212" s="25"/>
      <c r="AC1212" s="25"/>
      <c r="AD1212" s="25"/>
      <c r="AE1212" s="25"/>
      <c r="AF1212" s="25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25"/>
      <c r="AU1212" s="34"/>
      <c r="AV1212" s="34"/>
      <c r="AW1212" s="34"/>
    </row>
    <row r="1213" ht="15.0" customHeight="1">
      <c r="A1213" s="32" t="s">
        <v>1238</v>
      </c>
      <c r="B1213" s="25"/>
      <c r="C1213" s="25"/>
      <c r="D1213" s="25"/>
      <c r="E1213" s="25"/>
      <c r="F1213" s="25"/>
      <c r="G1213" s="35">
        <v>0.0</v>
      </c>
      <c r="H1213" s="35">
        <v>1.0</v>
      </c>
      <c r="I1213" s="25"/>
      <c r="J1213" s="25"/>
      <c r="K1213" s="25"/>
      <c r="L1213" s="35"/>
      <c r="M1213" s="35"/>
      <c r="N1213" s="25"/>
      <c r="O1213" s="25"/>
      <c r="P1213" s="25"/>
      <c r="Q1213" s="35">
        <v>2.0</v>
      </c>
      <c r="R1213" s="35">
        <v>2.0</v>
      </c>
      <c r="S1213" s="35">
        <v>2.0</v>
      </c>
      <c r="T1213" s="35">
        <v>2.0</v>
      </c>
      <c r="U1213" s="34"/>
      <c r="V1213" s="34"/>
      <c r="W1213" s="34"/>
      <c r="X1213" s="34"/>
      <c r="Y1213" s="34"/>
      <c r="Z1213" s="34"/>
      <c r="AA1213" s="25"/>
      <c r="AB1213" s="25"/>
      <c r="AC1213" s="25"/>
      <c r="AD1213" s="25"/>
      <c r="AE1213" s="25"/>
      <c r="AF1213" s="25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25"/>
      <c r="AU1213" s="34"/>
      <c r="AV1213" s="34"/>
      <c r="AW1213" s="34"/>
    </row>
    <row r="1214" ht="15.0" customHeight="1">
      <c r="A1214" s="32" t="s">
        <v>1239</v>
      </c>
      <c r="B1214" s="25"/>
      <c r="C1214" s="25"/>
      <c r="D1214" s="25"/>
      <c r="E1214" s="25"/>
      <c r="F1214" s="25"/>
      <c r="G1214" s="35">
        <v>0.0</v>
      </c>
      <c r="H1214" s="35">
        <v>1.0</v>
      </c>
      <c r="I1214" s="25"/>
      <c r="J1214" s="25"/>
      <c r="K1214" s="25"/>
      <c r="L1214" s="35"/>
      <c r="M1214" s="35"/>
      <c r="N1214" s="25"/>
      <c r="O1214" s="25"/>
      <c r="P1214" s="25"/>
      <c r="Q1214" s="35">
        <v>2.0</v>
      </c>
      <c r="R1214" s="35">
        <v>2.0</v>
      </c>
      <c r="S1214" s="35">
        <v>2.0</v>
      </c>
      <c r="T1214" s="35">
        <v>2.0</v>
      </c>
      <c r="U1214" s="34"/>
      <c r="V1214" s="34"/>
      <c r="W1214" s="34"/>
      <c r="X1214" s="34"/>
      <c r="Y1214" s="34"/>
      <c r="Z1214" s="34"/>
      <c r="AA1214" s="25"/>
      <c r="AB1214" s="25"/>
      <c r="AC1214" s="25"/>
      <c r="AD1214" s="25"/>
      <c r="AE1214" s="25"/>
      <c r="AF1214" s="25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25"/>
      <c r="AU1214" s="34"/>
      <c r="AV1214" s="34"/>
      <c r="AW1214" s="34"/>
    </row>
    <row r="1215" ht="15.0" customHeight="1">
      <c r="A1215" s="32" t="s">
        <v>1240</v>
      </c>
      <c r="B1215" s="25"/>
      <c r="C1215" s="25"/>
      <c r="D1215" s="25"/>
      <c r="E1215" s="25"/>
      <c r="F1215" s="25"/>
      <c r="G1215" s="35">
        <v>0.0</v>
      </c>
      <c r="H1215" s="35">
        <v>1.0</v>
      </c>
      <c r="I1215" s="25"/>
      <c r="J1215" s="25"/>
      <c r="K1215" s="25"/>
      <c r="L1215" s="35"/>
      <c r="M1215" s="35"/>
      <c r="N1215" s="25"/>
      <c r="O1215" s="25"/>
      <c r="P1215" s="25"/>
      <c r="Q1215" s="35">
        <v>2.0</v>
      </c>
      <c r="R1215" s="35">
        <v>2.0</v>
      </c>
      <c r="S1215" s="35">
        <v>2.0</v>
      </c>
      <c r="T1215" s="35">
        <v>2.0</v>
      </c>
      <c r="U1215" s="34"/>
      <c r="V1215" s="34"/>
      <c r="W1215" s="34"/>
      <c r="X1215" s="34"/>
      <c r="Y1215" s="34"/>
      <c r="Z1215" s="34"/>
      <c r="AA1215" s="25"/>
      <c r="AB1215" s="25"/>
      <c r="AC1215" s="25"/>
      <c r="AD1215" s="25"/>
      <c r="AE1215" s="25"/>
      <c r="AF1215" s="25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25"/>
      <c r="AU1215" s="34"/>
      <c r="AV1215" s="34"/>
      <c r="AW1215" s="34"/>
    </row>
    <row r="1216" ht="15.0" customHeight="1">
      <c r="A1216" s="32" t="s">
        <v>1241</v>
      </c>
      <c r="B1216" s="25"/>
      <c r="C1216" s="25"/>
      <c r="D1216" s="25"/>
      <c r="E1216" s="25"/>
      <c r="F1216" s="25"/>
      <c r="G1216" s="35">
        <v>0.0</v>
      </c>
      <c r="H1216" s="35">
        <v>1.0</v>
      </c>
      <c r="I1216" s="25"/>
      <c r="J1216" s="25"/>
      <c r="K1216" s="25"/>
      <c r="L1216" s="35"/>
      <c r="M1216" s="35"/>
      <c r="N1216" s="25"/>
      <c r="O1216" s="25"/>
      <c r="P1216" s="25"/>
      <c r="Q1216" s="35">
        <v>2.0</v>
      </c>
      <c r="R1216" s="35">
        <v>2.0</v>
      </c>
      <c r="S1216" s="35">
        <v>2.0</v>
      </c>
      <c r="T1216" s="35">
        <v>2.0</v>
      </c>
      <c r="U1216" s="34"/>
      <c r="V1216" s="34"/>
      <c r="W1216" s="34"/>
      <c r="X1216" s="34"/>
      <c r="Y1216" s="34"/>
      <c r="Z1216" s="34"/>
      <c r="AA1216" s="25"/>
      <c r="AB1216" s="25"/>
      <c r="AC1216" s="25"/>
      <c r="AD1216" s="25"/>
      <c r="AE1216" s="25"/>
      <c r="AF1216" s="25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25"/>
      <c r="AU1216" s="34"/>
      <c r="AV1216" s="34"/>
      <c r="AW1216" s="34"/>
    </row>
    <row r="1217" ht="15.0" customHeight="1">
      <c r="A1217" s="32" t="s">
        <v>1242</v>
      </c>
      <c r="B1217" s="25"/>
      <c r="C1217" s="25"/>
      <c r="D1217" s="25"/>
      <c r="E1217" s="25"/>
      <c r="F1217" s="25"/>
      <c r="G1217" s="35">
        <v>0.0</v>
      </c>
      <c r="H1217" s="35">
        <v>1.0</v>
      </c>
      <c r="I1217" s="25"/>
      <c r="J1217" s="25"/>
      <c r="K1217" s="25"/>
      <c r="L1217" s="35"/>
      <c r="M1217" s="35"/>
      <c r="N1217" s="25"/>
      <c r="O1217" s="25"/>
      <c r="P1217" s="25"/>
      <c r="Q1217" s="35">
        <v>2.0</v>
      </c>
      <c r="R1217" s="35">
        <v>2.0</v>
      </c>
      <c r="S1217" s="35">
        <v>2.0</v>
      </c>
      <c r="T1217" s="35">
        <v>2.0</v>
      </c>
      <c r="U1217" s="34"/>
      <c r="V1217" s="34"/>
      <c r="W1217" s="34"/>
      <c r="X1217" s="34"/>
      <c r="Y1217" s="34"/>
      <c r="Z1217" s="34"/>
      <c r="AA1217" s="25"/>
      <c r="AB1217" s="25"/>
      <c r="AC1217" s="25"/>
      <c r="AD1217" s="25"/>
      <c r="AE1217" s="25"/>
      <c r="AF1217" s="25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25"/>
      <c r="AU1217" s="34"/>
      <c r="AV1217" s="34"/>
      <c r="AW1217" s="34"/>
    </row>
    <row r="1218" ht="15.0" customHeight="1">
      <c r="A1218" s="32" t="s">
        <v>1243</v>
      </c>
      <c r="B1218" s="25"/>
      <c r="C1218" s="25"/>
      <c r="D1218" s="25"/>
      <c r="E1218" s="25"/>
      <c r="F1218" s="25"/>
      <c r="G1218" s="35">
        <v>0.0</v>
      </c>
      <c r="H1218" s="35">
        <v>1.0</v>
      </c>
      <c r="I1218" s="25"/>
      <c r="J1218" s="25"/>
      <c r="K1218" s="25"/>
      <c r="L1218" s="35"/>
      <c r="M1218" s="35"/>
      <c r="N1218" s="25"/>
      <c r="O1218" s="25"/>
      <c r="P1218" s="25"/>
      <c r="Q1218" s="35">
        <v>2.0</v>
      </c>
      <c r="R1218" s="35">
        <v>2.0</v>
      </c>
      <c r="S1218" s="35">
        <v>2.0</v>
      </c>
      <c r="T1218" s="35">
        <v>2.0</v>
      </c>
      <c r="U1218" s="34"/>
      <c r="V1218" s="34"/>
      <c r="W1218" s="34"/>
      <c r="X1218" s="34"/>
      <c r="Y1218" s="34"/>
      <c r="Z1218" s="34"/>
      <c r="AA1218" s="25"/>
      <c r="AB1218" s="25"/>
      <c r="AC1218" s="25"/>
      <c r="AD1218" s="25"/>
      <c r="AE1218" s="25"/>
      <c r="AF1218" s="25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25"/>
      <c r="AU1218" s="34"/>
      <c r="AV1218" s="34"/>
      <c r="AW1218" s="34"/>
    </row>
    <row r="1219" ht="15.0" customHeight="1">
      <c r="A1219" s="32" t="s">
        <v>1244</v>
      </c>
      <c r="B1219" s="25"/>
      <c r="C1219" s="25"/>
      <c r="D1219" s="25"/>
      <c r="E1219" s="25"/>
      <c r="F1219" s="25"/>
      <c r="G1219" s="35">
        <v>0.0</v>
      </c>
      <c r="H1219" s="35">
        <v>1.0</v>
      </c>
      <c r="I1219" s="25"/>
      <c r="J1219" s="25"/>
      <c r="K1219" s="25"/>
      <c r="L1219" s="35"/>
      <c r="M1219" s="35"/>
      <c r="N1219" s="25"/>
      <c r="O1219" s="25"/>
      <c r="P1219" s="25"/>
      <c r="Q1219" s="35">
        <v>2.0</v>
      </c>
      <c r="R1219" s="35">
        <v>2.0</v>
      </c>
      <c r="S1219" s="35">
        <v>2.0</v>
      </c>
      <c r="T1219" s="35">
        <v>2.0</v>
      </c>
      <c r="U1219" s="34"/>
      <c r="V1219" s="34"/>
      <c r="W1219" s="34"/>
      <c r="X1219" s="34"/>
      <c r="Y1219" s="34"/>
      <c r="Z1219" s="34"/>
      <c r="AA1219" s="25"/>
      <c r="AB1219" s="25"/>
      <c r="AC1219" s="25"/>
      <c r="AD1219" s="25"/>
      <c r="AE1219" s="25"/>
      <c r="AF1219" s="25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25"/>
      <c r="AU1219" s="34"/>
      <c r="AV1219" s="34"/>
      <c r="AW1219" s="34"/>
    </row>
    <row r="1220" ht="15.0" customHeight="1">
      <c r="A1220" s="32" t="s">
        <v>1245</v>
      </c>
      <c r="B1220" s="25"/>
      <c r="C1220" s="25"/>
      <c r="D1220" s="25"/>
      <c r="E1220" s="25"/>
      <c r="F1220" s="25"/>
      <c r="G1220" s="35">
        <v>0.0</v>
      </c>
      <c r="H1220" s="35">
        <v>1.0</v>
      </c>
      <c r="I1220" s="25"/>
      <c r="J1220" s="25"/>
      <c r="K1220" s="25"/>
      <c r="L1220" s="35"/>
      <c r="M1220" s="35"/>
      <c r="N1220" s="25"/>
      <c r="O1220" s="25"/>
      <c r="P1220" s="25"/>
      <c r="Q1220" s="35">
        <v>2.0</v>
      </c>
      <c r="R1220" s="35">
        <v>2.0</v>
      </c>
      <c r="S1220" s="35">
        <v>2.0</v>
      </c>
      <c r="T1220" s="35">
        <v>2.0</v>
      </c>
      <c r="U1220" s="34"/>
      <c r="V1220" s="34"/>
      <c r="W1220" s="34"/>
      <c r="X1220" s="34"/>
      <c r="Y1220" s="34"/>
      <c r="Z1220" s="34"/>
      <c r="AA1220" s="25"/>
      <c r="AB1220" s="25"/>
      <c r="AC1220" s="25"/>
      <c r="AD1220" s="25"/>
      <c r="AE1220" s="25"/>
      <c r="AF1220" s="25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25"/>
      <c r="AU1220" s="34"/>
      <c r="AV1220" s="34"/>
      <c r="AW1220" s="34"/>
    </row>
    <row r="1221" ht="15.0" customHeight="1">
      <c r="A1221" s="32" t="s">
        <v>1246</v>
      </c>
      <c r="B1221" s="25"/>
      <c r="C1221" s="25"/>
      <c r="D1221" s="25"/>
      <c r="E1221" s="25"/>
      <c r="F1221" s="25"/>
      <c r="G1221" s="35">
        <v>0.0</v>
      </c>
      <c r="H1221" s="35">
        <v>1.0</v>
      </c>
      <c r="I1221" s="25"/>
      <c r="J1221" s="25"/>
      <c r="K1221" s="25"/>
      <c r="L1221" s="35"/>
      <c r="M1221" s="35"/>
      <c r="N1221" s="25"/>
      <c r="O1221" s="25"/>
      <c r="P1221" s="25"/>
      <c r="Q1221" s="35">
        <v>2.0</v>
      </c>
      <c r="R1221" s="35">
        <v>2.0</v>
      </c>
      <c r="S1221" s="35">
        <v>2.0</v>
      </c>
      <c r="T1221" s="35">
        <v>2.0</v>
      </c>
      <c r="U1221" s="34"/>
      <c r="V1221" s="34"/>
      <c r="W1221" s="34"/>
      <c r="X1221" s="34"/>
      <c r="Y1221" s="34"/>
      <c r="Z1221" s="34"/>
      <c r="AA1221" s="25"/>
      <c r="AB1221" s="25"/>
      <c r="AC1221" s="25"/>
      <c r="AD1221" s="25"/>
      <c r="AE1221" s="25"/>
      <c r="AF1221" s="25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25"/>
      <c r="AU1221" s="34"/>
      <c r="AV1221" s="34"/>
      <c r="AW1221" s="34"/>
    </row>
    <row r="1222" ht="15.0" customHeight="1">
      <c r="A1222" s="32" t="s">
        <v>1247</v>
      </c>
      <c r="B1222" s="25"/>
      <c r="C1222" s="25"/>
      <c r="D1222" s="25"/>
      <c r="E1222" s="25"/>
      <c r="F1222" s="25"/>
      <c r="G1222" s="35">
        <v>0.0</v>
      </c>
      <c r="H1222" s="35">
        <v>1.0</v>
      </c>
      <c r="I1222" s="25"/>
      <c r="J1222" s="25"/>
      <c r="K1222" s="25"/>
      <c r="L1222" s="35"/>
      <c r="M1222" s="35"/>
      <c r="N1222" s="25"/>
      <c r="O1222" s="25"/>
      <c r="P1222" s="25"/>
      <c r="Q1222" s="35">
        <v>2.0</v>
      </c>
      <c r="R1222" s="35">
        <v>2.0</v>
      </c>
      <c r="S1222" s="35">
        <v>2.0</v>
      </c>
      <c r="T1222" s="35">
        <v>2.0</v>
      </c>
      <c r="U1222" s="34"/>
      <c r="V1222" s="34"/>
      <c r="W1222" s="34"/>
      <c r="X1222" s="34"/>
      <c r="Y1222" s="34"/>
      <c r="Z1222" s="34"/>
      <c r="AA1222" s="25"/>
      <c r="AB1222" s="25"/>
      <c r="AC1222" s="25"/>
      <c r="AD1222" s="25"/>
      <c r="AE1222" s="25"/>
      <c r="AF1222" s="25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25"/>
      <c r="AU1222" s="34"/>
      <c r="AV1222" s="34"/>
      <c r="AW1222" s="34"/>
    </row>
    <row r="1223" ht="15.0" customHeight="1">
      <c r="A1223" s="32" t="s">
        <v>1248</v>
      </c>
      <c r="B1223" s="25"/>
      <c r="C1223" s="25"/>
      <c r="D1223" s="25"/>
      <c r="E1223" s="25"/>
      <c r="F1223" s="25"/>
      <c r="G1223" s="35">
        <v>0.0</v>
      </c>
      <c r="H1223" s="35">
        <v>1.0</v>
      </c>
      <c r="I1223" s="25"/>
      <c r="J1223" s="25"/>
      <c r="K1223" s="25"/>
      <c r="L1223" s="35"/>
      <c r="M1223" s="35"/>
      <c r="N1223" s="25"/>
      <c r="O1223" s="25"/>
      <c r="P1223" s="25"/>
      <c r="Q1223" s="35">
        <v>2.0</v>
      </c>
      <c r="R1223" s="35">
        <v>2.0</v>
      </c>
      <c r="S1223" s="35">
        <v>2.0</v>
      </c>
      <c r="T1223" s="35">
        <v>2.0</v>
      </c>
      <c r="U1223" s="34"/>
      <c r="V1223" s="34"/>
      <c r="W1223" s="34"/>
      <c r="X1223" s="34"/>
      <c r="Y1223" s="34"/>
      <c r="Z1223" s="34"/>
      <c r="AA1223" s="25"/>
      <c r="AB1223" s="25"/>
      <c r="AC1223" s="25"/>
      <c r="AD1223" s="25"/>
      <c r="AE1223" s="25"/>
      <c r="AF1223" s="25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25"/>
      <c r="AU1223" s="34"/>
      <c r="AV1223" s="34"/>
      <c r="AW1223" s="34"/>
    </row>
    <row r="1224" ht="15.0" customHeight="1">
      <c r="A1224" s="32" t="s">
        <v>1249</v>
      </c>
      <c r="B1224" s="25"/>
      <c r="C1224" s="25"/>
      <c r="D1224" s="25"/>
      <c r="E1224" s="25"/>
      <c r="F1224" s="25"/>
      <c r="G1224" s="35">
        <v>0.0</v>
      </c>
      <c r="H1224" s="35">
        <v>1.0</v>
      </c>
      <c r="I1224" s="25"/>
      <c r="J1224" s="25"/>
      <c r="K1224" s="25"/>
      <c r="L1224" s="35"/>
      <c r="M1224" s="35"/>
      <c r="N1224" s="25"/>
      <c r="O1224" s="25"/>
      <c r="P1224" s="25"/>
      <c r="Q1224" s="35">
        <v>2.0</v>
      </c>
      <c r="R1224" s="35">
        <v>2.0</v>
      </c>
      <c r="S1224" s="35">
        <v>2.0</v>
      </c>
      <c r="T1224" s="35">
        <v>2.0</v>
      </c>
      <c r="U1224" s="34"/>
      <c r="V1224" s="34"/>
      <c r="W1224" s="34"/>
      <c r="X1224" s="34"/>
      <c r="Y1224" s="34"/>
      <c r="Z1224" s="34"/>
      <c r="AA1224" s="25"/>
      <c r="AB1224" s="25"/>
      <c r="AC1224" s="25"/>
      <c r="AD1224" s="25"/>
      <c r="AE1224" s="25"/>
      <c r="AF1224" s="25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25"/>
      <c r="AU1224" s="34"/>
      <c r="AV1224" s="34"/>
      <c r="AW1224" s="34"/>
    </row>
    <row r="1225" ht="15.0" customHeight="1">
      <c r="A1225" s="32" t="s">
        <v>1250</v>
      </c>
      <c r="B1225" s="25"/>
      <c r="C1225" s="25"/>
      <c r="D1225" s="25"/>
      <c r="E1225" s="25"/>
      <c r="F1225" s="25"/>
      <c r="G1225" s="35">
        <v>0.0</v>
      </c>
      <c r="H1225" s="35">
        <v>1.0</v>
      </c>
      <c r="I1225" s="25"/>
      <c r="J1225" s="25"/>
      <c r="K1225" s="25"/>
      <c r="L1225" s="35"/>
      <c r="M1225" s="35"/>
      <c r="N1225" s="25"/>
      <c r="O1225" s="25"/>
      <c r="P1225" s="25"/>
      <c r="Q1225" s="35">
        <v>2.0</v>
      </c>
      <c r="R1225" s="35">
        <v>2.0</v>
      </c>
      <c r="S1225" s="35">
        <v>2.0</v>
      </c>
      <c r="T1225" s="35">
        <v>2.0</v>
      </c>
      <c r="U1225" s="34"/>
      <c r="V1225" s="34"/>
      <c r="W1225" s="34"/>
      <c r="X1225" s="34"/>
      <c r="Y1225" s="34"/>
      <c r="Z1225" s="34"/>
      <c r="AA1225" s="25"/>
      <c r="AB1225" s="25"/>
      <c r="AC1225" s="25"/>
      <c r="AD1225" s="25"/>
      <c r="AE1225" s="25"/>
      <c r="AF1225" s="25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25"/>
      <c r="AU1225" s="34"/>
      <c r="AV1225" s="34"/>
      <c r="AW1225" s="34"/>
    </row>
    <row r="1226" ht="15.0" customHeight="1">
      <c r="A1226" s="32" t="s">
        <v>1251</v>
      </c>
      <c r="B1226" s="25"/>
      <c r="C1226" s="25"/>
      <c r="D1226" s="25"/>
      <c r="E1226" s="25"/>
      <c r="F1226" s="25"/>
      <c r="G1226" s="35">
        <v>0.0</v>
      </c>
      <c r="H1226" s="35">
        <v>1.0</v>
      </c>
      <c r="I1226" s="25"/>
      <c r="J1226" s="25"/>
      <c r="K1226" s="25"/>
      <c r="L1226" s="35"/>
      <c r="M1226" s="35"/>
      <c r="N1226" s="25"/>
      <c r="O1226" s="25"/>
      <c r="P1226" s="25"/>
      <c r="Q1226" s="35">
        <v>2.0</v>
      </c>
      <c r="R1226" s="35">
        <v>2.0</v>
      </c>
      <c r="S1226" s="35">
        <v>2.0</v>
      </c>
      <c r="T1226" s="35">
        <v>2.0</v>
      </c>
      <c r="U1226" s="34"/>
      <c r="V1226" s="34"/>
      <c r="W1226" s="34"/>
      <c r="X1226" s="34"/>
      <c r="Y1226" s="34"/>
      <c r="Z1226" s="34"/>
      <c r="AA1226" s="25"/>
      <c r="AB1226" s="25"/>
      <c r="AC1226" s="25"/>
      <c r="AD1226" s="25"/>
      <c r="AE1226" s="25"/>
      <c r="AF1226" s="25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25"/>
      <c r="AU1226" s="34"/>
      <c r="AV1226" s="34"/>
      <c r="AW1226" s="34"/>
    </row>
    <row r="1227" ht="15.0" customHeight="1">
      <c r="A1227" s="32" t="s">
        <v>1252</v>
      </c>
      <c r="B1227" s="25"/>
      <c r="C1227" s="25"/>
      <c r="D1227" s="25"/>
      <c r="E1227" s="25"/>
      <c r="F1227" s="25"/>
      <c r="G1227" s="35">
        <v>0.0</v>
      </c>
      <c r="H1227" s="35">
        <v>1.0</v>
      </c>
      <c r="I1227" s="25"/>
      <c r="J1227" s="25"/>
      <c r="K1227" s="25"/>
      <c r="L1227" s="35"/>
      <c r="M1227" s="35"/>
      <c r="N1227" s="25"/>
      <c r="O1227" s="25"/>
      <c r="P1227" s="25"/>
      <c r="Q1227" s="35">
        <v>2.0</v>
      </c>
      <c r="R1227" s="35">
        <v>2.0</v>
      </c>
      <c r="S1227" s="35">
        <v>2.0</v>
      </c>
      <c r="T1227" s="35">
        <v>2.0</v>
      </c>
      <c r="U1227" s="34"/>
      <c r="V1227" s="34"/>
      <c r="W1227" s="34"/>
      <c r="X1227" s="34"/>
      <c r="Y1227" s="34"/>
      <c r="Z1227" s="34"/>
      <c r="AA1227" s="25"/>
      <c r="AB1227" s="25"/>
      <c r="AC1227" s="25"/>
      <c r="AD1227" s="25"/>
      <c r="AE1227" s="25"/>
      <c r="AF1227" s="25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25"/>
      <c r="AU1227" s="34"/>
      <c r="AV1227" s="34"/>
      <c r="AW1227" s="34"/>
    </row>
    <row r="1228" ht="15.0" customHeight="1">
      <c r="A1228" s="32" t="s">
        <v>1253</v>
      </c>
      <c r="B1228" s="25"/>
      <c r="C1228" s="25"/>
      <c r="D1228" s="25"/>
      <c r="E1228" s="25"/>
      <c r="F1228" s="25"/>
      <c r="G1228" s="35">
        <v>0.0</v>
      </c>
      <c r="H1228" s="35">
        <v>1.0</v>
      </c>
      <c r="I1228" s="25"/>
      <c r="J1228" s="25"/>
      <c r="K1228" s="25"/>
      <c r="L1228" s="35"/>
      <c r="M1228" s="35"/>
      <c r="N1228" s="25"/>
      <c r="O1228" s="25"/>
      <c r="P1228" s="25"/>
      <c r="Q1228" s="35">
        <v>2.0</v>
      </c>
      <c r="R1228" s="35">
        <v>2.0</v>
      </c>
      <c r="S1228" s="35">
        <v>2.0</v>
      </c>
      <c r="T1228" s="35">
        <v>2.0</v>
      </c>
      <c r="U1228" s="34"/>
      <c r="V1228" s="34"/>
      <c r="W1228" s="34"/>
      <c r="X1228" s="34"/>
      <c r="Y1228" s="34"/>
      <c r="Z1228" s="34"/>
      <c r="AA1228" s="25"/>
      <c r="AB1228" s="25"/>
      <c r="AC1228" s="25"/>
      <c r="AD1228" s="25"/>
      <c r="AE1228" s="25"/>
      <c r="AF1228" s="25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25"/>
      <c r="AU1228" s="34"/>
      <c r="AV1228" s="34"/>
      <c r="AW1228" s="34"/>
    </row>
    <row r="1229" ht="15.0" customHeight="1">
      <c r="A1229" s="32" t="s">
        <v>1254</v>
      </c>
      <c r="B1229" s="25"/>
      <c r="C1229" s="25"/>
      <c r="D1229" s="25"/>
      <c r="E1229" s="25"/>
      <c r="F1229" s="25"/>
      <c r="G1229" s="35">
        <v>0.0</v>
      </c>
      <c r="H1229" s="35">
        <v>1.0</v>
      </c>
      <c r="I1229" s="25"/>
      <c r="J1229" s="25"/>
      <c r="K1229" s="25"/>
      <c r="L1229" s="35"/>
      <c r="M1229" s="35"/>
      <c r="N1229" s="25"/>
      <c r="O1229" s="25"/>
      <c r="P1229" s="25"/>
      <c r="Q1229" s="35">
        <v>2.0</v>
      </c>
      <c r="R1229" s="35">
        <v>2.0</v>
      </c>
      <c r="S1229" s="35">
        <v>2.0</v>
      </c>
      <c r="T1229" s="35">
        <v>2.0</v>
      </c>
      <c r="U1229" s="34"/>
      <c r="V1229" s="34"/>
      <c r="W1229" s="34"/>
      <c r="X1229" s="34"/>
      <c r="Y1229" s="34"/>
      <c r="Z1229" s="34"/>
      <c r="AA1229" s="25"/>
      <c r="AB1229" s="25"/>
      <c r="AC1229" s="25"/>
      <c r="AD1229" s="25"/>
      <c r="AE1229" s="25"/>
      <c r="AF1229" s="25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25"/>
      <c r="AU1229" s="34"/>
      <c r="AV1229" s="34"/>
      <c r="AW1229" s="34"/>
    </row>
    <row r="1230" ht="15.0" customHeight="1">
      <c r="A1230" s="32" t="s">
        <v>1255</v>
      </c>
      <c r="B1230" s="25"/>
      <c r="C1230" s="25"/>
      <c r="D1230" s="25"/>
      <c r="E1230" s="25"/>
      <c r="F1230" s="25"/>
      <c r="G1230" s="35">
        <v>0.0</v>
      </c>
      <c r="H1230" s="35">
        <v>1.0</v>
      </c>
      <c r="I1230" s="25"/>
      <c r="J1230" s="25"/>
      <c r="K1230" s="25"/>
      <c r="L1230" s="35"/>
      <c r="M1230" s="35"/>
      <c r="N1230" s="25"/>
      <c r="O1230" s="25"/>
      <c r="P1230" s="25"/>
      <c r="Q1230" s="35">
        <v>2.0</v>
      </c>
      <c r="R1230" s="35">
        <v>2.0</v>
      </c>
      <c r="S1230" s="35">
        <v>2.0</v>
      </c>
      <c r="T1230" s="35">
        <v>2.0</v>
      </c>
      <c r="U1230" s="34"/>
      <c r="V1230" s="34"/>
      <c r="W1230" s="34"/>
      <c r="X1230" s="34"/>
      <c r="Y1230" s="34"/>
      <c r="Z1230" s="34"/>
      <c r="AA1230" s="25"/>
      <c r="AB1230" s="25"/>
      <c r="AC1230" s="25"/>
      <c r="AD1230" s="25"/>
      <c r="AE1230" s="25"/>
      <c r="AF1230" s="25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25"/>
      <c r="AU1230" s="34"/>
      <c r="AV1230" s="34"/>
      <c r="AW1230" s="34"/>
    </row>
    <row r="1231" ht="15.0" customHeight="1">
      <c r="A1231" s="32" t="s">
        <v>1256</v>
      </c>
      <c r="B1231" s="25"/>
      <c r="C1231" s="25"/>
      <c r="D1231" s="25"/>
      <c r="E1231" s="25"/>
      <c r="F1231" s="25"/>
      <c r="G1231" s="35">
        <v>0.0</v>
      </c>
      <c r="H1231" s="35">
        <v>1.0</v>
      </c>
      <c r="I1231" s="25"/>
      <c r="J1231" s="25"/>
      <c r="K1231" s="25"/>
      <c r="L1231" s="35"/>
      <c r="M1231" s="35"/>
      <c r="N1231" s="25"/>
      <c r="O1231" s="25"/>
      <c r="P1231" s="25"/>
      <c r="Q1231" s="35">
        <v>2.0</v>
      </c>
      <c r="R1231" s="35">
        <v>2.0</v>
      </c>
      <c r="S1231" s="35">
        <v>2.0</v>
      </c>
      <c r="T1231" s="35">
        <v>2.0</v>
      </c>
      <c r="U1231" s="34"/>
      <c r="V1231" s="34"/>
      <c r="W1231" s="34"/>
      <c r="X1231" s="34"/>
      <c r="Y1231" s="34"/>
      <c r="Z1231" s="34"/>
      <c r="AA1231" s="25"/>
      <c r="AB1231" s="25"/>
      <c r="AC1231" s="25"/>
      <c r="AD1231" s="25"/>
      <c r="AE1231" s="25"/>
      <c r="AF1231" s="25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25"/>
      <c r="AU1231" s="34"/>
      <c r="AV1231" s="34"/>
      <c r="AW1231" s="34"/>
    </row>
    <row r="1232" ht="15.0" customHeight="1">
      <c r="A1232" s="32" t="s">
        <v>1257</v>
      </c>
      <c r="B1232" s="25"/>
      <c r="C1232" s="25"/>
      <c r="D1232" s="25"/>
      <c r="E1232" s="25"/>
      <c r="F1232" s="25"/>
      <c r="G1232" s="35">
        <v>0.0</v>
      </c>
      <c r="H1232" s="35">
        <v>1.0</v>
      </c>
      <c r="I1232" s="25"/>
      <c r="J1232" s="25"/>
      <c r="K1232" s="25"/>
      <c r="L1232" s="35"/>
      <c r="M1232" s="35"/>
      <c r="N1232" s="25"/>
      <c r="O1232" s="25"/>
      <c r="P1232" s="25"/>
      <c r="Q1232" s="35">
        <v>2.0</v>
      </c>
      <c r="R1232" s="35">
        <v>2.0</v>
      </c>
      <c r="S1232" s="35">
        <v>2.0</v>
      </c>
      <c r="T1232" s="35">
        <v>2.0</v>
      </c>
      <c r="U1232" s="34"/>
      <c r="V1232" s="34"/>
      <c r="W1232" s="34"/>
      <c r="X1232" s="34"/>
      <c r="Y1232" s="34"/>
      <c r="Z1232" s="34"/>
      <c r="AA1232" s="25"/>
      <c r="AB1232" s="25"/>
      <c r="AC1232" s="25"/>
      <c r="AD1232" s="25"/>
      <c r="AE1232" s="25"/>
      <c r="AF1232" s="25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25"/>
      <c r="AU1232" s="34"/>
      <c r="AV1232" s="34"/>
      <c r="AW1232" s="34"/>
    </row>
    <row r="1233" ht="15.0" customHeight="1">
      <c r="A1233" s="32" t="s">
        <v>1258</v>
      </c>
      <c r="B1233" s="25"/>
      <c r="C1233" s="25"/>
      <c r="D1233" s="25"/>
      <c r="E1233" s="25"/>
      <c r="F1233" s="25"/>
      <c r="G1233" s="35">
        <v>0.0</v>
      </c>
      <c r="H1233" s="35">
        <v>1.0</v>
      </c>
      <c r="I1233" s="25"/>
      <c r="J1233" s="25"/>
      <c r="K1233" s="25"/>
      <c r="L1233" s="35"/>
      <c r="M1233" s="35"/>
      <c r="N1233" s="25"/>
      <c r="O1233" s="25"/>
      <c r="P1233" s="25"/>
      <c r="Q1233" s="35">
        <v>2.0</v>
      </c>
      <c r="R1233" s="35">
        <v>2.0</v>
      </c>
      <c r="S1233" s="35">
        <v>2.0</v>
      </c>
      <c r="T1233" s="35">
        <v>2.0</v>
      </c>
      <c r="U1233" s="34"/>
      <c r="V1233" s="34"/>
      <c r="W1233" s="34"/>
      <c r="X1233" s="34"/>
      <c r="Y1233" s="34"/>
      <c r="Z1233" s="34"/>
      <c r="AA1233" s="25"/>
      <c r="AB1233" s="25"/>
      <c r="AC1233" s="25"/>
      <c r="AD1233" s="25"/>
      <c r="AE1233" s="25"/>
      <c r="AF1233" s="25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25"/>
      <c r="AU1233" s="34"/>
      <c r="AV1233" s="34"/>
      <c r="AW1233" s="34"/>
    </row>
    <row r="1234" ht="15.0" customHeight="1">
      <c r="A1234" s="32" t="s">
        <v>1259</v>
      </c>
      <c r="B1234" s="25"/>
      <c r="C1234" s="25"/>
      <c r="D1234" s="25"/>
      <c r="E1234" s="25"/>
      <c r="F1234" s="25"/>
      <c r="G1234" s="35">
        <v>0.0</v>
      </c>
      <c r="H1234" s="35">
        <v>1.0</v>
      </c>
      <c r="I1234" s="25"/>
      <c r="J1234" s="25"/>
      <c r="K1234" s="25"/>
      <c r="L1234" s="35"/>
      <c r="M1234" s="35"/>
      <c r="N1234" s="25"/>
      <c r="O1234" s="25"/>
      <c r="P1234" s="25"/>
      <c r="Q1234" s="35">
        <v>2.0</v>
      </c>
      <c r="R1234" s="35">
        <v>2.0</v>
      </c>
      <c r="S1234" s="35">
        <v>2.0</v>
      </c>
      <c r="T1234" s="35">
        <v>2.0</v>
      </c>
      <c r="U1234" s="34"/>
      <c r="V1234" s="34"/>
      <c r="W1234" s="34"/>
      <c r="X1234" s="34"/>
      <c r="Y1234" s="34"/>
      <c r="Z1234" s="34"/>
      <c r="AA1234" s="25"/>
      <c r="AB1234" s="25"/>
      <c r="AC1234" s="25"/>
      <c r="AD1234" s="25"/>
      <c r="AE1234" s="25"/>
      <c r="AF1234" s="25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25"/>
      <c r="AU1234" s="34"/>
      <c r="AV1234" s="34"/>
      <c r="AW1234" s="34"/>
    </row>
    <row r="1235" ht="15.0" customHeight="1">
      <c r="A1235" s="32" t="s">
        <v>1260</v>
      </c>
      <c r="B1235" s="25"/>
      <c r="C1235" s="25"/>
      <c r="D1235" s="25"/>
      <c r="E1235" s="25"/>
      <c r="F1235" s="25"/>
      <c r="G1235" s="35">
        <v>0.0</v>
      </c>
      <c r="H1235" s="35">
        <v>1.0</v>
      </c>
      <c r="I1235" s="25"/>
      <c r="J1235" s="25"/>
      <c r="K1235" s="25"/>
      <c r="L1235" s="35"/>
      <c r="M1235" s="35"/>
      <c r="N1235" s="25"/>
      <c r="O1235" s="25"/>
      <c r="P1235" s="25"/>
      <c r="Q1235" s="35">
        <v>2.0</v>
      </c>
      <c r="R1235" s="35">
        <v>2.0</v>
      </c>
      <c r="S1235" s="35">
        <v>2.0</v>
      </c>
      <c r="T1235" s="35">
        <v>2.0</v>
      </c>
      <c r="U1235" s="34"/>
      <c r="V1235" s="34"/>
      <c r="W1235" s="34"/>
      <c r="X1235" s="34"/>
      <c r="Y1235" s="34"/>
      <c r="Z1235" s="34"/>
      <c r="AA1235" s="25"/>
      <c r="AB1235" s="25"/>
      <c r="AC1235" s="25"/>
      <c r="AD1235" s="25"/>
      <c r="AE1235" s="25"/>
      <c r="AF1235" s="25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25"/>
      <c r="AU1235" s="34"/>
      <c r="AV1235" s="34"/>
      <c r="AW1235" s="34"/>
    </row>
    <row r="1236" ht="15.0" customHeight="1">
      <c r="A1236" s="32" t="s">
        <v>1261</v>
      </c>
      <c r="B1236" s="25"/>
      <c r="C1236" s="25"/>
      <c r="D1236" s="25"/>
      <c r="E1236" s="25"/>
      <c r="F1236" s="25"/>
      <c r="G1236" s="35">
        <v>0.0</v>
      </c>
      <c r="H1236" s="35">
        <v>1.0</v>
      </c>
      <c r="I1236" s="25"/>
      <c r="J1236" s="25"/>
      <c r="K1236" s="25"/>
      <c r="L1236" s="35"/>
      <c r="M1236" s="35"/>
      <c r="N1236" s="25"/>
      <c r="O1236" s="25"/>
      <c r="P1236" s="25"/>
      <c r="Q1236" s="35">
        <v>2.0</v>
      </c>
      <c r="R1236" s="35">
        <v>2.0</v>
      </c>
      <c r="S1236" s="35">
        <v>2.0</v>
      </c>
      <c r="T1236" s="35">
        <v>2.0</v>
      </c>
      <c r="U1236" s="34"/>
      <c r="V1236" s="34"/>
      <c r="W1236" s="34"/>
      <c r="X1236" s="34"/>
      <c r="Y1236" s="34"/>
      <c r="Z1236" s="34"/>
      <c r="AA1236" s="25"/>
      <c r="AB1236" s="25"/>
      <c r="AC1236" s="25"/>
      <c r="AD1236" s="25"/>
      <c r="AE1236" s="25"/>
      <c r="AF1236" s="25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25"/>
      <c r="AU1236" s="34"/>
      <c r="AV1236" s="34"/>
      <c r="AW1236" s="34"/>
    </row>
    <row r="1237" ht="15.0" customHeight="1">
      <c r="A1237" s="32" t="s">
        <v>1262</v>
      </c>
      <c r="B1237" s="25"/>
      <c r="C1237" s="25"/>
      <c r="D1237" s="25"/>
      <c r="E1237" s="25"/>
      <c r="F1237" s="25"/>
      <c r="G1237" s="35">
        <v>0.0</v>
      </c>
      <c r="H1237" s="35">
        <v>1.0</v>
      </c>
      <c r="I1237" s="25"/>
      <c r="J1237" s="25"/>
      <c r="K1237" s="25"/>
      <c r="L1237" s="35"/>
      <c r="M1237" s="35"/>
      <c r="N1237" s="25"/>
      <c r="O1237" s="25"/>
      <c r="P1237" s="25"/>
      <c r="Q1237" s="35">
        <v>2.0</v>
      </c>
      <c r="R1237" s="35">
        <v>2.0</v>
      </c>
      <c r="S1237" s="35">
        <v>2.0</v>
      </c>
      <c r="T1237" s="35">
        <v>2.0</v>
      </c>
      <c r="U1237" s="34"/>
      <c r="V1237" s="34"/>
      <c r="W1237" s="34"/>
      <c r="X1237" s="34"/>
      <c r="Y1237" s="34"/>
      <c r="Z1237" s="34"/>
      <c r="AA1237" s="25"/>
      <c r="AB1237" s="25"/>
      <c r="AC1237" s="25"/>
      <c r="AD1237" s="25"/>
      <c r="AE1237" s="25"/>
      <c r="AF1237" s="25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25"/>
      <c r="AU1237" s="34"/>
      <c r="AV1237" s="34"/>
      <c r="AW1237" s="34"/>
    </row>
    <row r="1238" ht="15.0" customHeight="1">
      <c r="A1238" s="32" t="s">
        <v>1263</v>
      </c>
      <c r="B1238" s="25"/>
      <c r="C1238" s="25"/>
      <c r="D1238" s="25"/>
      <c r="E1238" s="25"/>
      <c r="F1238" s="25"/>
      <c r="G1238" s="35">
        <v>0.0</v>
      </c>
      <c r="H1238" s="35">
        <v>1.0</v>
      </c>
      <c r="I1238" s="25"/>
      <c r="J1238" s="25"/>
      <c r="K1238" s="25"/>
      <c r="L1238" s="35"/>
      <c r="M1238" s="35"/>
      <c r="N1238" s="25"/>
      <c r="O1238" s="25"/>
      <c r="P1238" s="25"/>
      <c r="Q1238" s="35">
        <v>2.0</v>
      </c>
      <c r="R1238" s="35">
        <v>2.0</v>
      </c>
      <c r="S1238" s="35">
        <v>2.0</v>
      </c>
      <c r="T1238" s="35">
        <v>2.0</v>
      </c>
      <c r="U1238" s="34"/>
      <c r="V1238" s="34"/>
      <c r="W1238" s="34"/>
      <c r="X1238" s="34"/>
      <c r="Y1238" s="34"/>
      <c r="Z1238" s="34"/>
      <c r="AA1238" s="25"/>
      <c r="AB1238" s="25"/>
      <c r="AC1238" s="25"/>
      <c r="AD1238" s="25"/>
      <c r="AE1238" s="25"/>
      <c r="AF1238" s="25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25"/>
      <c r="AU1238" s="34"/>
      <c r="AV1238" s="34"/>
      <c r="AW1238" s="34"/>
    </row>
    <row r="1239" ht="15.0" customHeight="1">
      <c r="A1239" s="32" t="s">
        <v>1264</v>
      </c>
      <c r="B1239" s="25"/>
      <c r="C1239" s="25"/>
      <c r="D1239" s="25"/>
      <c r="E1239" s="25"/>
      <c r="F1239" s="25"/>
      <c r="G1239" s="35">
        <v>0.0</v>
      </c>
      <c r="H1239" s="35">
        <v>1.0</v>
      </c>
      <c r="I1239" s="25"/>
      <c r="J1239" s="25"/>
      <c r="K1239" s="25"/>
      <c r="L1239" s="35"/>
      <c r="M1239" s="35"/>
      <c r="N1239" s="25"/>
      <c r="O1239" s="25"/>
      <c r="P1239" s="25"/>
      <c r="Q1239" s="35">
        <v>2.0</v>
      </c>
      <c r="R1239" s="35">
        <v>2.0</v>
      </c>
      <c r="S1239" s="35">
        <v>2.0</v>
      </c>
      <c r="T1239" s="35">
        <v>2.0</v>
      </c>
      <c r="U1239" s="34"/>
      <c r="V1239" s="34"/>
      <c r="W1239" s="34"/>
      <c r="X1239" s="34"/>
      <c r="Y1239" s="34"/>
      <c r="Z1239" s="34"/>
      <c r="AA1239" s="25"/>
      <c r="AB1239" s="25"/>
      <c r="AC1239" s="25"/>
      <c r="AD1239" s="25"/>
      <c r="AE1239" s="25"/>
      <c r="AF1239" s="25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25"/>
      <c r="AU1239" s="34"/>
      <c r="AV1239" s="34"/>
      <c r="AW1239" s="34"/>
    </row>
    <row r="1240" ht="15.0" customHeight="1">
      <c r="A1240" s="32" t="s">
        <v>1265</v>
      </c>
      <c r="B1240" s="25"/>
      <c r="C1240" s="25"/>
      <c r="D1240" s="25"/>
      <c r="E1240" s="25"/>
      <c r="F1240" s="25"/>
      <c r="G1240" s="35">
        <v>0.0</v>
      </c>
      <c r="H1240" s="35">
        <v>1.0</v>
      </c>
      <c r="I1240" s="25"/>
      <c r="J1240" s="25"/>
      <c r="K1240" s="25"/>
      <c r="L1240" s="35"/>
      <c r="M1240" s="35"/>
      <c r="N1240" s="25"/>
      <c r="O1240" s="25"/>
      <c r="P1240" s="25"/>
      <c r="Q1240" s="35">
        <v>2.0</v>
      </c>
      <c r="R1240" s="35">
        <v>2.0</v>
      </c>
      <c r="S1240" s="35">
        <v>2.0</v>
      </c>
      <c r="T1240" s="35">
        <v>2.0</v>
      </c>
      <c r="U1240" s="34"/>
      <c r="V1240" s="34"/>
      <c r="W1240" s="34"/>
      <c r="X1240" s="34"/>
      <c r="Y1240" s="34"/>
      <c r="Z1240" s="34"/>
      <c r="AA1240" s="25"/>
      <c r="AB1240" s="25"/>
      <c r="AC1240" s="25"/>
      <c r="AD1240" s="25"/>
      <c r="AE1240" s="25"/>
      <c r="AF1240" s="25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25"/>
      <c r="AU1240" s="34"/>
      <c r="AV1240" s="34"/>
      <c r="AW1240" s="34"/>
    </row>
    <row r="1241" ht="15.0" customHeight="1">
      <c r="A1241" s="32" t="s">
        <v>1266</v>
      </c>
      <c r="B1241" s="25"/>
      <c r="C1241" s="25"/>
      <c r="D1241" s="25"/>
      <c r="E1241" s="25"/>
      <c r="F1241" s="25"/>
      <c r="G1241" s="35">
        <v>0.0</v>
      </c>
      <c r="H1241" s="35">
        <v>1.0</v>
      </c>
      <c r="I1241" s="25"/>
      <c r="J1241" s="25"/>
      <c r="K1241" s="25"/>
      <c r="L1241" s="35"/>
      <c r="M1241" s="35"/>
      <c r="N1241" s="25"/>
      <c r="O1241" s="25"/>
      <c r="P1241" s="25"/>
      <c r="Q1241" s="35">
        <v>2.0</v>
      </c>
      <c r="R1241" s="35">
        <v>2.0</v>
      </c>
      <c r="S1241" s="35">
        <v>2.0</v>
      </c>
      <c r="T1241" s="35">
        <v>2.0</v>
      </c>
      <c r="U1241" s="34"/>
      <c r="V1241" s="34"/>
      <c r="W1241" s="34"/>
      <c r="X1241" s="34"/>
      <c r="Y1241" s="34"/>
      <c r="Z1241" s="34"/>
      <c r="AA1241" s="25"/>
      <c r="AB1241" s="25"/>
      <c r="AC1241" s="25"/>
      <c r="AD1241" s="25"/>
      <c r="AE1241" s="25"/>
      <c r="AF1241" s="25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25"/>
      <c r="AU1241" s="34"/>
      <c r="AV1241" s="34"/>
      <c r="AW1241" s="34"/>
    </row>
    <row r="1242" ht="15.0" customHeight="1">
      <c r="A1242" s="32" t="s">
        <v>1267</v>
      </c>
      <c r="B1242" s="25"/>
      <c r="C1242" s="25"/>
      <c r="D1242" s="25"/>
      <c r="E1242" s="25"/>
      <c r="F1242" s="25"/>
      <c r="G1242" s="35">
        <v>0.0</v>
      </c>
      <c r="H1242" s="35">
        <v>1.0</v>
      </c>
      <c r="I1242" s="25"/>
      <c r="J1242" s="25"/>
      <c r="K1242" s="25"/>
      <c r="L1242" s="35"/>
      <c r="M1242" s="35"/>
      <c r="N1242" s="25"/>
      <c r="O1242" s="25"/>
      <c r="P1242" s="25"/>
      <c r="Q1242" s="35">
        <v>2.0</v>
      </c>
      <c r="R1242" s="35">
        <v>2.0</v>
      </c>
      <c r="S1242" s="35">
        <v>2.0</v>
      </c>
      <c r="T1242" s="35">
        <v>2.0</v>
      </c>
      <c r="U1242" s="34"/>
      <c r="V1242" s="34"/>
      <c r="W1242" s="34"/>
      <c r="X1242" s="34"/>
      <c r="Y1242" s="34"/>
      <c r="Z1242" s="34"/>
      <c r="AA1242" s="25"/>
      <c r="AB1242" s="25"/>
      <c r="AC1242" s="25"/>
      <c r="AD1242" s="25"/>
      <c r="AE1242" s="25"/>
      <c r="AF1242" s="25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25"/>
      <c r="AU1242" s="34"/>
      <c r="AV1242" s="34"/>
      <c r="AW1242" s="34"/>
    </row>
    <row r="1243" ht="15.0" customHeight="1">
      <c r="A1243" s="32" t="s">
        <v>1268</v>
      </c>
      <c r="B1243" s="25"/>
      <c r="C1243" s="25"/>
      <c r="D1243" s="25"/>
      <c r="E1243" s="25"/>
      <c r="F1243" s="25"/>
      <c r="G1243" s="35">
        <v>0.0</v>
      </c>
      <c r="H1243" s="35">
        <v>1.0</v>
      </c>
      <c r="I1243" s="25"/>
      <c r="J1243" s="25"/>
      <c r="K1243" s="25"/>
      <c r="L1243" s="35"/>
      <c r="M1243" s="35"/>
      <c r="N1243" s="25"/>
      <c r="O1243" s="25"/>
      <c r="P1243" s="25"/>
      <c r="Q1243" s="35">
        <v>2.0</v>
      </c>
      <c r="R1243" s="35">
        <v>2.0</v>
      </c>
      <c r="S1243" s="35">
        <v>2.0</v>
      </c>
      <c r="T1243" s="35">
        <v>2.0</v>
      </c>
      <c r="U1243" s="34"/>
      <c r="V1243" s="34"/>
      <c r="W1243" s="34"/>
      <c r="X1243" s="34"/>
      <c r="Y1243" s="34"/>
      <c r="Z1243" s="34"/>
      <c r="AA1243" s="25"/>
      <c r="AB1243" s="25"/>
      <c r="AC1243" s="25"/>
      <c r="AD1243" s="25"/>
      <c r="AE1243" s="25"/>
      <c r="AF1243" s="25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25"/>
      <c r="AU1243" s="34"/>
      <c r="AV1243" s="34"/>
      <c r="AW1243" s="34"/>
    </row>
    <row r="1244" ht="15.0" customHeight="1">
      <c r="A1244" s="32" t="s">
        <v>1269</v>
      </c>
      <c r="B1244" s="25"/>
      <c r="C1244" s="25"/>
      <c r="D1244" s="25"/>
      <c r="E1244" s="25"/>
      <c r="F1244" s="25"/>
      <c r="G1244" s="35">
        <v>0.0</v>
      </c>
      <c r="H1244" s="35">
        <v>1.0</v>
      </c>
      <c r="I1244" s="25"/>
      <c r="J1244" s="25"/>
      <c r="K1244" s="25"/>
      <c r="L1244" s="35"/>
      <c r="M1244" s="35"/>
      <c r="N1244" s="25"/>
      <c r="O1244" s="25"/>
      <c r="P1244" s="25"/>
      <c r="Q1244" s="35">
        <v>2.0</v>
      </c>
      <c r="R1244" s="35">
        <v>2.0</v>
      </c>
      <c r="S1244" s="35">
        <v>2.0</v>
      </c>
      <c r="T1244" s="35">
        <v>2.0</v>
      </c>
      <c r="U1244" s="34"/>
      <c r="V1244" s="34"/>
      <c r="W1244" s="34"/>
      <c r="X1244" s="34"/>
      <c r="Y1244" s="34"/>
      <c r="Z1244" s="34"/>
      <c r="AA1244" s="25"/>
      <c r="AB1244" s="25"/>
      <c r="AC1244" s="25"/>
      <c r="AD1244" s="25"/>
      <c r="AE1244" s="25"/>
      <c r="AF1244" s="25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25"/>
      <c r="AU1244" s="34"/>
      <c r="AV1244" s="34"/>
      <c r="AW1244" s="34"/>
    </row>
    <row r="1245" ht="15.0" customHeight="1">
      <c r="A1245" s="32" t="s">
        <v>1270</v>
      </c>
      <c r="B1245" s="25"/>
      <c r="C1245" s="25"/>
      <c r="D1245" s="25"/>
      <c r="E1245" s="25"/>
      <c r="F1245" s="25"/>
      <c r="G1245" s="35">
        <v>0.0</v>
      </c>
      <c r="H1245" s="35">
        <v>1.0</v>
      </c>
      <c r="I1245" s="25"/>
      <c r="J1245" s="25"/>
      <c r="K1245" s="25"/>
      <c r="L1245" s="35"/>
      <c r="M1245" s="35"/>
      <c r="N1245" s="25"/>
      <c r="O1245" s="25"/>
      <c r="P1245" s="25"/>
      <c r="Q1245" s="35">
        <v>2.0</v>
      </c>
      <c r="R1245" s="35">
        <v>2.0</v>
      </c>
      <c r="S1245" s="35">
        <v>2.0</v>
      </c>
      <c r="T1245" s="35">
        <v>2.0</v>
      </c>
      <c r="U1245" s="34"/>
      <c r="V1245" s="34"/>
      <c r="W1245" s="34"/>
      <c r="X1245" s="34"/>
      <c r="Y1245" s="34"/>
      <c r="Z1245" s="34"/>
      <c r="AA1245" s="25"/>
      <c r="AB1245" s="25"/>
      <c r="AC1245" s="25"/>
      <c r="AD1245" s="25"/>
      <c r="AE1245" s="25"/>
      <c r="AF1245" s="25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25"/>
      <c r="AU1245" s="34"/>
      <c r="AV1245" s="34"/>
      <c r="AW1245" s="34"/>
    </row>
    <row r="1246" ht="15.0" customHeight="1">
      <c r="A1246" s="32" t="s">
        <v>1271</v>
      </c>
      <c r="B1246" s="25"/>
      <c r="C1246" s="25"/>
      <c r="D1246" s="25"/>
      <c r="E1246" s="25"/>
      <c r="F1246" s="25"/>
      <c r="G1246" s="35">
        <v>0.0</v>
      </c>
      <c r="H1246" s="35">
        <v>1.0</v>
      </c>
      <c r="I1246" s="25"/>
      <c r="J1246" s="25"/>
      <c r="K1246" s="25"/>
      <c r="L1246" s="35"/>
      <c r="M1246" s="35"/>
      <c r="N1246" s="25"/>
      <c r="O1246" s="25"/>
      <c r="P1246" s="25"/>
      <c r="Q1246" s="35">
        <v>2.0</v>
      </c>
      <c r="R1246" s="35">
        <v>2.0</v>
      </c>
      <c r="S1246" s="35">
        <v>2.0</v>
      </c>
      <c r="T1246" s="35">
        <v>2.0</v>
      </c>
      <c r="U1246" s="34"/>
      <c r="V1246" s="34"/>
      <c r="W1246" s="34"/>
      <c r="X1246" s="34"/>
      <c r="Y1246" s="34"/>
      <c r="Z1246" s="34"/>
      <c r="AA1246" s="25"/>
      <c r="AB1246" s="25"/>
      <c r="AC1246" s="25"/>
      <c r="AD1246" s="25"/>
      <c r="AE1246" s="25"/>
      <c r="AF1246" s="25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25"/>
      <c r="AU1246" s="34"/>
      <c r="AV1246" s="34"/>
      <c r="AW1246" s="34"/>
    </row>
    <row r="1247" ht="15.0" customHeight="1">
      <c r="A1247" s="32" t="s">
        <v>1272</v>
      </c>
      <c r="B1247" s="25"/>
      <c r="C1247" s="25"/>
      <c r="D1247" s="25"/>
      <c r="E1247" s="25"/>
      <c r="F1247" s="25"/>
      <c r="G1247" s="35">
        <v>0.0</v>
      </c>
      <c r="H1247" s="35">
        <v>1.0</v>
      </c>
      <c r="I1247" s="25"/>
      <c r="J1247" s="25"/>
      <c r="K1247" s="25"/>
      <c r="L1247" s="35"/>
      <c r="M1247" s="35"/>
      <c r="N1247" s="25"/>
      <c r="O1247" s="25"/>
      <c r="P1247" s="25"/>
      <c r="Q1247" s="35">
        <v>2.0</v>
      </c>
      <c r="R1247" s="35">
        <v>2.0</v>
      </c>
      <c r="S1247" s="35">
        <v>2.0</v>
      </c>
      <c r="T1247" s="35">
        <v>2.0</v>
      </c>
      <c r="U1247" s="34"/>
      <c r="V1247" s="34"/>
      <c r="W1247" s="34"/>
      <c r="X1247" s="34"/>
      <c r="Y1247" s="34"/>
      <c r="Z1247" s="34"/>
      <c r="AA1247" s="25"/>
      <c r="AB1247" s="25"/>
      <c r="AC1247" s="25"/>
      <c r="AD1247" s="25"/>
      <c r="AE1247" s="25"/>
      <c r="AF1247" s="25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25"/>
      <c r="AU1247" s="34"/>
      <c r="AV1247" s="34"/>
      <c r="AW1247" s="34"/>
    </row>
    <row r="1248" ht="15.0" customHeight="1">
      <c r="A1248" s="32" t="s">
        <v>1273</v>
      </c>
      <c r="B1248" s="25"/>
      <c r="C1248" s="25"/>
      <c r="D1248" s="25"/>
      <c r="E1248" s="25"/>
      <c r="F1248" s="25"/>
      <c r="G1248" s="35">
        <v>0.0</v>
      </c>
      <c r="H1248" s="35">
        <v>1.0</v>
      </c>
      <c r="I1248" s="25"/>
      <c r="J1248" s="25"/>
      <c r="K1248" s="25"/>
      <c r="L1248" s="35"/>
      <c r="M1248" s="35"/>
      <c r="N1248" s="25"/>
      <c r="O1248" s="25"/>
      <c r="P1248" s="25"/>
      <c r="Q1248" s="35">
        <v>2.0</v>
      </c>
      <c r="R1248" s="35">
        <v>2.0</v>
      </c>
      <c r="S1248" s="35">
        <v>2.0</v>
      </c>
      <c r="T1248" s="35">
        <v>2.0</v>
      </c>
      <c r="U1248" s="34"/>
      <c r="V1248" s="34"/>
      <c r="W1248" s="34"/>
      <c r="X1248" s="34"/>
      <c r="Y1248" s="34"/>
      <c r="Z1248" s="34"/>
      <c r="AA1248" s="25"/>
      <c r="AB1248" s="25"/>
      <c r="AC1248" s="25"/>
      <c r="AD1248" s="25"/>
      <c r="AE1248" s="25"/>
      <c r="AF1248" s="25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25"/>
      <c r="AU1248" s="34"/>
      <c r="AV1248" s="34"/>
      <c r="AW1248" s="34"/>
    </row>
    <row r="1249" ht="15.0" customHeight="1">
      <c r="A1249" s="32" t="s">
        <v>1274</v>
      </c>
      <c r="B1249" s="25"/>
      <c r="C1249" s="25"/>
      <c r="D1249" s="25"/>
      <c r="E1249" s="25"/>
      <c r="F1249" s="25"/>
      <c r="G1249" s="35">
        <v>0.0</v>
      </c>
      <c r="H1249" s="35">
        <v>1.0</v>
      </c>
      <c r="I1249" s="25"/>
      <c r="J1249" s="25"/>
      <c r="K1249" s="25"/>
      <c r="L1249" s="35"/>
      <c r="M1249" s="35"/>
      <c r="N1249" s="25"/>
      <c r="O1249" s="25"/>
      <c r="P1249" s="25"/>
      <c r="Q1249" s="35">
        <v>2.0</v>
      </c>
      <c r="R1249" s="35">
        <v>2.0</v>
      </c>
      <c r="S1249" s="35">
        <v>2.0</v>
      </c>
      <c r="T1249" s="35">
        <v>2.0</v>
      </c>
      <c r="U1249" s="34"/>
      <c r="V1249" s="34"/>
      <c r="W1249" s="34"/>
      <c r="X1249" s="34"/>
      <c r="Y1249" s="34"/>
      <c r="Z1249" s="34"/>
      <c r="AA1249" s="25"/>
      <c r="AB1249" s="25"/>
      <c r="AC1249" s="25"/>
      <c r="AD1249" s="25"/>
      <c r="AE1249" s="25"/>
      <c r="AF1249" s="25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25"/>
      <c r="AU1249" s="34"/>
      <c r="AV1249" s="34"/>
      <c r="AW1249" s="34"/>
    </row>
    <row r="1250" ht="15.0" customHeight="1">
      <c r="A1250" s="32" t="s">
        <v>1275</v>
      </c>
      <c r="B1250" s="25"/>
      <c r="C1250" s="25"/>
      <c r="D1250" s="25"/>
      <c r="E1250" s="25"/>
      <c r="F1250" s="25"/>
      <c r="G1250" s="35">
        <v>0.0</v>
      </c>
      <c r="H1250" s="35">
        <v>1.0</v>
      </c>
      <c r="I1250" s="25"/>
      <c r="J1250" s="25"/>
      <c r="K1250" s="25"/>
      <c r="L1250" s="35"/>
      <c r="M1250" s="35"/>
      <c r="N1250" s="25"/>
      <c r="O1250" s="25"/>
      <c r="P1250" s="25"/>
      <c r="Q1250" s="35">
        <v>2.0</v>
      </c>
      <c r="R1250" s="35">
        <v>2.0</v>
      </c>
      <c r="S1250" s="35">
        <v>2.0</v>
      </c>
      <c r="T1250" s="35">
        <v>2.0</v>
      </c>
      <c r="U1250" s="34"/>
      <c r="V1250" s="34"/>
      <c r="W1250" s="34"/>
      <c r="X1250" s="34"/>
      <c r="Y1250" s="34"/>
      <c r="Z1250" s="34"/>
      <c r="AA1250" s="25"/>
      <c r="AB1250" s="25"/>
      <c r="AC1250" s="25"/>
      <c r="AD1250" s="25"/>
      <c r="AE1250" s="25"/>
      <c r="AF1250" s="25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25"/>
      <c r="AU1250" s="34"/>
      <c r="AV1250" s="34"/>
      <c r="AW1250" s="34"/>
    </row>
    <row r="1251" ht="15.0" customHeight="1">
      <c r="A1251" s="32" t="s">
        <v>1276</v>
      </c>
      <c r="B1251" s="25"/>
      <c r="C1251" s="25"/>
      <c r="D1251" s="25"/>
      <c r="E1251" s="25"/>
      <c r="F1251" s="25"/>
      <c r="G1251" s="35">
        <v>0.0</v>
      </c>
      <c r="H1251" s="35">
        <v>1.0</v>
      </c>
      <c r="I1251" s="25"/>
      <c r="J1251" s="25"/>
      <c r="K1251" s="25"/>
      <c r="L1251" s="35"/>
      <c r="M1251" s="35"/>
      <c r="N1251" s="25"/>
      <c r="O1251" s="25"/>
      <c r="P1251" s="25"/>
      <c r="Q1251" s="35">
        <v>2.0</v>
      </c>
      <c r="R1251" s="35">
        <v>2.0</v>
      </c>
      <c r="S1251" s="35">
        <v>2.0</v>
      </c>
      <c r="T1251" s="35">
        <v>2.0</v>
      </c>
      <c r="U1251" s="34"/>
      <c r="V1251" s="34"/>
      <c r="W1251" s="34"/>
      <c r="X1251" s="34"/>
      <c r="Y1251" s="34"/>
      <c r="Z1251" s="34"/>
      <c r="AA1251" s="25"/>
      <c r="AB1251" s="25"/>
      <c r="AC1251" s="25"/>
      <c r="AD1251" s="25"/>
      <c r="AE1251" s="25"/>
      <c r="AF1251" s="25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25"/>
      <c r="AU1251" s="34"/>
      <c r="AV1251" s="34"/>
      <c r="AW1251" s="34"/>
    </row>
    <row r="1252" ht="15.0" customHeight="1">
      <c r="A1252" s="32" t="s">
        <v>1277</v>
      </c>
      <c r="B1252" s="25"/>
      <c r="C1252" s="25"/>
      <c r="D1252" s="25"/>
      <c r="E1252" s="25"/>
      <c r="F1252" s="25"/>
      <c r="G1252" s="35">
        <v>0.0</v>
      </c>
      <c r="H1252" s="35">
        <v>1.0</v>
      </c>
      <c r="I1252" s="25"/>
      <c r="J1252" s="25"/>
      <c r="K1252" s="25"/>
      <c r="L1252" s="35"/>
      <c r="M1252" s="35"/>
      <c r="N1252" s="25"/>
      <c r="O1252" s="25"/>
      <c r="P1252" s="25"/>
      <c r="Q1252" s="35">
        <v>2.0</v>
      </c>
      <c r="R1252" s="35">
        <v>2.0</v>
      </c>
      <c r="S1252" s="35">
        <v>2.0</v>
      </c>
      <c r="T1252" s="35">
        <v>2.0</v>
      </c>
      <c r="U1252" s="34"/>
      <c r="V1252" s="34"/>
      <c r="W1252" s="34"/>
      <c r="X1252" s="34"/>
      <c r="Y1252" s="34"/>
      <c r="Z1252" s="34"/>
      <c r="AA1252" s="25"/>
      <c r="AB1252" s="25"/>
      <c r="AC1252" s="25"/>
      <c r="AD1252" s="25"/>
      <c r="AE1252" s="25"/>
      <c r="AF1252" s="25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25"/>
      <c r="AU1252" s="34"/>
      <c r="AV1252" s="34"/>
      <c r="AW1252" s="34"/>
    </row>
    <row r="1253" ht="15.0" customHeight="1">
      <c r="A1253" s="32" t="s">
        <v>1278</v>
      </c>
      <c r="B1253" s="25"/>
      <c r="C1253" s="25"/>
      <c r="D1253" s="25"/>
      <c r="E1253" s="25"/>
      <c r="F1253" s="25"/>
      <c r="G1253" s="35">
        <v>0.0</v>
      </c>
      <c r="H1253" s="35">
        <v>1.0</v>
      </c>
      <c r="I1253" s="25"/>
      <c r="J1253" s="25"/>
      <c r="K1253" s="25"/>
      <c r="L1253" s="35"/>
      <c r="M1253" s="35"/>
      <c r="N1253" s="25"/>
      <c r="O1253" s="25"/>
      <c r="P1253" s="25"/>
      <c r="Q1253" s="35">
        <v>2.0</v>
      </c>
      <c r="R1253" s="35">
        <v>2.0</v>
      </c>
      <c r="S1253" s="35">
        <v>2.0</v>
      </c>
      <c r="T1253" s="35">
        <v>2.0</v>
      </c>
      <c r="U1253" s="34"/>
      <c r="V1253" s="34"/>
      <c r="W1253" s="34"/>
      <c r="X1253" s="34"/>
      <c r="Y1253" s="34"/>
      <c r="Z1253" s="34"/>
      <c r="AA1253" s="25"/>
      <c r="AB1253" s="25"/>
      <c r="AC1253" s="25"/>
      <c r="AD1253" s="25"/>
      <c r="AE1253" s="25"/>
      <c r="AF1253" s="25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25"/>
      <c r="AU1253" s="34"/>
      <c r="AV1253" s="34"/>
      <c r="AW1253" s="34"/>
    </row>
    <row r="1254" ht="15.0" customHeight="1">
      <c r="A1254" s="32" t="s">
        <v>1279</v>
      </c>
      <c r="B1254" s="25"/>
      <c r="C1254" s="25"/>
      <c r="D1254" s="25"/>
      <c r="E1254" s="25"/>
      <c r="F1254" s="25"/>
      <c r="G1254" s="35">
        <v>0.0</v>
      </c>
      <c r="H1254" s="35">
        <v>1.0</v>
      </c>
      <c r="I1254" s="25"/>
      <c r="J1254" s="25"/>
      <c r="K1254" s="25"/>
      <c r="L1254" s="35"/>
      <c r="M1254" s="35"/>
      <c r="N1254" s="25"/>
      <c r="O1254" s="25"/>
      <c r="P1254" s="25"/>
      <c r="Q1254" s="35">
        <v>2.0</v>
      </c>
      <c r="R1254" s="35">
        <v>2.0</v>
      </c>
      <c r="S1254" s="35">
        <v>2.0</v>
      </c>
      <c r="T1254" s="35">
        <v>2.0</v>
      </c>
      <c r="U1254" s="34"/>
      <c r="V1254" s="34"/>
      <c r="W1254" s="34"/>
      <c r="X1254" s="34"/>
      <c r="Y1254" s="34"/>
      <c r="Z1254" s="34"/>
      <c r="AA1254" s="25"/>
      <c r="AB1254" s="25"/>
      <c r="AC1254" s="25"/>
      <c r="AD1254" s="25"/>
      <c r="AE1254" s="25"/>
      <c r="AF1254" s="25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25"/>
      <c r="AU1254" s="34"/>
      <c r="AV1254" s="34"/>
      <c r="AW1254" s="34"/>
    </row>
    <row r="1255" ht="15.0" customHeight="1">
      <c r="A1255" s="32" t="s">
        <v>1280</v>
      </c>
      <c r="B1255" s="25"/>
      <c r="C1255" s="25"/>
      <c r="D1255" s="25"/>
      <c r="E1255" s="25"/>
      <c r="F1255" s="25"/>
      <c r="G1255" s="35">
        <v>0.0</v>
      </c>
      <c r="H1255" s="35">
        <v>1.0</v>
      </c>
      <c r="I1255" s="25"/>
      <c r="J1255" s="25"/>
      <c r="K1255" s="25"/>
      <c r="L1255" s="35"/>
      <c r="M1255" s="35"/>
      <c r="N1255" s="25"/>
      <c r="O1255" s="25"/>
      <c r="P1255" s="25"/>
      <c r="Q1255" s="35">
        <v>2.0</v>
      </c>
      <c r="R1255" s="35">
        <v>2.0</v>
      </c>
      <c r="S1255" s="35">
        <v>2.0</v>
      </c>
      <c r="T1255" s="35">
        <v>2.0</v>
      </c>
      <c r="U1255" s="34"/>
      <c r="V1255" s="34"/>
      <c r="W1255" s="34"/>
      <c r="X1255" s="34"/>
      <c r="Y1255" s="34"/>
      <c r="Z1255" s="34"/>
      <c r="AA1255" s="25"/>
      <c r="AB1255" s="25"/>
      <c r="AC1255" s="25"/>
      <c r="AD1255" s="25"/>
      <c r="AE1255" s="25"/>
      <c r="AF1255" s="25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25"/>
      <c r="AU1255" s="34"/>
      <c r="AV1255" s="34"/>
      <c r="AW1255" s="34"/>
    </row>
    <row r="1256" ht="15.0" customHeight="1">
      <c r="A1256" s="32" t="s">
        <v>1281</v>
      </c>
      <c r="B1256" s="25"/>
      <c r="C1256" s="25"/>
      <c r="D1256" s="25"/>
      <c r="E1256" s="25"/>
      <c r="F1256" s="25"/>
      <c r="G1256" s="35">
        <v>0.0</v>
      </c>
      <c r="H1256" s="35">
        <v>1.0</v>
      </c>
      <c r="I1256" s="25"/>
      <c r="J1256" s="25"/>
      <c r="K1256" s="25"/>
      <c r="L1256" s="35"/>
      <c r="M1256" s="35"/>
      <c r="N1256" s="25"/>
      <c r="O1256" s="25"/>
      <c r="P1256" s="25"/>
      <c r="Q1256" s="35">
        <v>2.0</v>
      </c>
      <c r="R1256" s="35">
        <v>2.0</v>
      </c>
      <c r="S1256" s="35">
        <v>2.0</v>
      </c>
      <c r="T1256" s="35">
        <v>2.0</v>
      </c>
      <c r="U1256" s="34"/>
      <c r="V1256" s="34"/>
      <c r="W1256" s="34"/>
      <c r="X1256" s="34"/>
      <c r="Y1256" s="34"/>
      <c r="Z1256" s="34"/>
      <c r="AA1256" s="25"/>
      <c r="AB1256" s="25"/>
      <c r="AC1256" s="25"/>
      <c r="AD1256" s="25"/>
      <c r="AE1256" s="25"/>
      <c r="AF1256" s="25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25"/>
      <c r="AU1256" s="34"/>
      <c r="AV1256" s="34"/>
      <c r="AW1256" s="34"/>
    </row>
    <row r="1257" ht="15.0" customHeight="1">
      <c r="A1257" s="32" t="s">
        <v>1282</v>
      </c>
      <c r="B1257" s="25"/>
      <c r="C1257" s="25"/>
      <c r="D1257" s="25"/>
      <c r="E1257" s="25"/>
      <c r="F1257" s="25"/>
      <c r="G1257" s="35">
        <v>0.0</v>
      </c>
      <c r="H1257" s="35">
        <v>1.0</v>
      </c>
      <c r="I1257" s="25"/>
      <c r="J1257" s="25"/>
      <c r="K1257" s="25"/>
      <c r="L1257" s="35"/>
      <c r="M1257" s="35"/>
      <c r="N1257" s="25"/>
      <c r="O1257" s="25"/>
      <c r="P1257" s="25"/>
      <c r="Q1257" s="35">
        <v>2.0</v>
      </c>
      <c r="R1257" s="35">
        <v>2.0</v>
      </c>
      <c r="S1257" s="35">
        <v>2.0</v>
      </c>
      <c r="T1257" s="35">
        <v>2.0</v>
      </c>
      <c r="U1257" s="34"/>
      <c r="V1257" s="34"/>
      <c r="W1257" s="34"/>
      <c r="X1257" s="34"/>
      <c r="Y1257" s="34"/>
      <c r="Z1257" s="34"/>
      <c r="AA1257" s="25"/>
      <c r="AB1257" s="25"/>
      <c r="AC1257" s="25"/>
      <c r="AD1257" s="25"/>
      <c r="AE1257" s="25"/>
      <c r="AF1257" s="25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25"/>
      <c r="AU1257" s="34"/>
      <c r="AV1257" s="34"/>
      <c r="AW1257" s="34"/>
    </row>
    <row r="1258" ht="15.0" customHeight="1">
      <c r="A1258" s="32" t="s">
        <v>1283</v>
      </c>
      <c r="B1258" s="25"/>
      <c r="C1258" s="25"/>
      <c r="D1258" s="25"/>
      <c r="E1258" s="25"/>
      <c r="F1258" s="25"/>
      <c r="G1258" s="35">
        <v>0.0</v>
      </c>
      <c r="H1258" s="35">
        <v>1.0</v>
      </c>
      <c r="I1258" s="25"/>
      <c r="J1258" s="25"/>
      <c r="K1258" s="25"/>
      <c r="L1258" s="35"/>
      <c r="M1258" s="35"/>
      <c r="N1258" s="25"/>
      <c r="O1258" s="25"/>
      <c r="P1258" s="25"/>
      <c r="Q1258" s="35">
        <v>2.0</v>
      </c>
      <c r="R1258" s="35">
        <v>2.0</v>
      </c>
      <c r="S1258" s="35">
        <v>2.0</v>
      </c>
      <c r="T1258" s="35">
        <v>2.0</v>
      </c>
      <c r="U1258" s="34"/>
      <c r="V1258" s="34"/>
      <c r="W1258" s="34"/>
      <c r="X1258" s="34"/>
      <c r="Y1258" s="34"/>
      <c r="Z1258" s="34"/>
      <c r="AA1258" s="25"/>
      <c r="AB1258" s="25"/>
      <c r="AC1258" s="25"/>
      <c r="AD1258" s="25"/>
      <c r="AE1258" s="25"/>
      <c r="AF1258" s="25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25"/>
      <c r="AU1258" s="34"/>
      <c r="AV1258" s="34"/>
      <c r="AW1258" s="34"/>
    </row>
    <row r="1259" ht="15.0" customHeight="1">
      <c r="A1259" s="32" t="s">
        <v>1284</v>
      </c>
      <c r="B1259" s="25"/>
      <c r="C1259" s="25"/>
      <c r="D1259" s="25"/>
      <c r="E1259" s="25"/>
      <c r="F1259" s="25"/>
      <c r="G1259" s="35">
        <v>0.0</v>
      </c>
      <c r="H1259" s="35">
        <v>1.0</v>
      </c>
      <c r="I1259" s="25"/>
      <c r="J1259" s="25"/>
      <c r="K1259" s="25"/>
      <c r="L1259" s="35"/>
      <c r="M1259" s="35"/>
      <c r="N1259" s="25"/>
      <c r="O1259" s="25"/>
      <c r="P1259" s="25"/>
      <c r="Q1259" s="35">
        <v>2.0</v>
      </c>
      <c r="R1259" s="35">
        <v>2.0</v>
      </c>
      <c r="S1259" s="35">
        <v>2.0</v>
      </c>
      <c r="T1259" s="35">
        <v>2.0</v>
      </c>
      <c r="U1259" s="34"/>
      <c r="V1259" s="34"/>
      <c r="W1259" s="34"/>
      <c r="X1259" s="34"/>
      <c r="Y1259" s="34"/>
      <c r="Z1259" s="34"/>
      <c r="AA1259" s="25"/>
      <c r="AB1259" s="25"/>
      <c r="AC1259" s="25"/>
      <c r="AD1259" s="25"/>
      <c r="AE1259" s="25"/>
      <c r="AF1259" s="25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25"/>
      <c r="AU1259" s="34"/>
      <c r="AV1259" s="34"/>
      <c r="AW1259" s="34"/>
    </row>
    <row r="1260" ht="15.0" customHeight="1">
      <c r="A1260" s="32" t="s">
        <v>1285</v>
      </c>
      <c r="B1260" s="25"/>
      <c r="C1260" s="25"/>
      <c r="D1260" s="25"/>
      <c r="E1260" s="25"/>
      <c r="F1260" s="25"/>
      <c r="G1260" s="35">
        <v>0.0</v>
      </c>
      <c r="H1260" s="35">
        <v>1.0</v>
      </c>
      <c r="I1260" s="25"/>
      <c r="J1260" s="25"/>
      <c r="K1260" s="25"/>
      <c r="L1260" s="35"/>
      <c r="M1260" s="35"/>
      <c r="N1260" s="25"/>
      <c r="O1260" s="25"/>
      <c r="P1260" s="25"/>
      <c r="Q1260" s="35">
        <v>2.0</v>
      </c>
      <c r="R1260" s="35">
        <v>2.0</v>
      </c>
      <c r="S1260" s="35">
        <v>2.0</v>
      </c>
      <c r="T1260" s="35">
        <v>2.0</v>
      </c>
      <c r="U1260" s="34"/>
      <c r="V1260" s="34"/>
      <c r="W1260" s="34"/>
      <c r="X1260" s="34"/>
      <c r="Y1260" s="34"/>
      <c r="Z1260" s="34"/>
      <c r="AA1260" s="25"/>
      <c r="AB1260" s="25"/>
      <c r="AC1260" s="25"/>
      <c r="AD1260" s="25"/>
      <c r="AE1260" s="25"/>
      <c r="AF1260" s="25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25"/>
      <c r="AU1260" s="34"/>
      <c r="AV1260" s="34"/>
      <c r="AW1260" s="34"/>
    </row>
    <row r="1261" ht="15.0" customHeight="1">
      <c r="A1261" s="32" t="s">
        <v>1286</v>
      </c>
      <c r="B1261" s="25"/>
      <c r="C1261" s="25"/>
      <c r="D1261" s="25"/>
      <c r="E1261" s="25"/>
      <c r="F1261" s="25"/>
      <c r="G1261" s="35">
        <v>0.0</v>
      </c>
      <c r="H1261" s="35">
        <v>1.0</v>
      </c>
      <c r="I1261" s="25"/>
      <c r="J1261" s="25"/>
      <c r="K1261" s="25"/>
      <c r="L1261" s="35"/>
      <c r="M1261" s="35"/>
      <c r="N1261" s="25"/>
      <c r="O1261" s="25"/>
      <c r="P1261" s="25"/>
      <c r="Q1261" s="35">
        <v>2.0</v>
      </c>
      <c r="R1261" s="35">
        <v>2.0</v>
      </c>
      <c r="S1261" s="35">
        <v>2.0</v>
      </c>
      <c r="T1261" s="35">
        <v>2.0</v>
      </c>
      <c r="U1261" s="34"/>
      <c r="V1261" s="34"/>
      <c r="W1261" s="34"/>
      <c r="X1261" s="34"/>
      <c r="Y1261" s="34"/>
      <c r="Z1261" s="34"/>
      <c r="AA1261" s="25"/>
      <c r="AB1261" s="25"/>
      <c r="AC1261" s="25"/>
      <c r="AD1261" s="25"/>
      <c r="AE1261" s="25"/>
      <c r="AF1261" s="25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25"/>
      <c r="AU1261" s="34"/>
      <c r="AV1261" s="34"/>
      <c r="AW1261" s="34"/>
    </row>
    <row r="1262" ht="15.0" customHeight="1">
      <c r="A1262" s="32" t="s">
        <v>1287</v>
      </c>
      <c r="B1262" s="25"/>
      <c r="C1262" s="25"/>
      <c r="D1262" s="25"/>
      <c r="E1262" s="25"/>
      <c r="F1262" s="25"/>
      <c r="G1262" s="35">
        <v>0.0</v>
      </c>
      <c r="H1262" s="35">
        <v>1.0</v>
      </c>
      <c r="I1262" s="25"/>
      <c r="J1262" s="25"/>
      <c r="K1262" s="25"/>
      <c r="L1262" s="35"/>
      <c r="M1262" s="35"/>
      <c r="N1262" s="25"/>
      <c r="O1262" s="25"/>
      <c r="P1262" s="25"/>
      <c r="Q1262" s="35">
        <v>2.0</v>
      </c>
      <c r="R1262" s="35">
        <v>2.0</v>
      </c>
      <c r="S1262" s="35">
        <v>2.0</v>
      </c>
      <c r="T1262" s="35">
        <v>2.0</v>
      </c>
      <c r="U1262" s="34"/>
      <c r="V1262" s="34"/>
      <c r="W1262" s="34"/>
      <c r="X1262" s="34"/>
      <c r="Y1262" s="34"/>
      <c r="Z1262" s="34"/>
      <c r="AA1262" s="25"/>
      <c r="AB1262" s="25"/>
      <c r="AC1262" s="25"/>
      <c r="AD1262" s="25"/>
      <c r="AE1262" s="25"/>
      <c r="AF1262" s="25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25"/>
      <c r="AU1262" s="34"/>
      <c r="AV1262" s="34"/>
      <c r="AW1262" s="34"/>
    </row>
    <row r="1263" ht="15.0" customHeight="1">
      <c r="A1263" s="32" t="s">
        <v>1288</v>
      </c>
      <c r="B1263" s="25"/>
      <c r="C1263" s="25"/>
      <c r="D1263" s="25"/>
      <c r="E1263" s="25"/>
      <c r="F1263" s="25"/>
      <c r="G1263" s="35">
        <v>0.0</v>
      </c>
      <c r="H1263" s="35">
        <v>1.0</v>
      </c>
      <c r="I1263" s="25"/>
      <c r="J1263" s="25"/>
      <c r="K1263" s="25"/>
      <c r="L1263" s="35"/>
      <c r="M1263" s="35"/>
      <c r="N1263" s="25"/>
      <c r="O1263" s="25"/>
      <c r="P1263" s="25"/>
      <c r="Q1263" s="35">
        <v>2.0</v>
      </c>
      <c r="R1263" s="35">
        <v>2.0</v>
      </c>
      <c r="S1263" s="35">
        <v>2.0</v>
      </c>
      <c r="T1263" s="35">
        <v>2.0</v>
      </c>
      <c r="U1263" s="34"/>
      <c r="V1263" s="34"/>
      <c r="W1263" s="34"/>
      <c r="X1263" s="34"/>
      <c r="Y1263" s="34"/>
      <c r="Z1263" s="34"/>
      <c r="AA1263" s="25"/>
      <c r="AB1263" s="25"/>
      <c r="AC1263" s="25"/>
      <c r="AD1263" s="25"/>
      <c r="AE1263" s="25"/>
      <c r="AF1263" s="25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25"/>
      <c r="AU1263" s="34"/>
      <c r="AV1263" s="34"/>
      <c r="AW1263" s="34"/>
    </row>
    <row r="1264" ht="15.0" customHeight="1">
      <c r="A1264" s="32" t="s">
        <v>1289</v>
      </c>
      <c r="B1264" s="25"/>
      <c r="C1264" s="25"/>
      <c r="D1264" s="25"/>
      <c r="E1264" s="25"/>
      <c r="F1264" s="25"/>
      <c r="G1264" s="35">
        <v>0.0</v>
      </c>
      <c r="H1264" s="35">
        <v>1.0</v>
      </c>
      <c r="I1264" s="25"/>
      <c r="J1264" s="25"/>
      <c r="K1264" s="25"/>
      <c r="L1264" s="35"/>
      <c r="M1264" s="35"/>
      <c r="N1264" s="25"/>
      <c r="O1264" s="25"/>
      <c r="P1264" s="25"/>
      <c r="Q1264" s="35">
        <v>2.0</v>
      </c>
      <c r="R1264" s="35">
        <v>2.0</v>
      </c>
      <c r="S1264" s="35">
        <v>2.0</v>
      </c>
      <c r="T1264" s="35">
        <v>2.0</v>
      </c>
      <c r="U1264" s="34"/>
      <c r="V1264" s="34"/>
      <c r="W1264" s="34"/>
      <c r="X1264" s="34"/>
      <c r="Y1264" s="34"/>
      <c r="Z1264" s="34"/>
      <c r="AA1264" s="25"/>
      <c r="AB1264" s="25"/>
      <c r="AC1264" s="25"/>
      <c r="AD1264" s="25"/>
      <c r="AE1264" s="25"/>
      <c r="AF1264" s="25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25"/>
      <c r="AU1264" s="34"/>
      <c r="AV1264" s="34"/>
      <c r="AW1264" s="34"/>
    </row>
    <row r="1265" ht="15.0" customHeight="1">
      <c r="A1265" s="32" t="s">
        <v>1290</v>
      </c>
      <c r="B1265" s="25"/>
      <c r="C1265" s="25"/>
      <c r="D1265" s="25"/>
      <c r="E1265" s="25"/>
      <c r="F1265" s="25"/>
      <c r="G1265" s="35">
        <v>0.0</v>
      </c>
      <c r="H1265" s="35">
        <v>1.0</v>
      </c>
      <c r="I1265" s="25"/>
      <c r="J1265" s="25"/>
      <c r="K1265" s="25"/>
      <c r="L1265" s="35"/>
      <c r="M1265" s="35"/>
      <c r="N1265" s="25"/>
      <c r="O1265" s="25"/>
      <c r="P1265" s="25"/>
      <c r="Q1265" s="35">
        <v>2.0</v>
      </c>
      <c r="R1265" s="35">
        <v>2.0</v>
      </c>
      <c r="S1265" s="35">
        <v>2.0</v>
      </c>
      <c r="T1265" s="35">
        <v>2.0</v>
      </c>
      <c r="U1265" s="34"/>
      <c r="V1265" s="34"/>
      <c r="W1265" s="34"/>
      <c r="X1265" s="34"/>
      <c r="Y1265" s="34"/>
      <c r="Z1265" s="34"/>
      <c r="AA1265" s="25"/>
      <c r="AB1265" s="25"/>
      <c r="AC1265" s="25"/>
      <c r="AD1265" s="25"/>
      <c r="AE1265" s="25"/>
      <c r="AF1265" s="25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25"/>
      <c r="AU1265" s="34"/>
      <c r="AV1265" s="34"/>
      <c r="AW1265" s="34"/>
    </row>
    <row r="1266" ht="15.0" customHeight="1">
      <c r="A1266" s="32" t="s">
        <v>1291</v>
      </c>
      <c r="B1266" s="25"/>
      <c r="C1266" s="25"/>
      <c r="D1266" s="25"/>
      <c r="E1266" s="25"/>
      <c r="F1266" s="25"/>
      <c r="G1266" s="35">
        <v>0.0</v>
      </c>
      <c r="H1266" s="35">
        <v>1.0</v>
      </c>
      <c r="I1266" s="25"/>
      <c r="J1266" s="25"/>
      <c r="K1266" s="25"/>
      <c r="L1266" s="35"/>
      <c r="M1266" s="35"/>
      <c r="N1266" s="25"/>
      <c r="O1266" s="25"/>
      <c r="P1266" s="25"/>
      <c r="Q1266" s="35">
        <v>2.0</v>
      </c>
      <c r="R1266" s="35">
        <v>2.0</v>
      </c>
      <c r="S1266" s="35">
        <v>2.0</v>
      </c>
      <c r="T1266" s="35">
        <v>2.0</v>
      </c>
      <c r="U1266" s="34"/>
      <c r="V1266" s="34"/>
      <c r="W1266" s="34"/>
      <c r="X1266" s="34"/>
      <c r="Y1266" s="34"/>
      <c r="Z1266" s="34"/>
      <c r="AA1266" s="25"/>
      <c r="AB1266" s="25"/>
      <c r="AC1266" s="25"/>
      <c r="AD1266" s="25"/>
      <c r="AE1266" s="25"/>
      <c r="AF1266" s="25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25"/>
      <c r="AU1266" s="34"/>
      <c r="AV1266" s="34"/>
      <c r="AW1266" s="34"/>
    </row>
    <row r="1267" ht="15.0" customHeight="1">
      <c r="A1267" s="32" t="s">
        <v>1292</v>
      </c>
      <c r="B1267" s="25"/>
      <c r="C1267" s="25"/>
      <c r="D1267" s="25"/>
      <c r="E1267" s="25"/>
      <c r="F1267" s="25"/>
      <c r="G1267" s="35">
        <v>0.0</v>
      </c>
      <c r="H1267" s="35">
        <v>1.0</v>
      </c>
      <c r="I1267" s="25"/>
      <c r="J1267" s="25"/>
      <c r="K1267" s="25"/>
      <c r="L1267" s="35"/>
      <c r="M1267" s="35"/>
      <c r="N1267" s="25"/>
      <c r="O1267" s="25"/>
      <c r="P1267" s="25"/>
      <c r="Q1267" s="35">
        <v>2.0</v>
      </c>
      <c r="R1267" s="35">
        <v>2.0</v>
      </c>
      <c r="S1267" s="35">
        <v>2.0</v>
      </c>
      <c r="T1267" s="35">
        <v>2.0</v>
      </c>
      <c r="U1267" s="34"/>
      <c r="V1267" s="34"/>
      <c r="W1267" s="34"/>
      <c r="X1267" s="34"/>
      <c r="Y1267" s="34"/>
      <c r="Z1267" s="34"/>
      <c r="AA1267" s="25"/>
      <c r="AB1267" s="25"/>
      <c r="AC1267" s="25"/>
      <c r="AD1267" s="25"/>
      <c r="AE1267" s="25"/>
      <c r="AF1267" s="25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25"/>
      <c r="AU1267" s="34"/>
      <c r="AV1267" s="34"/>
      <c r="AW1267" s="34"/>
    </row>
    <row r="1268" ht="15.0" customHeight="1">
      <c r="A1268" s="32" t="s">
        <v>1293</v>
      </c>
      <c r="B1268" s="25"/>
      <c r="C1268" s="25"/>
      <c r="D1268" s="25"/>
      <c r="E1268" s="25"/>
      <c r="F1268" s="25"/>
      <c r="G1268" s="35">
        <v>0.0</v>
      </c>
      <c r="H1268" s="35">
        <v>1.0</v>
      </c>
      <c r="I1268" s="25"/>
      <c r="J1268" s="25"/>
      <c r="K1268" s="25"/>
      <c r="L1268" s="35"/>
      <c r="M1268" s="35"/>
      <c r="N1268" s="25"/>
      <c r="O1268" s="25"/>
      <c r="P1268" s="25"/>
      <c r="Q1268" s="35">
        <v>2.0</v>
      </c>
      <c r="R1268" s="35">
        <v>2.0</v>
      </c>
      <c r="S1268" s="35">
        <v>2.0</v>
      </c>
      <c r="T1268" s="35">
        <v>2.0</v>
      </c>
      <c r="U1268" s="34"/>
      <c r="V1268" s="34"/>
      <c r="W1268" s="34"/>
      <c r="X1268" s="34"/>
      <c r="Y1268" s="34"/>
      <c r="Z1268" s="34"/>
      <c r="AA1268" s="25"/>
      <c r="AB1268" s="25"/>
      <c r="AC1268" s="25"/>
      <c r="AD1268" s="25"/>
      <c r="AE1268" s="25"/>
      <c r="AF1268" s="25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25"/>
      <c r="AU1268" s="34"/>
      <c r="AV1268" s="34"/>
      <c r="AW1268" s="34"/>
    </row>
    <row r="1269" ht="15.0" customHeight="1">
      <c r="A1269" s="32" t="s">
        <v>1294</v>
      </c>
      <c r="B1269" s="25"/>
      <c r="C1269" s="25"/>
      <c r="D1269" s="25"/>
      <c r="E1269" s="25"/>
      <c r="F1269" s="25"/>
      <c r="G1269" s="35">
        <v>0.0</v>
      </c>
      <c r="H1269" s="35">
        <v>1.0</v>
      </c>
      <c r="I1269" s="25"/>
      <c r="J1269" s="25"/>
      <c r="K1269" s="25"/>
      <c r="L1269" s="35"/>
      <c r="M1269" s="35"/>
      <c r="N1269" s="25"/>
      <c r="O1269" s="25"/>
      <c r="P1269" s="25"/>
      <c r="Q1269" s="35">
        <v>2.0</v>
      </c>
      <c r="R1269" s="35">
        <v>2.0</v>
      </c>
      <c r="S1269" s="35">
        <v>2.0</v>
      </c>
      <c r="T1269" s="35">
        <v>2.0</v>
      </c>
      <c r="U1269" s="34"/>
      <c r="V1269" s="34"/>
      <c r="W1269" s="34"/>
      <c r="X1269" s="34"/>
      <c r="Y1269" s="34"/>
      <c r="Z1269" s="34"/>
      <c r="AA1269" s="25"/>
      <c r="AB1269" s="25"/>
      <c r="AC1269" s="25"/>
      <c r="AD1269" s="25"/>
      <c r="AE1269" s="25"/>
      <c r="AF1269" s="25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25"/>
      <c r="AU1269" s="34"/>
      <c r="AV1269" s="34"/>
      <c r="AW1269" s="34"/>
    </row>
    <row r="1270" ht="15.0" customHeight="1">
      <c r="A1270" s="32" t="s">
        <v>1295</v>
      </c>
      <c r="B1270" s="25"/>
      <c r="C1270" s="25"/>
      <c r="D1270" s="25"/>
      <c r="E1270" s="25"/>
      <c r="F1270" s="25"/>
      <c r="G1270" s="35">
        <v>0.0</v>
      </c>
      <c r="H1270" s="35">
        <v>1.0</v>
      </c>
      <c r="I1270" s="25"/>
      <c r="J1270" s="25"/>
      <c r="K1270" s="25"/>
      <c r="L1270" s="35"/>
      <c r="M1270" s="35"/>
      <c r="N1270" s="25"/>
      <c r="O1270" s="25"/>
      <c r="P1270" s="25"/>
      <c r="Q1270" s="35">
        <v>2.0</v>
      </c>
      <c r="R1270" s="35">
        <v>2.0</v>
      </c>
      <c r="S1270" s="35">
        <v>2.0</v>
      </c>
      <c r="T1270" s="35">
        <v>2.0</v>
      </c>
      <c r="U1270" s="34"/>
      <c r="V1270" s="34"/>
      <c r="W1270" s="34"/>
      <c r="X1270" s="34"/>
      <c r="Y1270" s="34"/>
      <c r="Z1270" s="34"/>
      <c r="AA1270" s="25"/>
      <c r="AB1270" s="25"/>
      <c r="AC1270" s="25"/>
      <c r="AD1270" s="25"/>
      <c r="AE1270" s="25"/>
      <c r="AF1270" s="25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25"/>
      <c r="AU1270" s="34"/>
      <c r="AV1270" s="34"/>
      <c r="AW1270" s="34"/>
    </row>
    <row r="1271" ht="15.0" customHeight="1">
      <c r="A1271" s="32" t="s">
        <v>1296</v>
      </c>
      <c r="B1271" s="25"/>
      <c r="C1271" s="25"/>
      <c r="D1271" s="25"/>
      <c r="E1271" s="25"/>
      <c r="F1271" s="25"/>
      <c r="G1271" s="35">
        <v>0.0</v>
      </c>
      <c r="H1271" s="35">
        <v>1.0</v>
      </c>
      <c r="I1271" s="25"/>
      <c r="J1271" s="25"/>
      <c r="K1271" s="25"/>
      <c r="L1271" s="35"/>
      <c r="M1271" s="35"/>
      <c r="N1271" s="25"/>
      <c r="O1271" s="25"/>
      <c r="P1271" s="25"/>
      <c r="Q1271" s="35">
        <v>2.0</v>
      </c>
      <c r="R1271" s="35">
        <v>2.0</v>
      </c>
      <c r="S1271" s="35">
        <v>2.0</v>
      </c>
      <c r="T1271" s="35">
        <v>2.0</v>
      </c>
      <c r="U1271" s="34"/>
      <c r="V1271" s="34"/>
      <c r="W1271" s="34"/>
      <c r="X1271" s="34"/>
      <c r="Y1271" s="34"/>
      <c r="Z1271" s="34"/>
      <c r="AA1271" s="25"/>
      <c r="AB1271" s="25"/>
      <c r="AC1271" s="25"/>
      <c r="AD1271" s="25"/>
      <c r="AE1271" s="25"/>
      <c r="AF1271" s="25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25"/>
      <c r="AU1271" s="34"/>
      <c r="AV1271" s="34"/>
      <c r="AW1271" s="34"/>
    </row>
    <row r="1272" ht="15.0" customHeight="1">
      <c r="A1272" s="32" t="s">
        <v>1297</v>
      </c>
      <c r="B1272" s="25"/>
      <c r="C1272" s="25"/>
      <c r="D1272" s="25"/>
      <c r="E1272" s="25"/>
      <c r="F1272" s="25"/>
      <c r="G1272" s="35">
        <v>0.0</v>
      </c>
      <c r="H1272" s="35">
        <v>1.0</v>
      </c>
      <c r="I1272" s="25"/>
      <c r="J1272" s="25"/>
      <c r="K1272" s="25"/>
      <c r="L1272" s="35"/>
      <c r="M1272" s="35"/>
      <c r="N1272" s="25"/>
      <c r="O1272" s="25"/>
      <c r="P1272" s="25"/>
      <c r="Q1272" s="35">
        <v>2.0</v>
      </c>
      <c r="R1272" s="35">
        <v>2.0</v>
      </c>
      <c r="S1272" s="35">
        <v>2.0</v>
      </c>
      <c r="T1272" s="35">
        <v>2.0</v>
      </c>
      <c r="U1272" s="34"/>
      <c r="V1272" s="34"/>
      <c r="W1272" s="34"/>
      <c r="X1272" s="34"/>
      <c r="Y1272" s="34"/>
      <c r="Z1272" s="34"/>
      <c r="AA1272" s="25"/>
      <c r="AB1272" s="25"/>
      <c r="AC1272" s="25"/>
      <c r="AD1272" s="25"/>
      <c r="AE1272" s="25"/>
      <c r="AF1272" s="25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25"/>
      <c r="AU1272" s="34"/>
      <c r="AV1272" s="34"/>
      <c r="AW1272" s="34"/>
    </row>
    <row r="1273" ht="15.0" customHeight="1">
      <c r="A1273" s="32" t="s">
        <v>1298</v>
      </c>
      <c r="B1273" s="25"/>
      <c r="C1273" s="25"/>
      <c r="D1273" s="25"/>
      <c r="E1273" s="25"/>
      <c r="F1273" s="25"/>
      <c r="G1273" s="35">
        <v>0.0</v>
      </c>
      <c r="H1273" s="35">
        <v>1.0</v>
      </c>
      <c r="I1273" s="25"/>
      <c r="J1273" s="25"/>
      <c r="K1273" s="25"/>
      <c r="L1273" s="35"/>
      <c r="M1273" s="35"/>
      <c r="N1273" s="25"/>
      <c r="O1273" s="25"/>
      <c r="P1273" s="25"/>
      <c r="Q1273" s="35">
        <v>2.0</v>
      </c>
      <c r="R1273" s="35">
        <v>2.0</v>
      </c>
      <c r="S1273" s="35">
        <v>2.0</v>
      </c>
      <c r="T1273" s="35">
        <v>2.0</v>
      </c>
      <c r="U1273" s="34"/>
      <c r="V1273" s="34"/>
      <c r="W1273" s="34"/>
      <c r="X1273" s="34"/>
      <c r="Y1273" s="34"/>
      <c r="Z1273" s="34"/>
      <c r="AA1273" s="25"/>
      <c r="AB1273" s="25"/>
      <c r="AC1273" s="25"/>
      <c r="AD1273" s="25"/>
      <c r="AE1273" s="25"/>
      <c r="AF1273" s="25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25"/>
      <c r="AU1273" s="34"/>
      <c r="AV1273" s="34"/>
      <c r="AW1273" s="34"/>
    </row>
    <row r="1274" ht="15.0" customHeight="1">
      <c r="A1274" s="32" t="s">
        <v>1299</v>
      </c>
      <c r="B1274" s="25"/>
      <c r="C1274" s="25"/>
      <c r="D1274" s="25"/>
      <c r="E1274" s="25"/>
      <c r="F1274" s="25"/>
      <c r="G1274" s="35">
        <v>0.0</v>
      </c>
      <c r="H1274" s="35">
        <v>1.0</v>
      </c>
      <c r="I1274" s="25"/>
      <c r="J1274" s="25"/>
      <c r="K1274" s="25"/>
      <c r="L1274" s="35"/>
      <c r="M1274" s="35"/>
      <c r="N1274" s="25"/>
      <c r="O1274" s="25"/>
      <c r="P1274" s="25"/>
      <c r="Q1274" s="35">
        <v>2.0</v>
      </c>
      <c r="R1274" s="35">
        <v>2.0</v>
      </c>
      <c r="S1274" s="35">
        <v>2.0</v>
      </c>
      <c r="T1274" s="35">
        <v>2.0</v>
      </c>
      <c r="U1274" s="34"/>
      <c r="V1274" s="34"/>
      <c r="W1274" s="34"/>
      <c r="X1274" s="34"/>
      <c r="Y1274" s="34"/>
      <c r="Z1274" s="34"/>
      <c r="AA1274" s="25"/>
      <c r="AB1274" s="25"/>
      <c r="AC1274" s="25"/>
      <c r="AD1274" s="25"/>
      <c r="AE1274" s="25"/>
      <c r="AF1274" s="25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25"/>
      <c r="AU1274" s="34"/>
      <c r="AV1274" s="34"/>
      <c r="AW1274" s="34"/>
    </row>
    <row r="1275" ht="15.0" customHeight="1">
      <c r="A1275" s="32" t="s">
        <v>1300</v>
      </c>
      <c r="B1275" s="25"/>
      <c r="C1275" s="25"/>
      <c r="D1275" s="25"/>
      <c r="E1275" s="25"/>
      <c r="F1275" s="25"/>
      <c r="G1275" s="35">
        <v>0.0</v>
      </c>
      <c r="H1275" s="35">
        <v>1.0</v>
      </c>
      <c r="I1275" s="25"/>
      <c r="J1275" s="25"/>
      <c r="K1275" s="25"/>
      <c r="L1275" s="35"/>
      <c r="M1275" s="35"/>
      <c r="N1275" s="25"/>
      <c r="O1275" s="25"/>
      <c r="P1275" s="25"/>
      <c r="Q1275" s="35">
        <v>2.0</v>
      </c>
      <c r="R1275" s="35">
        <v>2.0</v>
      </c>
      <c r="S1275" s="35">
        <v>2.0</v>
      </c>
      <c r="T1275" s="35">
        <v>2.0</v>
      </c>
      <c r="U1275" s="34"/>
      <c r="V1275" s="34"/>
      <c r="W1275" s="34"/>
      <c r="X1275" s="34"/>
      <c r="Y1275" s="34"/>
      <c r="Z1275" s="34"/>
      <c r="AA1275" s="25"/>
      <c r="AB1275" s="25"/>
      <c r="AC1275" s="25"/>
      <c r="AD1275" s="25"/>
      <c r="AE1275" s="25"/>
      <c r="AF1275" s="25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25"/>
      <c r="AU1275" s="34"/>
      <c r="AV1275" s="34"/>
      <c r="AW1275" s="34"/>
    </row>
    <row r="1276" ht="15.0" customHeight="1">
      <c r="A1276" s="32" t="s">
        <v>1301</v>
      </c>
      <c r="B1276" s="25"/>
      <c r="C1276" s="25"/>
      <c r="D1276" s="25"/>
      <c r="E1276" s="25"/>
      <c r="F1276" s="25"/>
      <c r="G1276" s="35">
        <v>0.0</v>
      </c>
      <c r="H1276" s="35">
        <v>1.0</v>
      </c>
      <c r="I1276" s="25"/>
      <c r="J1276" s="25"/>
      <c r="K1276" s="25"/>
      <c r="L1276" s="35"/>
      <c r="M1276" s="35"/>
      <c r="N1276" s="25"/>
      <c r="O1276" s="25"/>
      <c r="P1276" s="25"/>
      <c r="Q1276" s="35">
        <v>2.0</v>
      </c>
      <c r="R1276" s="35">
        <v>2.0</v>
      </c>
      <c r="S1276" s="35">
        <v>2.0</v>
      </c>
      <c r="T1276" s="35">
        <v>2.0</v>
      </c>
      <c r="U1276" s="34"/>
      <c r="V1276" s="34"/>
      <c r="W1276" s="34"/>
      <c r="X1276" s="34"/>
      <c r="Y1276" s="34"/>
      <c r="Z1276" s="34"/>
      <c r="AA1276" s="25"/>
      <c r="AB1276" s="25"/>
      <c r="AC1276" s="25"/>
      <c r="AD1276" s="25"/>
      <c r="AE1276" s="25"/>
      <c r="AF1276" s="25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25"/>
      <c r="AU1276" s="34"/>
      <c r="AV1276" s="34"/>
      <c r="AW1276" s="34"/>
    </row>
    <row r="1277" ht="15.0" customHeight="1">
      <c r="A1277" s="32" t="s">
        <v>1302</v>
      </c>
      <c r="B1277" s="25"/>
      <c r="C1277" s="25"/>
      <c r="D1277" s="25"/>
      <c r="E1277" s="25"/>
      <c r="F1277" s="25"/>
      <c r="G1277" s="35">
        <v>0.0</v>
      </c>
      <c r="H1277" s="35">
        <v>1.0</v>
      </c>
      <c r="I1277" s="25"/>
      <c r="J1277" s="25"/>
      <c r="K1277" s="25"/>
      <c r="L1277" s="35"/>
      <c r="M1277" s="35"/>
      <c r="N1277" s="25"/>
      <c r="O1277" s="25"/>
      <c r="P1277" s="25"/>
      <c r="Q1277" s="35">
        <v>2.0</v>
      </c>
      <c r="R1277" s="35">
        <v>2.0</v>
      </c>
      <c r="S1277" s="35">
        <v>2.0</v>
      </c>
      <c r="T1277" s="35">
        <v>2.0</v>
      </c>
      <c r="U1277" s="34"/>
      <c r="V1277" s="34"/>
      <c r="W1277" s="34"/>
      <c r="X1277" s="34"/>
      <c r="Y1277" s="34"/>
      <c r="Z1277" s="34"/>
      <c r="AA1277" s="25"/>
      <c r="AB1277" s="25"/>
      <c r="AC1277" s="25"/>
      <c r="AD1277" s="25"/>
      <c r="AE1277" s="25"/>
      <c r="AF1277" s="25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25"/>
      <c r="AU1277" s="34"/>
      <c r="AV1277" s="34"/>
      <c r="AW1277" s="34"/>
    </row>
    <row r="1278" ht="15.0" customHeight="1">
      <c r="A1278" s="32" t="s">
        <v>1303</v>
      </c>
      <c r="B1278" s="25"/>
      <c r="C1278" s="25"/>
      <c r="D1278" s="25"/>
      <c r="E1278" s="25"/>
      <c r="F1278" s="25"/>
      <c r="G1278" s="35">
        <v>0.0</v>
      </c>
      <c r="H1278" s="35">
        <v>1.0</v>
      </c>
      <c r="I1278" s="25"/>
      <c r="J1278" s="25"/>
      <c r="K1278" s="25"/>
      <c r="L1278" s="35"/>
      <c r="M1278" s="35"/>
      <c r="N1278" s="25"/>
      <c r="O1278" s="25"/>
      <c r="P1278" s="25"/>
      <c r="Q1278" s="35">
        <v>2.0</v>
      </c>
      <c r="R1278" s="35">
        <v>2.0</v>
      </c>
      <c r="S1278" s="35">
        <v>2.0</v>
      </c>
      <c r="T1278" s="35">
        <v>2.0</v>
      </c>
      <c r="U1278" s="34"/>
      <c r="V1278" s="34"/>
      <c r="W1278" s="34"/>
      <c r="X1278" s="34"/>
      <c r="Y1278" s="34"/>
      <c r="Z1278" s="34"/>
      <c r="AA1278" s="25"/>
      <c r="AB1278" s="25"/>
      <c r="AC1278" s="25"/>
      <c r="AD1278" s="25"/>
      <c r="AE1278" s="25"/>
      <c r="AF1278" s="25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25"/>
      <c r="AU1278" s="34"/>
      <c r="AV1278" s="34"/>
      <c r="AW1278" s="34"/>
    </row>
    <row r="1279" ht="15.0" customHeight="1">
      <c r="A1279" s="32" t="s">
        <v>1304</v>
      </c>
      <c r="B1279" s="25"/>
      <c r="C1279" s="25"/>
      <c r="D1279" s="25"/>
      <c r="E1279" s="25"/>
      <c r="F1279" s="25"/>
      <c r="G1279" s="35">
        <v>0.0</v>
      </c>
      <c r="H1279" s="35">
        <v>1.0</v>
      </c>
      <c r="I1279" s="25"/>
      <c r="J1279" s="25"/>
      <c r="K1279" s="25"/>
      <c r="L1279" s="35"/>
      <c r="M1279" s="35"/>
      <c r="N1279" s="25"/>
      <c r="O1279" s="25"/>
      <c r="P1279" s="25"/>
      <c r="Q1279" s="35">
        <v>2.0</v>
      </c>
      <c r="R1279" s="35">
        <v>2.0</v>
      </c>
      <c r="S1279" s="35">
        <v>2.0</v>
      </c>
      <c r="T1279" s="35">
        <v>2.0</v>
      </c>
      <c r="U1279" s="34"/>
      <c r="V1279" s="34"/>
      <c r="W1279" s="34"/>
      <c r="X1279" s="34"/>
      <c r="Y1279" s="34"/>
      <c r="Z1279" s="34"/>
      <c r="AA1279" s="25"/>
      <c r="AB1279" s="25"/>
      <c r="AC1279" s="25"/>
      <c r="AD1279" s="25"/>
      <c r="AE1279" s="25"/>
      <c r="AF1279" s="25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25"/>
      <c r="AU1279" s="34"/>
      <c r="AV1279" s="34"/>
      <c r="AW1279" s="34"/>
    </row>
    <row r="1280" ht="15.0" customHeight="1">
      <c r="A1280" s="32" t="s">
        <v>1305</v>
      </c>
      <c r="B1280" s="25"/>
      <c r="C1280" s="25"/>
      <c r="D1280" s="25"/>
      <c r="E1280" s="25"/>
      <c r="F1280" s="25"/>
      <c r="G1280" s="35">
        <v>0.0</v>
      </c>
      <c r="H1280" s="35">
        <v>1.0</v>
      </c>
      <c r="I1280" s="25"/>
      <c r="J1280" s="25"/>
      <c r="K1280" s="25"/>
      <c r="L1280" s="35"/>
      <c r="M1280" s="35"/>
      <c r="N1280" s="25"/>
      <c r="O1280" s="25"/>
      <c r="P1280" s="25"/>
      <c r="Q1280" s="35">
        <v>2.0</v>
      </c>
      <c r="R1280" s="35">
        <v>2.0</v>
      </c>
      <c r="S1280" s="35">
        <v>2.0</v>
      </c>
      <c r="T1280" s="35">
        <v>2.0</v>
      </c>
      <c r="U1280" s="34"/>
      <c r="V1280" s="34"/>
      <c r="W1280" s="34"/>
      <c r="X1280" s="34"/>
      <c r="Y1280" s="34"/>
      <c r="Z1280" s="34"/>
      <c r="AA1280" s="25"/>
      <c r="AB1280" s="25"/>
      <c r="AC1280" s="25"/>
      <c r="AD1280" s="25"/>
      <c r="AE1280" s="25"/>
      <c r="AF1280" s="25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25"/>
      <c r="AU1280" s="34"/>
      <c r="AV1280" s="34"/>
      <c r="AW1280" s="34"/>
    </row>
    <row r="1281" ht="15.0" customHeight="1">
      <c r="A1281" s="32" t="s">
        <v>1306</v>
      </c>
      <c r="B1281" s="25"/>
      <c r="C1281" s="25"/>
      <c r="D1281" s="25"/>
      <c r="E1281" s="25"/>
      <c r="F1281" s="25"/>
      <c r="G1281" s="35">
        <v>0.0</v>
      </c>
      <c r="H1281" s="35">
        <v>1.0</v>
      </c>
      <c r="I1281" s="25"/>
      <c r="J1281" s="25"/>
      <c r="K1281" s="25"/>
      <c r="L1281" s="35"/>
      <c r="M1281" s="35"/>
      <c r="N1281" s="25"/>
      <c r="O1281" s="25"/>
      <c r="P1281" s="25"/>
      <c r="Q1281" s="35">
        <v>2.0</v>
      </c>
      <c r="R1281" s="35">
        <v>2.0</v>
      </c>
      <c r="S1281" s="35">
        <v>2.0</v>
      </c>
      <c r="T1281" s="35">
        <v>2.0</v>
      </c>
      <c r="U1281" s="34"/>
      <c r="V1281" s="34"/>
      <c r="W1281" s="34"/>
      <c r="X1281" s="34"/>
      <c r="Y1281" s="34"/>
      <c r="Z1281" s="34"/>
      <c r="AA1281" s="25"/>
      <c r="AB1281" s="25"/>
      <c r="AC1281" s="25"/>
      <c r="AD1281" s="25"/>
      <c r="AE1281" s="25"/>
      <c r="AF1281" s="25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25"/>
      <c r="AU1281" s="34"/>
      <c r="AV1281" s="34"/>
      <c r="AW1281" s="34"/>
    </row>
    <row r="1282" ht="15.0" customHeight="1">
      <c r="A1282" s="32" t="s">
        <v>1307</v>
      </c>
      <c r="B1282" s="25"/>
      <c r="C1282" s="25"/>
      <c r="D1282" s="25"/>
      <c r="E1282" s="25"/>
      <c r="F1282" s="25"/>
      <c r="G1282" s="35">
        <v>0.0</v>
      </c>
      <c r="H1282" s="35">
        <v>1.0</v>
      </c>
      <c r="I1282" s="25"/>
      <c r="J1282" s="25"/>
      <c r="K1282" s="25"/>
      <c r="L1282" s="35"/>
      <c r="M1282" s="35"/>
      <c r="N1282" s="25"/>
      <c r="O1282" s="25"/>
      <c r="P1282" s="25"/>
      <c r="Q1282" s="35">
        <v>2.0</v>
      </c>
      <c r="R1282" s="35">
        <v>2.0</v>
      </c>
      <c r="S1282" s="35">
        <v>2.0</v>
      </c>
      <c r="T1282" s="35">
        <v>2.0</v>
      </c>
      <c r="U1282" s="34"/>
      <c r="V1282" s="34"/>
      <c r="W1282" s="34"/>
      <c r="X1282" s="34"/>
      <c r="Y1282" s="34"/>
      <c r="Z1282" s="34"/>
      <c r="AA1282" s="25"/>
      <c r="AB1282" s="25"/>
      <c r="AC1282" s="25"/>
      <c r="AD1282" s="25"/>
      <c r="AE1282" s="25"/>
      <c r="AF1282" s="25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25"/>
      <c r="AU1282" s="34"/>
      <c r="AV1282" s="34"/>
      <c r="AW1282" s="34"/>
    </row>
    <row r="1283" ht="15.0" customHeight="1">
      <c r="A1283" s="32" t="s">
        <v>1308</v>
      </c>
      <c r="B1283" s="25"/>
      <c r="C1283" s="25"/>
      <c r="D1283" s="25"/>
      <c r="E1283" s="25"/>
      <c r="F1283" s="25"/>
      <c r="G1283" s="35">
        <v>0.0</v>
      </c>
      <c r="H1283" s="35">
        <v>1.0</v>
      </c>
      <c r="I1283" s="25"/>
      <c r="J1283" s="25"/>
      <c r="K1283" s="25"/>
      <c r="L1283" s="35"/>
      <c r="M1283" s="35"/>
      <c r="N1283" s="25"/>
      <c r="O1283" s="25"/>
      <c r="P1283" s="25"/>
      <c r="Q1283" s="35">
        <v>2.0</v>
      </c>
      <c r="R1283" s="35">
        <v>2.0</v>
      </c>
      <c r="S1283" s="35">
        <v>2.0</v>
      </c>
      <c r="T1283" s="35">
        <v>2.0</v>
      </c>
      <c r="U1283" s="34"/>
      <c r="V1283" s="34"/>
      <c r="W1283" s="34"/>
      <c r="X1283" s="34"/>
      <c r="Y1283" s="34"/>
      <c r="Z1283" s="34"/>
      <c r="AA1283" s="25"/>
      <c r="AB1283" s="25"/>
      <c r="AC1283" s="25"/>
      <c r="AD1283" s="25"/>
      <c r="AE1283" s="25"/>
      <c r="AF1283" s="25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25"/>
      <c r="AU1283" s="34"/>
      <c r="AV1283" s="34"/>
      <c r="AW1283" s="34"/>
    </row>
    <row r="1284" ht="15.0" customHeight="1">
      <c r="A1284" s="32" t="s">
        <v>1309</v>
      </c>
      <c r="B1284" s="25"/>
      <c r="C1284" s="25"/>
      <c r="D1284" s="25"/>
      <c r="E1284" s="25"/>
      <c r="F1284" s="25"/>
      <c r="G1284" s="35">
        <v>0.0</v>
      </c>
      <c r="H1284" s="35">
        <v>1.0</v>
      </c>
      <c r="I1284" s="25"/>
      <c r="J1284" s="25"/>
      <c r="K1284" s="25"/>
      <c r="L1284" s="35"/>
      <c r="M1284" s="35"/>
      <c r="N1284" s="25"/>
      <c r="O1284" s="25"/>
      <c r="P1284" s="25"/>
      <c r="Q1284" s="35">
        <v>2.0</v>
      </c>
      <c r="R1284" s="35">
        <v>2.0</v>
      </c>
      <c r="S1284" s="35">
        <v>2.0</v>
      </c>
      <c r="T1284" s="35">
        <v>2.0</v>
      </c>
      <c r="U1284" s="34"/>
      <c r="V1284" s="34"/>
      <c r="W1284" s="34"/>
      <c r="X1284" s="34"/>
      <c r="Y1284" s="34"/>
      <c r="Z1284" s="34"/>
      <c r="AA1284" s="25"/>
      <c r="AB1284" s="25"/>
      <c r="AC1284" s="25"/>
      <c r="AD1284" s="25"/>
      <c r="AE1284" s="25"/>
      <c r="AF1284" s="25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25"/>
      <c r="AU1284" s="34"/>
      <c r="AV1284" s="34"/>
      <c r="AW1284" s="34"/>
    </row>
    <row r="1285" ht="15.0" customHeight="1">
      <c r="A1285" s="32" t="s">
        <v>1310</v>
      </c>
      <c r="B1285" s="25"/>
      <c r="C1285" s="25"/>
      <c r="D1285" s="25"/>
      <c r="E1285" s="25"/>
      <c r="F1285" s="25"/>
      <c r="G1285" s="35">
        <v>0.0</v>
      </c>
      <c r="H1285" s="35">
        <v>1.0</v>
      </c>
      <c r="I1285" s="25"/>
      <c r="J1285" s="25"/>
      <c r="K1285" s="25"/>
      <c r="L1285" s="35"/>
      <c r="M1285" s="35"/>
      <c r="N1285" s="25"/>
      <c r="O1285" s="25"/>
      <c r="P1285" s="25"/>
      <c r="Q1285" s="35">
        <v>2.0</v>
      </c>
      <c r="R1285" s="35">
        <v>2.0</v>
      </c>
      <c r="S1285" s="35">
        <v>2.0</v>
      </c>
      <c r="T1285" s="35">
        <v>2.0</v>
      </c>
      <c r="U1285" s="34"/>
      <c r="V1285" s="34"/>
      <c r="W1285" s="34"/>
      <c r="X1285" s="34"/>
      <c r="Y1285" s="34"/>
      <c r="Z1285" s="34"/>
      <c r="AA1285" s="25"/>
      <c r="AB1285" s="25"/>
      <c r="AC1285" s="25"/>
      <c r="AD1285" s="25"/>
      <c r="AE1285" s="25"/>
      <c r="AF1285" s="25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25"/>
      <c r="AU1285" s="34"/>
      <c r="AV1285" s="34"/>
      <c r="AW1285" s="34"/>
    </row>
    <row r="1286" ht="15.0" customHeight="1">
      <c r="A1286" s="32" t="s">
        <v>1311</v>
      </c>
      <c r="B1286" s="25"/>
      <c r="C1286" s="25"/>
      <c r="D1286" s="25"/>
      <c r="E1286" s="25"/>
      <c r="F1286" s="25"/>
      <c r="G1286" s="35">
        <v>0.0</v>
      </c>
      <c r="H1286" s="35">
        <v>1.0</v>
      </c>
      <c r="I1286" s="25"/>
      <c r="J1286" s="25"/>
      <c r="K1286" s="25"/>
      <c r="L1286" s="35"/>
      <c r="M1286" s="35"/>
      <c r="N1286" s="25"/>
      <c r="O1286" s="25"/>
      <c r="P1286" s="25"/>
      <c r="Q1286" s="35">
        <v>2.0</v>
      </c>
      <c r="R1286" s="35">
        <v>2.0</v>
      </c>
      <c r="S1286" s="35">
        <v>2.0</v>
      </c>
      <c r="T1286" s="35">
        <v>2.0</v>
      </c>
      <c r="U1286" s="34"/>
      <c r="V1286" s="34"/>
      <c r="W1286" s="34"/>
      <c r="X1286" s="34"/>
      <c r="Y1286" s="34"/>
      <c r="Z1286" s="34"/>
      <c r="AA1286" s="25"/>
      <c r="AB1286" s="25"/>
      <c r="AC1286" s="25"/>
      <c r="AD1286" s="25"/>
      <c r="AE1286" s="25"/>
      <c r="AF1286" s="25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25"/>
      <c r="AU1286" s="34"/>
      <c r="AV1286" s="34"/>
      <c r="AW1286" s="34"/>
    </row>
    <row r="1287" ht="15.0" customHeight="1">
      <c r="A1287" s="32" t="s">
        <v>1312</v>
      </c>
      <c r="B1287" s="25"/>
      <c r="C1287" s="25"/>
      <c r="D1287" s="25"/>
      <c r="E1287" s="25"/>
      <c r="F1287" s="25"/>
      <c r="G1287" s="35">
        <v>0.0</v>
      </c>
      <c r="H1287" s="35">
        <v>1.0</v>
      </c>
      <c r="I1287" s="25"/>
      <c r="J1287" s="25"/>
      <c r="K1287" s="25"/>
      <c r="L1287" s="35"/>
      <c r="M1287" s="35"/>
      <c r="N1287" s="25"/>
      <c r="O1287" s="25"/>
      <c r="P1287" s="25"/>
      <c r="Q1287" s="35">
        <v>2.0</v>
      </c>
      <c r="R1287" s="35">
        <v>2.0</v>
      </c>
      <c r="S1287" s="35">
        <v>2.0</v>
      </c>
      <c r="T1287" s="35">
        <v>2.0</v>
      </c>
      <c r="U1287" s="34"/>
      <c r="V1287" s="34"/>
      <c r="W1287" s="34"/>
      <c r="X1287" s="34"/>
      <c r="Y1287" s="34"/>
      <c r="Z1287" s="34"/>
      <c r="AA1287" s="25"/>
      <c r="AB1287" s="25"/>
      <c r="AC1287" s="25"/>
      <c r="AD1287" s="25"/>
      <c r="AE1287" s="25"/>
      <c r="AF1287" s="25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25"/>
      <c r="AU1287" s="34"/>
      <c r="AV1287" s="34"/>
      <c r="AW1287" s="34"/>
    </row>
    <row r="1288" ht="15.0" customHeight="1">
      <c r="A1288" s="32" t="s">
        <v>1313</v>
      </c>
      <c r="B1288" s="25"/>
      <c r="C1288" s="25"/>
      <c r="D1288" s="25"/>
      <c r="E1288" s="25"/>
      <c r="F1288" s="25"/>
      <c r="G1288" s="35">
        <v>0.0</v>
      </c>
      <c r="H1288" s="35">
        <v>1.0</v>
      </c>
      <c r="I1288" s="25"/>
      <c r="J1288" s="25"/>
      <c r="K1288" s="25"/>
      <c r="L1288" s="35"/>
      <c r="M1288" s="35"/>
      <c r="N1288" s="25"/>
      <c r="O1288" s="25"/>
      <c r="P1288" s="25"/>
      <c r="Q1288" s="35">
        <v>2.0</v>
      </c>
      <c r="R1288" s="35">
        <v>2.0</v>
      </c>
      <c r="S1288" s="35">
        <v>2.0</v>
      </c>
      <c r="T1288" s="35">
        <v>2.0</v>
      </c>
      <c r="U1288" s="34"/>
      <c r="V1288" s="34"/>
      <c r="W1288" s="34"/>
      <c r="X1288" s="34"/>
      <c r="Y1288" s="34"/>
      <c r="Z1288" s="34"/>
      <c r="AA1288" s="25"/>
      <c r="AB1288" s="25"/>
      <c r="AC1288" s="25"/>
      <c r="AD1288" s="25"/>
      <c r="AE1288" s="25"/>
      <c r="AF1288" s="25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25"/>
      <c r="AU1288" s="34"/>
      <c r="AV1288" s="34"/>
      <c r="AW1288" s="34"/>
    </row>
    <row r="1289" ht="15.0" customHeight="1">
      <c r="A1289" s="32" t="s">
        <v>1314</v>
      </c>
      <c r="B1289" s="25"/>
      <c r="C1289" s="25"/>
      <c r="D1289" s="25"/>
      <c r="E1289" s="25"/>
      <c r="F1289" s="25"/>
      <c r="G1289" s="35">
        <v>0.0</v>
      </c>
      <c r="H1289" s="35">
        <v>1.0</v>
      </c>
      <c r="I1289" s="25"/>
      <c r="J1289" s="25"/>
      <c r="K1289" s="25"/>
      <c r="L1289" s="35"/>
      <c r="M1289" s="35"/>
      <c r="N1289" s="25"/>
      <c r="O1289" s="25"/>
      <c r="P1289" s="25"/>
      <c r="Q1289" s="35">
        <v>2.0</v>
      </c>
      <c r="R1289" s="35">
        <v>2.0</v>
      </c>
      <c r="S1289" s="35">
        <v>2.0</v>
      </c>
      <c r="T1289" s="35">
        <v>2.0</v>
      </c>
      <c r="U1289" s="34"/>
      <c r="V1289" s="34"/>
      <c r="W1289" s="34"/>
      <c r="X1289" s="34"/>
      <c r="Y1289" s="34"/>
      <c r="Z1289" s="34"/>
      <c r="AA1289" s="25"/>
      <c r="AB1289" s="25"/>
      <c r="AC1289" s="25"/>
      <c r="AD1289" s="25"/>
      <c r="AE1289" s="25"/>
      <c r="AF1289" s="25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25"/>
      <c r="AU1289" s="34"/>
      <c r="AV1289" s="34"/>
      <c r="AW1289" s="34"/>
    </row>
    <row r="1290" ht="15.0" customHeight="1">
      <c r="A1290" s="32" t="s">
        <v>1315</v>
      </c>
      <c r="B1290" s="25"/>
      <c r="C1290" s="25"/>
      <c r="D1290" s="25"/>
      <c r="E1290" s="25"/>
      <c r="F1290" s="25"/>
      <c r="G1290" s="35">
        <v>0.0</v>
      </c>
      <c r="H1290" s="35">
        <v>1.0</v>
      </c>
      <c r="I1290" s="25"/>
      <c r="J1290" s="25"/>
      <c r="K1290" s="25"/>
      <c r="L1290" s="35"/>
      <c r="M1290" s="35"/>
      <c r="N1290" s="25"/>
      <c r="O1290" s="25"/>
      <c r="P1290" s="25"/>
      <c r="Q1290" s="35">
        <v>2.0</v>
      </c>
      <c r="R1290" s="35">
        <v>2.0</v>
      </c>
      <c r="S1290" s="35">
        <v>2.0</v>
      </c>
      <c r="T1290" s="35">
        <v>2.0</v>
      </c>
      <c r="U1290" s="34"/>
      <c r="V1290" s="34"/>
      <c r="W1290" s="34"/>
      <c r="X1290" s="34"/>
      <c r="Y1290" s="34"/>
      <c r="Z1290" s="34"/>
      <c r="AA1290" s="25"/>
      <c r="AB1290" s="25"/>
      <c r="AC1290" s="25"/>
      <c r="AD1290" s="25"/>
      <c r="AE1290" s="25"/>
      <c r="AF1290" s="25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25"/>
      <c r="AU1290" s="34"/>
      <c r="AV1290" s="34"/>
      <c r="AW1290" s="34"/>
    </row>
    <row r="1291" ht="15.0" customHeight="1">
      <c r="A1291" s="32" t="s">
        <v>1316</v>
      </c>
      <c r="B1291" s="25"/>
      <c r="C1291" s="25"/>
      <c r="D1291" s="25"/>
      <c r="E1291" s="25"/>
      <c r="F1291" s="25"/>
      <c r="G1291" s="35">
        <v>0.0</v>
      </c>
      <c r="H1291" s="35">
        <v>1.0</v>
      </c>
      <c r="I1291" s="25"/>
      <c r="J1291" s="25"/>
      <c r="K1291" s="25"/>
      <c r="L1291" s="35"/>
      <c r="M1291" s="35"/>
      <c r="N1291" s="25"/>
      <c r="O1291" s="25"/>
      <c r="P1291" s="25"/>
      <c r="Q1291" s="35">
        <v>2.0</v>
      </c>
      <c r="R1291" s="35">
        <v>2.0</v>
      </c>
      <c r="S1291" s="35">
        <v>2.0</v>
      </c>
      <c r="T1291" s="35">
        <v>2.0</v>
      </c>
      <c r="U1291" s="34"/>
      <c r="V1291" s="34"/>
      <c r="W1291" s="34"/>
      <c r="X1291" s="34"/>
      <c r="Y1291" s="34"/>
      <c r="Z1291" s="34"/>
      <c r="AA1291" s="25"/>
      <c r="AB1291" s="25"/>
      <c r="AC1291" s="25"/>
      <c r="AD1291" s="25"/>
      <c r="AE1291" s="25"/>
      <c r="AF1291" s="25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25"/>
      <c r="AU1291" s="34"/>
      <c r="AV1291" s="34"/>
      <c r="AW1291" s="34"/>
    </row>
    <row r="1292" ht="15.0" customHeight="1">
      <c r="A1292" s="32" t="s">
        <v>1317</v>
      </c>
      <c r="B1292" s="25"/>
      <c r="C1292" s="25"/>
      <c r="D1292" s="25"/>
      <c r="E1292" s="25"/>
      <c r="F1292" s="25"/>
      <c r="G1292" s="35">
        <v>0.0</v>
      </c>
      <c r="H1292" s="35">
        <v>1.0</v>
      </c>
      <c r="I1292" s="25"/>
      <c r="J1292" s="25"/>
      <c r="K1292" s="25"/>
      <c r="L1292" s="35"/>
      <c r="M1292" s="35"/>
      <c r="N1292" s="25"/>
      <c r="O1292" s="25"/>
      <c r="P1292" s="25"/>
      <c r="Q1292" s="35">
        <v>2.0</v>
      </c>
      <c r="R1292" s="35">
        <v>2.0</v>
      </c>
      <c r="S1292" s="35">
        <v>2.0</v>
      </c>
      <c r="T1292" s="35">
        <v>2.0</v>
      </c>
      <c r="U1292" s="34"/>
      <c r="V1292" s="34"/>
      <c r="W1292" s="34"/>
      <c r="X1292" s="34"/>
      <c r="Y1292" s="34"/>
      <c r="Z1292" s="34"/>
      <c r="AA1292" s="25"/>
      <c r="AB1292" s="25"/>
      <c r="AC1292" s="25"/>
      <c r="AD1292" s="25"/>
      <c r="AE1292" s="25"/>
      <c r="AF1292" s="25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25"/>
      <c r="AU1292" s="34"/>
      <c r="AV1292" s="34"/>
      <c r="AW1292" s="34"/>
    </row>
    <row r="1293" ht="15.0" customHeight="1">
      <c r="A1293" s="32" t="s">
        <v>1318</v>
      </c>
      <c r="B1293" s="25"/>
      <c r="C1293" s="25"/>
      <c r="D1293" s="25"/>
      <c r="E1293" s="25"/>
      <c r="F1293" s="25"/>
      <c r="G1293" s="35">
        <v>0.0</v>
      </c>
      <c r="H1293" s="35">
        <v>1.0</v>
      </c>
      <c r="I1293" s="25"/>
      <c r="J1293" s="25"/>
      <c r="K1293" s="25"/>
      <c r="L1293" s="35"/>
      <c r="M1293" s="35"/>
      <c r="N1293" s="25"/>
      <c r="O1293" s="25"/>
      <c r="P1293" s="25"/>
      <c r="Q1293" s="35">
        <v>2.0</v>
      </c>
      <c r="R1293" s="35">
        <v>2.0</v>
      </c>
      <c r="S1293" s="35">
        <v>2.0</v>
      </c>
      <c r="T1293" s="35">
        <v>2.0</v>
      </c>
      <c r="U1293" s="34"/>
      <c r="V1293" s="34"/>
      <c r="W1293" s="34"/>
      <c r="X1293" s="34"/>
      <c r="Y1293" s="34"/>
      <c r="Z1293" s="34"/>
      <c r="AA1293" s="25"/>
      <c r="AB1293" s="25"/>
      <c r="AC1293" s="25"/>
      <c r="AD1293" s="25"/>
      <c r="AE1293" s="25"/>
      <c r="AF1293" s="25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25"/>
      <c r="AU1293" s="34"/>
      <c r="AV1293" s="34"/>
      <c r="AW1293" s="34"/>
    </row>
    <row r="1294" ht="15.0" customHeight="1">
      <c r="A1294" s="32" t="s">
        <v>1319</v>
      </c>
      <c r="B1294" s="25"/>
      <c r="C1294" s="25"/>
      <c r="D1294" s="25"/>
      <c r="E1294" s="25"/>
      <c r="F1294" s="25"/>
      <c r="G1294" s="35">
        <v>0.0</v>
      </c>
      <c r="H1294" s="35">
        <v>1.0</v>
      </c>
      <c r="I1294" s="25"/>
      <c r="J1294" s="25"/>
      <c r="K1294" s="25"/>
      <c r="L1294" s="35"/>
      <c r="M1294" s="35"/>
      <c r="N1294" s="25"/>
      <c r="O1294" s="25"/>
      <c r="P1294" s="25"/>
      <c r="Q1294" s="35">
        <v>2.0</v>
      </c>
      <c r="R1294" s="35">
        <v>2.0</v>
      </c>
      <c r="S1294" s="35">
        <v>2.0</v>
      </c>
      <c r="T1294" s="35">
        <v>2.0</v>
      </c>
      <c r="U1294" s="34"/>
      <c r="V1294" s="34"/>
      <c r="W1294" s="34"/>
      <c r="X1294" s="34"/>
      <c r="Y1294" s="34"/>
      <c r="Z1294" s="34"/>
      <c r="AA1294" s="25"/>
      <c r="AB1294" s="25"/>
      <c r="AC1294" s="25"/>
      <c r="AD1294" s="25"/>
      <c r="AE1294" s="25"/>
      <c r="AF1294" s="25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25"/>
      <c r="AU1294" s="34"/>
      <c r="AV1294" s="34"/>
      <c r="AW1294" s="34"/>
    </row>
    <row r="1295" ht="15.0" customHeight="1">
      <c r="A1295" s="32" t="s">
        <v>1320</v>
      </c>
      <c r="B1295" s="25"/>
      <c r="C1295" s="25"/>
      <c r="D1295" s="25"/>
      <c r="E1295" s="25"/>
      <c r="F1295" s="25"/>
      <c r="G1295" s="35">
        <v>0.0</v>
      </c>
      <c r="H1295" s="35">
        <v>1.0</v>
      </c>
      <c r="I1295" s="25"/>
      <c r="J1295" s="25"/>
      <c r="K1295" s="25"/>
      <c r="L1295" s="35"/>
      <c r="M1295" s="35"/>
      <c r="N1295" s="25"/>
      <c r="O1295" s="25"/>
      <c r="P1295" s="25"/>
      <c r="Q1295" s="35">
        <v>2.0</v>
      </c>
      <c r="R1295" s="35">
        <v>2.0</v>
      </c>
      <c r="S1295" s="35">
        <v>2.0</v>
      </c>
      <c r="T1295" s="35">
        <v>2.0</v>
      </c>
      <c r="U1295" s="34"/>
      <c r="V1295" s="34"/>
      <c r="W1295" s="34"/>
      <c r="X1295" s="34"/>
      <c r="Y1295" s="34"/>
      <c r="Z1295" s="34"/>
      <c r="AA1295" s="25"/>
      <c r="AB1295" s="25"/>
      <c r="AC1295" s="25"/>
      <c r="AD1295" s="25"/>
      <c r="AE1295" s="25"/>
      <c r="AF1295" s="25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25"/>
      <c r="AU1295" s="34"/>
      <c r="AV1295" s="34"/>
      <c r="AW1295" s="34"/>
    </row>
    <row r="1296" ht="15.0" customHeight="1">
      <c r="A1296" s="32" t="s">
        <v>1321</v>
      </c>
      <c r="B1296" s="25"/>
      <c r="C1296" s="25"/>
      <c r="D1296" s="25"/>
      <c r="E1296" s="25"/>
      <c r="F1296" s="25"/>
      <c r="G1296" s="35">
        <v>0.0</v>
      </c>
      <c r="H1296" s="35">
        <v>1.0</v>
      </c>
      <c r="I1296" s="25"/>
      <c r="J1296" s="25"/>
      <c r="K1296" s="25"/>
      <c r="L1296" s="35"/>
      <c r="M1296" s="35"/>
      <c r="N1296" s="25"/>
      <c r="O1296" s="25"/>
      <c r="P1296" s="25"/>
      <c r="Q1296" s="35">
        <v>2.0</v>
      </c>
      <c r="R1296" s="35">
        <v>2.0</v>
      </c>
      <c r="S1296" s="35">
        <v>2.0</v>
      </c>
      <c r="T1296" s="35">
        <v>2.0</v>
      </c>
      <c r="U1296" s="34"/>
      <c r="V1296" s="34"/>
      <c r="W1296" s="34"/>
      <c r="X1296" s="34"/>
      <c r="Y1296" s="34"/>
      <c r="Z1296" s="34"/>
      <c r="AA1296" s="25"/>
      <c r="AB1296" s="25"/>
      <c r="AC1296" s="25"/>
      <c r="AD1296" s="25"/>
      <c r="AE1296" s="25"/>
      <c r="AF1296" s="25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25"/>
      <c r="AU1296" s="34"/>
      <c r="AV1296" s="34"/>
      <c r="AW1296" s="34"/>
    </row>
    <row r="1297" ht="15.0" customHeight="1">
      <c r="A1297" s="32" t="s">
        <v>1322</v>
      </c>
      <c r="B1297" s="25"/>
      <c r="C1297" s="25"/>
      <c r="D1297" s="25"/>
      <c r="E1297" s="25"/>
      <c r="F1297" s="25"/>
      <c r="G1297" s="35">
        <v>0.0</v>
      </c>
      <c r="H1297" s="35">
        <v>1.0</v>
      </c>
      <c r="I1297" s="25"/>
      <c r="J1297" s="25"/>
      <c r="K1297" s="25"/>
      <c r="L1297" s="35"/>
      <c r="M1297" s="35"/>
      <c r="N1297" s="25"/>
      <c r="O1297" s="25"/>
      <c r="P1297" s="25"/>
      <c r="Q1297" s="35">
        <v>2.0</v>
      </c>
      <c r="R1297" s="35">
        <v>2.0</v>
      </c>
      <c r="S1297" s="35">
        <v>2.0</v>
      </c>
      <c r="T1297" s="35">
        <v>2.0</v>
      </c>
      <c r="U1297" s="34"/>
      <c r="V1297" s="34"/>
      <c r="W1297" s="34"/>
      <c r="X1297" s="34"/>
      <c r="Y1297" s="34"/>
      <c r="Z1297" s="34"/>
      <c r="AA1297" s="25"/>
      <c r="AB1297" s="25"/>
      <c r="AC1297" s="25"/>
      <c r="AD1297" s="25"/>
      <c r="AE1297" s="25"/>
      <c r="AF1297" s="25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25"/>
      <c r="AU1297" s="34"/>
      <c r="AV1297" s="34"/>
      <c r="AW1297" s="34"/>
    </row>
    <row r="1298" ht="15.0" customHeight="1">
      <c r="A1298" s="32" t="s">
        <v>1323</v>
      </c>
      <c r="B1298" s="25"/>
      <c r="C1298" s="25"/>
      <c r="D1298" s="25"/>
      <c r="E1298" s="25"/>
      <c r="F1298" s="25"/>
      <c r="G1298" s="35">
        <v>0.0</v>
      </c>
      <c r="H1298" s="35">
        <v>1.0</v>
      </c>
      <c r="I1298" s="25"/>
      <c r="J1298" s="25"/>
      <c r="K1298" s="25"/>
      <c r="L1298" s="35"/>
      <c r="M1298" s="35"/>
      <c r="N1298" s="25"/>
      <c r="O1298" s="25"/>
      <c r="P1298" s="25"/>
      <c r="Q1298" s="35">
        <v>2.0</v>
      </c>
      <c r="R1298" s="35">
        <v>2.0</v>
      </c>
      <c r="S1298" s="35">
        <v>2.0</v>
      </c>
      <c r="T1298" s="35">
        <v>2.0</v>
      </c>
      <c r="U1298" s="34"/>
      <c r="V1298" s="34"/>
      <c r="W1298" s="34"/>
      <c r="X1298" s="34"/>
      <c r="Y1298" s="34"/>
      <c r="Z1298" s="34"/>
      <c r="AA1298" s="25"/>
      <c r="AB1298" s="25"/>
      <c r="AC1298" s="25"/>
      <c r="AD1298" s="25"/>
      <c r="AE1298" s="25"/>
      <c r="AF1298" s="25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25"/>
      <c r="AU1298" s="34"/>
      <c r="AV1298" s="34"/>
      <c r="AW1298" s="34"/>
    </row>
    <row r="1299" ht="15.0" customHeight="1">
      <c r="A1299" s="32" t="s">
        <v>1324</v>
      </c>
      <c r="B1299" s="25"/>
      <c r="C1299" s="25"/>
      <c r="D1299" s="25"/>
      <c r="E1299" s="25"/>
      <c r="F1299" s="25"/>
      <c r="G1299" s="35">
        <v>0.0</v>
      </c>
      <c r="H1299" s="35">
        <v>1.0</v>
      </c>
      <c r="I1299" s="25"/>
      <c r="J1299" s="25"/>
      <c r="K1299" s="25"/>
      <c r="L1299" s="35"/>
      <c r="M1299" s="35"/>
      <c r="N1299" s="25"/>
      <c r="O1299" s="25"/>
      <c r="P1299" s="25"/>
      <c r="Q1299" s="35">
        <v>2.0</v>
      </c>
      <c r="R1299" s="35">
        <v>2.0</v>
      </c>
      <c r="S1299" s="35">
        <v>2.0</v>
      </c>
      <c r="T1299" s="35">
        <v>2.0</v>
      </c>
      <c r="U1299" s="34"/>
      <c r="V1299" s="34"/>
      <c r="W1299" s="34"/>
      <c r="X1299" s="34"/>
      <c r="Y1299" s="34"/>
      <c r="Z1299" s="34"/>
      <c r="AA1299" s="25"/>
      <c r="AB1299" s="25"/>
      <c r="AC1299" s="25"/>
      <c r="AD1299" s="25"/>
      <c r="AE1299" s="25"/>
      <c r="AF1299" s="25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25"/>
      <c r="AU1299" s="34"/>
      <c r="AV1299" s="34"/>
      <c r="AW1299" s="34"/>
    </row>
    <row r="1300" ht="15.0" customHeight="1">
      <c r="A1300" s="32" t="s">
        <v>1325</v>
      </c>
      <c r="B1300" s="25"/>
      <c r="C1300" s="25"/>
      <c r="D1300" s="25"/>
      <c r="E1300" s="25"/>
      <c r="F1300" s="25"/>
      <c r="G1300" s="35">
        <v>0.0</v>
      </c>
      <c r="H1300" s="35">
        <v>1.0</v>
      </c>
      <c r="I1300" s="25"/>
      <c r="J1300" s="25"/>
      <c r="K1300" s="25"/>
      <c r="L1300" s="35"/>
      <c r="M1300" s="35"/>
      <c r="N1300" s="25"/>
      <c r="O1300" s="25"/>
      <c r="P1300" s="25"/>
      <c r="Q1300" s="35">
        <v>2.0</v>
      </c>
      <c r="R1300" s="35">
        <v>2.0</v>
      </c>
      <c r="S1300" s="35">
        <v>2.0</v>
      </c>
      <c r="T1300" s="35">
        <v>2.0</v>
      </c>
      <c r="U1300" s="34"/>
      <c r="V1300" s="34"/>
      <c r="W1300" s="34"/>
      <c r="X1300" s="34"/>
      <c r="Y1300" s="34"/>
      <c r="Z1300" s="34"/>
      <c r="AA1300" s="25"/>
      <c r="AB1300" s="25"/>
      <c r="AC1300" s="25"/>
      <c r="AD1300" s="25"/>
      <c r="AE1300" s="25"/>
      <c r="AF1300" s="25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25"/>
      <c r="AU1300" s="34"/>
      <c r="AV1300" s="34"/>
      <c r="AW1300" s="34"/>
    </row>
    <row r="1301" ht="15.0" customHeight="1">
      <c r="A1301" s="32" t="s">
        <v>1326</v>
      </c>
      <c r="B1301" s="25"/>
      <c r="C1301" s="25"/>
      <c r="D1301" s="25"/>
      <c r="E1301" s="25"/>
      <c r="F1301" s="25"/>
      <c r="G1301" s="35">
        <v>0.0</v>
      </c>
      <c r="H1301" s="35">
        <v>1.0</v>
      </c>
      <c r="I1301" s="25"/>
      <c r="J1301" s="25"/>
      <c r="K1301" s="25"/>
      <c r="L1301" s="35"/>
      <c r="M1301" s="35"/>
      <c r="N1301" s="25"/>
      <c r="O1301" s="25"/>
      <c r="P1301" s="25"/>
      <c r="Q1301" s="35">
        <v>2.0</v>
      </c>
      <c r="R1301" s="35">
        <v>2.0</v>
      </c>
      <c r="S1301" s="35">
        <v>2.0</v>
      </c>
      <c r="T1301" s="35">
        <v>2.0</v>
      </c>
      <c r="U1301" s="34"/>
      <c r="V1301" s="34"/>
      <c r="W1301" s="34"/>
      <c r="X1301" s="34"/>
      <c r="Y1301" s="34"/>
      <c r="Z1301" s="34"/>
      <c r="AA1301" s="25"/>
      <c r="AB1301" s="25"/>
      <c r="AC1301" s="25"/>
      <c r="AD1301" s="25"/>
      <c r="AE1301" s="25"/>
      <c r="AF1301" s="25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25"/>
      <c r="AU1301" s="34"/>
      <c r="AV1301" s="34"/>
      <c r="AW1301" s="34"/>
    </row>
    <row r="1302" ht="15.0" customHeight="1">
      <c r="A1302" s="32" t="s">
        <v>1327</v>
      </c>
      <c r="B1302" s="25"/>
      <c r="C1302" s="25"/>
      <c r="D1302" s="25"/>
      <c r="E1302" s="25"/>
      <c r="F1302" s="25"/>
      <c r="G1302" s="35">
        <v>0.0</v>
      </c>
      <c r="H1302" s="35">
        <v>1.0</v>
      </c>
      <c r="I1302" s="25"/>
      <c r="J1302" s="25"/>
      <c r="K1302" s="25"/>
      <c r="L1302" s="35"/>
      <c r="M1302" s="35"/>
      <c r="N1302" s="25"/>
      <c r="O1302" s="25"/>
      <c r="P1302" s="25"/>
      <c r="Q1302" s="35">
        <v>2.0</v>
      </c>
      <c r="R1302" s="35">
        <v>2.0</v>
      </c>
      <c r="S1302" s="35">
        <v>2.0</v>
      </c>
      <c r="T1302" s="35">
        <v>2.0</v>
      </c>
      <c r="U1302" s="34"/>
      <c r="V1302" s="34"/>
      <c r="W1302" s="34"/>
      <c r="X1302" s="34"/>
      <c r="Y1302" s="34"/>
      <c r="Z1302" s="34"/>
      <c r="AA1302" s="25"/>
      <c r="AB1302" s="25"/>
      <c r="AC1302" s="25"/>
      <c r="AD1302" s="25"/>
      <c r="AE1302" s="25"/>
      <c r="AF1302" s="25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25"/>
      <c r="AU1302" s="34"/>
      <c r="AV1302" s="34"/>
      <c r="AW1302" s="34"/>
    </row>
    <row r="1303" ht="15.0" customHeight="1">
      <c r="A1303" s="32" t="s">
        <v>1328</v>
      </c>
      <c r="B1303" s="25"/>
      <c r="C1303" s="25"/>
      <c r="D1303" s="25"/>
      <c r="E1303" s="25"/>
      <c r="F1303" s="25"/>
      <c r="G1303" s="35">
        <v>0.0</v>
      </c>
      <c r="H1303" s="35">
        <v>1.0</v>
      </c>
      <c r="I1303" s="25"/>
      <c r="J1303" s="25"/>
      <c r="K1303" s="25"/>
      <c r="L1303" s="35"/>
      <c r="M1303" s="35"/>
      <c r="N1303" s="25"/>
      <c r="O1303" s="25"/>
      <c r="P1303" s="25"/>
      <c r="Q1303" s="35">
        <v>2.0</v>
      </c>
      <c r="R1303" s="35">
        <v>2.0</v>
      </c>
      <c r="S1303" s="35">
        <v>2.0</v>
      </c>
      <c r="T1303" s="35">
        <v>2.0</v>
      </c>
      <c r="U1303" s="34"/>
      <c r="V1303" s="34"/>
      <c r="W1303" s="34"/>
      <c r="X1303" s="34"/>
      <c r="Y1303" s="34"/>
      <c r="Z1303" s="34"/>
      <c r="AA1303" s="25"/>
      <c r="AB1303" s="25"/>
      <c r="AC1303" s="25"/>
      <c r="AD1303" s="25"/>
      <c r="AE1303" s="25"/>
      <c r="AF1303" s="25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25"/>
      <c r="AU1303" s="34"/>
      <c r="AV1303" s="34"/>
      <c r="AW1303" s="34"/>
    </row>
    <row r="1304" ht="15.0" customHeight="1">
      <c r="A1304" s="32" t="s">
        <v>1329</v>
      </c>
      <c r="B1304" s="25"/>
      <c r="C1304" s="25"/>
      <c r="D1304" s="25"/>
      <c r="E1304" s="25"/>
      <c r="F1304" s="25"/>
      <c r="G1304" s="35">
        <v>0.0</v>
      </c>
      <c r="H1304" s="35">
        <v>1.0</v>
      </c>
      <c r="I1304" s="25"/>
      <c r="J1304" s="25"/>
      <c r="K1304" s="25"/>
      <c r="L1304" s="35"/>
      <c r="M1304" s="35"/>
      <c r="N1304" s="25"/>
      <c r="O1304" s="25"/>
      <c r="P1304" s="25"/>
      <c r="Q1304" s="35">
        <v>2.0</v>
      </c>
      <c r="R1304" s="35">
        <v>2.0</v>
      </c>
      <c r="S1304" s="35">
        <v>2.0</v>
      </c>
      <c r="T1304" s="35">
        <v>2.0</v>
      </c>
      <c r="U1304" s="34"/>
      <c r="V1304" s="34"/>
      <c r="W1304" s="34"/>
      <c r="X1304" s="34"/>
      <c r="Y1304" s="34"/>
      <c r="Z1304" s="34"/>
      <c r="AA1304" s="25"/>
      <c r="AB1304" s="25"/>
      <c r="AC1304" s="25"/>
      <c r="AD1304" s="25"/>
      <c r="AE1304" s="25"/>
      <c r="AF1304" s="25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25"/>
      <c r="AU1304" s="34"/>
      <c r="AV1304" s="34"/>
      <c r="AW1304" s="34"/>
    </row>
    <row r="1305" ht="15.0" customHeight="1">
      <c r="A1305" s="25"/>
      <c r="B1305" s="25"/>
      <c r="C1305" s="25"/>
      <c r="D1305" s="25"/>
      <c r="E1305" s="25"/>
      <c r="F1305" s="25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U1305" s="34"/>
      <c r="AV1305" s="34"/>
      <c r="AW1305" s="34"/>
    </row>
  </sheetData>
  <mergeCells count="1">
    <mergeCell ref="A1:A2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42" width="16.71"/>
  </cols>
  <sheetData>
    <row r="1" ht="15.0" customHeight="1">
      <c r="A1" s="27"/>
      <c r="B1" s="27" t="s">
        <v>1371</v>
      </c>
      <c r="C1" s="27" t="s">
        <v>1372</v>
      </c>
      <c r="D1" s="27" t="s">
        <v>1373</v>
      </c>
      <c r="E1" s="27" t="s">
        <v>1374</v>
      </c>
      <c r="F1" s="27" t="s">
        <v>1375</v>
      </c>
      <c r="G1" s="27" t="s">
        <v>1376</v>
      </c>
      <c r="H1" s="27" t="s">
        <v>1376</v>
      </c>
      <c r="I1" s="27" t="s">
        <v>1371</v>
      </c>
      <c r="J1" s="27" t="s">
        <v>1372</v>
      </c>
      <c r="K1" s="27" t="s">
        <v>1373</v>
      </c>
      <c r="L1" s="27" t="s">
        <v>1374</v>
      </c>
      <c r="M1" s="27" t="s">
        <v>1375</v>
      </c>
      <c r="N1" s="27" t="s">
        <v>1376</v>
      </c>
      <c r="O1" s="27" t="s">
        <v>1376</v>
      </c>
      <c r="P1" s="27" t="s">
        <v>1377</v>
      </c>
      <c r="Q1" s="27" t="s">
        <v>1378</v>
      </c>
      <c r="R1" s="27" t="s">
        <v>1379</v>
      </c>
      <c r="S1" s="27" t="s">
        <v>1380</v>
      </c>
      <c r="T1" s="27" t="s">
        <v>1340</v>
      </c>
      <c r="U1" s="27" t="s">
        <v>1376</v>
      </c>
      <c r="V1" s="27" t="s">
        <v>1376</v>
      </c>
      <c r="W1" s="27" t="s">
        <v>1381</v>
      </c>
      <c r="X1" s="27" t="s">
        <v>1382</v>
      </c>
      <c r="Y1" s="27" t="s">
        <v>1383</v>
      </c>
      <c r="Z1" s="27" t="s">
        <v>1384</v>
      </c>
      <c r="AA1" s="27" t="s">
        <v>1385</v>
      </c>
      <c r="AB1" s="27" t="s">
        <v>1386</v>
      </c>
      <c r="AC1" s="27" t="s">
        <v>1337</v>
      </c>
      <c r="AD1" s="27" t="s">
        <v>1338</v>
      </c>
      <c r="AE1" s="27" t="s">
        <v>1387</v>
      </c>
      <c r="AF1" s="27" t="s">
        <v>1388</v>
      </c>
      <c r="AG1" s="27" t="s">
        <v>1388</v>
      </c>
      <c r="AH1" s="27" t="s">
        <v>1389</v>
      </c>
      <c r="AI1" s="27" t="s">
        <v>1390</v>
      </c>
      <c r="AJ1" s="27" t="s">
        <v>1391</v>
      </c>
      <c r="AK1" s="27" t="s">
        <v>1392</v>
      </c>
      <c r="AL1" s="27" t="s">
        <v>1376</v>
      </c>
      <c r="AM1" s="27" t="s">
        <v>1376</v>
      </c>
      <c r="AN1" s="27" t="s">
        <v>1393</v>
      </c>
      <c r="AO1" s="27" t="s">
        <v>1394</v>
      </c>
      <c r="AP1" s="27" t="s">
        <v>1395</v>
      </c>
    </row>
    <row r="2" ht="15.0" customHeight="1">
      <c r="A2" s="25"/>
      <c r="B2" s="28" t="s">
        <v>1396</v>
      </c>
      <c r="C2" s="28" t="s">
        <v>1396</v>
      </c>
      <c r="D2" s="28" t="s">
        <v>1396</v>
      </c>
      <c r="E2" s="28" t="s">
        <v>1396</v>
      </c>
      <c r="F2" s="28" t="s">
        <v>1396</v>
      </c>
      <c r="G2" s="28" t="s">
        <v>1396</v>
      </c>
      <c r="H2" s="28" t="s">
        <v>1396</v>
      </c>
      <c r="I2" s="28" t="s">
        <v>1397</v>
      </c>
      <c r="J2" s="28" t="s">
        <v>1397</v>
      </c>
      <c r="K2" s="28" t="s">
        <v>1397</v>
      </c>
      <c r="L2" s="28" t="s">
        <v>1397</v>
      </c>
      <c r="M2" s="28" t="s">
        <v>1397</v>
      </c>
      <c r="N2" s="28" t="s">
        <v>1397</v>
      </c>
      <c r="O2" s="28" t="s">
        <v>1397</v>
      </c>
      <c r="P2" s="28" t="s">
        <v>1398</v>
      </c>
      <c r="Q2" s="28" t="s">
        <v>1398</v>
      </c>
      <c r="R2" s="28" t="s">
        <v>1398</v>
      </c>
      <c r="S2" s="28" t="s">
        <v>1398</v>
      </c>
      <c r="T2" s="28" t="s">
        <v>1398</v>
      </c>
      <c r="U2" s="28" t="s">
        <v>1398</v>
      </c>
      <c r="V2" s="28" t="s">
        <v>1398</v>
      </c>
      <c r="W2" s="28" t="s">
        <v>115</v>
      </c>
      <c r="X2" s="25" t="s">
        <v>115</v>
      </c>
      <c r="Y2" s="28" t="s">
        <v>1399</v>
      </c>
      <c r="Z2" s="28" t="s">
        <v>1359</v>
      </c>
      <c r="AA2" s="28" t="s">
        <v>1359</v>
      </c>
      <c r="AB2" s="28" t="s">
        <v>1358</v>
      </c>
      <c r="AC2" s="28" t="s">
        <v>107</v>
      </c>
      <c r="AD2" s="28" t="s">
        <v>107</v>
      </c>
      <c r="AE2" s="28" t="s">
        <v>1400</v>
      </c>
      <c r="AF2" s="28" t="s">
        <v>1400</v>
      </c>
      <c r="AG2" s="28" t="s">
        <v>1400</v>
      </c>
      <c r="AH2" s="28" t="s">
        <v>1400</v>
      </c>
      <c r="AI2" s="28" t="s">
        <v>1400</v>
      </c>
      <c r="AJ2" s="28" t="s">
        <v>1400</v>
      </c>
      <c r="AK2" s="33" t="s">
        <v>1362</v>
      </c>
      <c r="AL2" s="28" t="s">
        <v>1363</v>
      </c>
      <c r="AM2" s="28" t="s">
        <v>115</v>
      </c>
      <c r="AN2" s="33" t="s">
        <v>1401</v>
      </c>
      <c r="AO2" s="25" t="s">
        <v>1360</v>
      </c>
      <c r="AP2" s="25" t="s">
        <v>1361</v>
      </c>
    </row>
    <row r="3" ht="15.0" customHeight="1">
      <c r="A3" s="25"/>
      <c r="B3" s="25" t="s">
        <v>113</v>
      </c>
      <c r="C3" s="25" t="s">
        <v>113</v>
      </c>
      <c r="D3" s="25" t="s">
        <v>113</v>
      </c>
      <c r="E3" s="25" t="s">
        <v>113</v>
      </c>
      <c r="F3" s="25" t="s">
        <v>113</v>
      </c>
      <c r="G3" s="25" t="s">
        <v>113</v>
      </c>
      <c r="H3" s="25" t="s">
        <v>113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 t="s">
        <v>113</v>
      </c>
      <c r="X3" s="25" t="s">
        <v>113</v>
      </c>
      <c r="Y3" s="25" t="s">
        <v>113</v>
      </c>
      <c r="Z3" s="25" t="s">
        <v>1366</v>
      </c>
      <c r="AA3" s="25" t="s">
        <v>1366</v>
      </c>
      <c r="AB3" s="25"/>
      <c r="AC3" s="25"/>
      <c r="AD3" s="25"/>
      <c r="AE3" s="25"/>
      <c r="AF3" s="25"/>
      <c r="AG3" s="25"/>
      <c r="AH3" s="25"/>
      <c r="AI3" s="25"/>
      <c r="AJ3" s="25"/>
      <c r="AK3" s="25">
        <v>0.0</v>
      </c>
      <c r="AL3" s="25" t="s">
        <v>1368</v>
      </c>
      <c r="AM3" s="25" t="s">
        <v>1402</v>
      </c>
      <c r="AN3" s="25" t="s">
        <v>116</v>
      </c>
      <c r="AO3" s="25"/>
      <c r="AP3" s="25"/>
    </row>
    <row r="4" ht="15.0" customHeight="1">
      <c r="A4" s="23" t="s">
        <v>1370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ht="15.0" customHeight="1">
      <c r="A5" s="23" t="s">
        <v>2</v>
      </c>
      <c r="B5" s="25"/>
      <c r="C5" s="25"/>
      <c r="D5" s="25"/>
      <c r="E5" s="25"/>
      <c r="F5" s="25" t="s">
        <v>1403</v>
      </c>
      <c r="G5" s="25" t="s">
        <v>1404</v>
      </c>
      <c r="H5" s="25" t="s">
        <v>1404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ht="15.0" customHeight="1">
      <c r="A6" s="23" t="s">
        <v>3</v>
      </c>
      <c r="B6" s="25"/>
      <c r="C6" s="25"/>
      <c r="D6" s="25"/>
      <c r="E6" s="25"/>
      <c r="F6" s="25" t="s">
        <v>1403</v>
      </c>
      <c r="G6" s="25" t="s">
        <v>1404</v>
      </c>
      <c r="H6" s="25" t="s">
        <v>1404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15.0" customHeight="1">
      <c r="A7" s="23" t="s">
        <v>4</v>
      </c>
      <c r="B7" s="25"/>
      <c r="C7" s="25"/>
      <c r="D7" s="25"/>
      <c r="E7" s="25"/>
      <c r="F7" s="25" t="s">
        <v>1403</v>
      </c>
      <c r="G7" s="25" t="s">
        <v>1404</v>
      </c>
      <c r="H7" s="25" t="s">
        <v>1404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36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7"/>
      <c r="AO7" s="25"/>
      <c r="AP7" s="25"/>
    </row>
    <row r="8" ht="15.0" customHeight="1">
      <c r="A8" s="23" t="s">
        <v>5</v>
      </c>
      <c r="B8" s="25"/>
      <c r="C8" s="25"/>
      <c r="D8" s="25"/>
      <c r="E8" s="25"/>
      <c r="F8" s="25" t="s">
        <v>1403</v>
      </c>
      <c r="G8" s="25" t="s">
        <v>1404</v>
      </c>
      <c r="H8" s="25" t="s">
        <v>1404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34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7"/>
      <c r="AO8" s="25"/>
      <c r="AP8" s="25"/>
    </row>
    <row r="9" ht="15.0" customHeight="1">
      <c r="A9" s="23" t="s">
        <v>6</v>
      </c>
      <c r="B9" s="25"/>
      <c r="C9" s="25"/>
      <c r="D9" s="25"/>
      <c r="E9" s="25"/>
      <c r="F9" s="25" t="s">
        <v>1403</v>
      </c>
      <c r="G9" s="25" t="s">
        <v>1404</v>
      </c>
      <c r="H9" s="25" t="s">
        <v>1404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ht="15.0" customHeight="1">
      <c r="A10" s="23" t="s">
        <v>7</v>
      </c>
      <c r="B10" s="25"/>
      <c r="C10" s="25"/>
      <c r="D10" s="25"/>
      <c r="E10" s="25"/>
      <c r="F10" s="25" t="s">
        <v>1403</v>
      </c>
      <c r="G10" s="25" t="s">
        <v>1404</v>
      </c>
      <c r="H10" s="25" t="s">
        <v>1404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ht="15.0" customHeight="1">
      <c r="A11" s="23" t="s">
        <v>8</v>
      </c>
      <c r="B11" s="25"/>
      <c r="C11" s="25"/>
      <c r="D11" s="25"/>
      <c r="E11" s="25"/>
      <c r="F11" s="25" t="s">
        <v>1403</v>
      </c>
      <c r="G11" s="25" t="s">
        <v>1404</v>
      </c>
      <c r="H11" s="25" t="s">
        <v>1404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ht="15.0" customHeight="1">
      <c r="A12" s="23" t="s">
        <v>9</v>
      </c>
      <c r="B12" s="25"/>
      <c r="C12" s="25"/>
      <c r="D12" s="25"/>
      <c r="E12" s="25"/>
      <c r="F12" s="25" t="s">
        <v>1403</v>
      </c>
      <c r="G12" s="25" t="s">
        <v>1404</v>
      </c>
      <c r="H12" s="25" t="s">
        <v>1404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ht="15.0" customHeight="1">
      <c r="A13" s="23" t="s">
        <v>10</v>
      </c>
      <c r="B13" s="25"/>
      <c r="C13" s="25"/>
      <c r="D13" s="25"/>
      <c r="E13" s="25"/>
      <c r="F13" s="25" t="s">
        <v>1403</v>
      </c>
      <c r="G13" s="25" t="s">
        <v>1404</v>
      </c>
      <c r="H13" s="25" t="s">
        <v>1404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ht="15.0" customHeight="1">
      <c r="A14" s="23" t="s">
        <v>11</v>
      </c>
      <c r="B14" s="25"/>
      <c r="C14" s="25"/>
      <c r="D14" s="25"/>
      <c r="E14" s="25"/>
      <c r="F14" s="25" t="s">
        <v>1403</v>
      </c>
      <c r="G14" s="25" t="s">
        <v>1404</v>
      </c>
      <c r="H14" s="25" t="s">
        <v>1404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ht="15.0" customHeight="1">
      <c r="A15" s="23" t="s">
        <v>12</v>
      </c>
      <c r="B15" s="25"/>
      <c r="C15" s="25"/>
      <c r="D15" s="25"/>
      <c r="E15" s="25"/>
      <c r="F15" s="25" t="s">
        <v>1403</v>
      </c>
      <c r="G15" s="25" t="s">
        <v>1404</v>
      </c>
      <c r="H15" s="25" t="s">
        <v>1404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ht="15.0" customHeight="1">
      <c r="A16" s="23" t="s">
        <v>13</v>
      </c>
      <c r="B16" s="25"/>
      <c r="C16" s="25"/>
      <c r="D16" s="25"/>
      <c r="E16" s="25"/>
      <c r="F16" s="25" t="s">
        <v>1403</v>
      </c>
      <c r="G16" s="25" t="s">
        <v>1404</v>
      </c>
      <c r="H16" s="25" t="s">
        <v>1404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37"/>
      <c r="AJ16" s="25"/>
      <c r="AK16" s="25"/>
      <c r="AL16" s="38"/>
      <c r="AM16" s="39"/>
      <c r="AN16" s="25"/>
      <c r="AO16" s="25"/>
      <c r="AP16" s="25"/>
    </row>
    <row r="17" ht="15.0" customHeight="1">
      <c r="A17" s="23" t="s">
        <v>14</v>
      </c>
      <c r="B17" s="25"/>
      <c r="C17" s="25"/>
      <c r="D17" s="25"/>
      <c r="E17" s="25"/>
      <c r="F17" s="25" t="s">
        <v>1403</v>
      </c>
      <c r="G17" s="25" t="s">
        <v>1404</v>
      </c>
      <c r="H17" s="25" t="s">
        <v>1404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37"/>
      <c r="AJ17" s="25"/>
      <c r="AK17" s="25"/>
      <c r="AL17" s="38"/>
      <c r="AM17" s="39"/>
      <c r="AN17" s="25"/>
      <c r="AO17" s="25"/>
      <c r="AP17" s="25"/>
    </row>
    <row r="18" ht="15.0" customHeight="1">
      <c r="A18" s="23" t="s">
        <v>15</v>
      </c>
      <c r="B18" s="25"/>
      <c r="C18" s="25"/>
      <c r="D18" s="25"/>
      <c r="E18" s="25"/>
      <c r="F18" s="25" t="s">
        <v>1403</v>
      </c>
      <c r="G18" s="25" t="s">
        <v>1404</v>
      </c>
      <c r="H18" s="25" t="s">
        <v>1404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37"/>
      <c r="AJ18" s="25"/>
      <c r="AK18" s="25"/>
      <c r="AL18" s="38"/>
      <c r="AM18" s="39"/>
      <c r="AN18" s="25"/>
      <c r="AO18" s="25"/>
      <c r="AP18" s="25"/>
    </row>
    <row r="19" ht="15.0" customHeight="1">
      <c r="A19" s="23" t="s">
        <v>16</v>
      </c>
      <c r="B19" s="25"/>
      <c r="C19" s="25"/>
      <c r="D19" s="25"/>
      <c r="E19" s="25"/>
      <c r="F19" s="25" t="s">
        <v>1403</v>
      </c>
      <c r="G19" s="25" t="s">
        <v>1404</v>
      </c>
      <c r="H19" s="25" t="s">
        <v>1404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37"/>
      <c r="AJ19" s="25"/>
      <c r="AK19" s="25"/>
      <c r="AL19" s="38"/>
      <c r="AM19" s="39"/>
      <c r="AN19" s="25"/>
      <c r="AO19" s="25"/>
      <c r="AP19" s="25"/>
    </row>
    <row r="20" ht="15.0" customHeight="1">
      <c r="A20" s="23" t="s">
        <v>17</v>
      </c>
      <c r="B20" s="25"/>
      <c r="C20" s="25"/>
      <c r="D20" s="25"/>
      <c r="E20" s="25"/>
      <c r="F20" s="25" t="s">
        <v>1403</v>
      </c>
      <c r="G20" s="25" t="s">
        <v>1404</v>
      </c>
      <c r="H20" s="25" t="s">
        <v>1404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37"/>
      <c r="AJ20" s="25"/>
      <c r="AK20" s="25"/>
      <c r="AL20" s="38"/>
      <c r="AM20" s="39"/>
      <c r="AN20" s="25"/>
      <c r="AO20" s="25"/>
      <c r="AP20" s="25"/>
    </row>
    <row r="21" ht="15.0" customHeight="1">
      <c r="A21" s="23" t="s">
        <v>18</v>
      </c>
      <c r="B21" s="25"/>
      <c r="C21" s="25"/>
      <c r="D21" s="25"/>
      <c r="E21" s="25"/>
      <c r="F21" s="25" t="s">
        <v>1403</v>
      </c>
      <c r="G21" s="25" t="s">
        <v>1404</v>
      </c>
      <c r="H21" s="25" t="s">
        <v>1404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37"/>
      <c r="AJ21" s="25"/>
      <c r="AK21" s="25"/>
      <c r="AL21" s="38"/>
      <c r="AM21" s="39"/>
      <c r="AN21" s="25"/>
      <c r="AO21" s="25"/>
      <c r="AP21" s="25"/>
    </row>
    <row r="22" ht="15.0" customHeight="1">
      <c r="A22" s="23" t="s">
        <v>19</v>
      </c>
      <c r="B22" s="25"/>
      <c r="C22" s="25"/>
      <c r="D22" s="25"/>
      <c r="E22" s="25"/>
      <c r="F22" s="25" t="s">
        <v>1403</v>
      </c>
      <c r="G22" s="25" t="s">
        <v>1404</v>
      </c>
      <c r="H22" s="25" t="s">
        <v>1404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37"/>
      <c r="AJ22" s="25"/>
      <c r="AK22" s="25"/>
      <c r="AL22" s="38"/>
      <c r="AM22" s="39"/>
      <c r="AN22" s="25"/>
      <c r="AO22" s="25"/>
      <c r="AP22" s="25"/>
    </row>
    <row r="23" ht="15.0" customHeight="1">
      <c r="A23" s="23" t="s">
        <v>20</v>
      </c>
      <c r="B23" s="25"/>
      <c r="C23" s="25"/>
      <c r="D23" s="25"/>
      <c r="E23" s="25"/>
      <c r="F23" s="25" t="s">
        <v>1403</v>
      </c>
      <c r="G23" s="25" t="s">
        <v>1404</v>
      </c>
      <c r="H23" s="25" t="s">
        <v>1404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37"/>
      <c r="AJ23" s="25"/>
      <c r="AK23" s="25"/>
      <c r="AL23" s="38"/>
      <c r="AM23" s="39"/>
      <c r="AN23" s="25"/>
      <c r="AO23" s="25"/>
      <c r="AP23" s="25"/>
    </row>
    <row r="24" ht="15.0" customHeight="1">
      <c r="A24" s="23" t="s">
        <v>21</v>
      </c>
      <c r="B24" s="25"/>
      <c r="C24" s="25"/>
      <c r="D24" s="25"/>
      <c r="E24" s="25"/>
      <c r="F24" s="25" t="s">
        <v>1403</v>
      </c>
      <c r="G24" s="25" t="s">
        <v>1404</v>
      </c>
      <c r="H24" s="25" t="s">
        <v>1404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37"/>
      <c r="AJ24" s="25"/>
      <c r="AK24" s="25"/>
      <c r="AL24" s="38"/>
      <c r="AM24" s="39"/>
      <c r="AN24" s="25"/>
      <c r="AO24" s="25"/>
      <c r="AP24" s="25"/>
    </row>
    <row r="25" ht="15.0" customHeight="1">
      <c r="A25" s="23" t="s">
        <v>22</v>
      </c>
      <c r="B25" s="25"/>
      <c r="C25" s="25"/>
      <c r="D25" s="25"/>
      <c r="E25" s="25"/>
      <c r="F25" s="25" t="s">
        <v>1403</v>
      </c>
      <c r="G25" s="25" t="s">
        <v>1404</v>
      </c>
      <c r="H25" s="25" t="s">
        <v>1404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37"/>
      <c r="AJ25" s="25"/>
      <c r="AK25" s="25"/>
      <c r="AL25" s="38"/>
      <c r="AM25" s="39"/>
      <c r="AN25" s="25"/>
      <c r="AO25" s="25"/>
      <c r="AP25" s="25"/>
    </row>
    <row r="26" ht="15.0" customHeight="1">
      <c r="A26" s="23" t="s">
        <v>23</v>
      </c>
      <c r="B26" s="25"/>
      <c r="C26" s="25"/>
      <c r="D26" s="25"/>
      <c r="E26" s="25"/>
      <c r="F26" s="25" t="s">
        <v>1403</v>
      </c>
      <c r="G26" s="25" t="s">
        <v>1404</v>
      </c>
      <c r="H26" s="25" t="s">
        <v>1404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37"/>
      <c r="AJ26" s="25"/>
      <c r="AK26" s="25"/>
      <c r="AL26" s="38"/>
      <c r="AM26" s="39"/>
      <c r="AN26" s="25"/>
      <c r="AO26" s="25"/>
      <c r="AP26" s="25"/>
    </row>
    <row r="27" ht="15.0" customHeight="1">
      <c r="A27" s="23" t="s">
        <v>24</v>
      </c>
      <c r="B27" s="25"/>
      <c r="C27" s="25"/>
      <c r="D27" s="25"/>
      <c r="E27" s="25"/>
      <c r="F27" s="25" t="s">
        <v>1403</v>
      </c>
      <c r="G27" s="25" t="s">
        <v>1404</v>
      </c>
      <c r="H27" s="25" t="s">
        <v>1404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37"/>
      <c r="AJ27" s="25"/>
      <c r="AK27" s="25"/>
      <c r="AL27" s="38"/>
      <c r="AM27" s="39"/>
      <c r="AN27" s="25"/>
      <c r="AO27" s="25"/>
      <c r="AP27" s="25"/>
    </row>
    <row r="28" ht="15.0" customHeight="1">
      <c r="A28" s="23" t="s">
        <v>25</v>
      </c>
      <c r="B28" s="25"/>
      <c r="C28" s="25"/>
      <c r="D28" s="25"/>
      <c r="E28" s="25"/>
      <c r="F28" s="25" t="s">
        <v>1403</v>
      </c>
      <c r="G28" s="25" t="s">
        <v>1404</v>
      </c>
      <c r="H28" s="25" t="s">
        <v>1404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37"/>
      <c r="AJ28" s="25"/>
      <c r="AK28" s="25"/>
      <c r="AL28" s="38"/>
      <c r="AM28" s="39"/>
      <c r="AN28" s="25"/>
      <c r="AO28" s="25"/>
      <c r="AP28" s="25"/>
    </row>
    <row r="29" ht="15.0" customHeight="1">
      <c r="A29" s="23" t="s">
        <v>26</v>
      </c>
      <c r="B29" s="25"/>
      <c r="C29" s="25"/>
      <c r="D29" s="25"/>
      <c r="E29" s="25"/>
      <c r="F29" s="25" t="s">
        <v>1403</v>
      </c>
      <c r="G29" s="25" t="s">
        <v>1404</v>
      </c>
      <c r="H29" s="25" t="s">
        <v>1404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37"/>
      <c r="AJ29" s="25"/>
      <c r="AK29" s="25"/>
      <c r="AL29" s="38"/>
      <c r="AM29" s="39"/>
      <c r="AN29" s="25"/>
      <c r="AO29" s="25"/>
      <c r="AP29" s="25"/>
    </row>
    <row r="30" ht="15.0" customHeight="1">
      <c r="A30" s="23" t="s">
        <v>27</v>
      </c>
      <c r="B30" s="25"/>
      <c r="C30" s="25"/>
      <c r="D30" s="25"/>
      <c r="E30" s="25"/>
      <c r="F30" s="25" t="s">
        <v>1403</v>
      </c>
      <c r="G30" s="25" t="s">
        <v>1404</v>
      </c>
      <c r="H30" s="25" t="s">
        <v>1404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37"/>
      <c r="AJ30" s="25"/>
      <c r="AK30" s="25"/>
      <c r="AL30" s="38"/>
      <c r="AM30" s="39"/>
      <c r="AN30" s="25"/>
      <c r="AO30" s="25"/>
      <c r="AP30" s="25"/>
    </row>
    <row r="31" ht="15.0" customHeight="1">
      <c r="A31" s="23" t="s">
        <v>28</v>
      </c>
      <c r="B31" s="25"/>
      <c r="C31" s="25"/>
      <c r="D31" s="25"/>
      <c r="E31" s="25"/>
      <c r="F31" s="25" t="s">
        <v>1403</v>
      </c>
      <c r="G31" s="25" t="s">
        <v>1404</v>
      </c>
      <c r="H31" s="25" t="s">
        <v>1404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37"/>
      <c r="AJ31" s="25"/>
      <c r="AK31" s="25"/>
      <c r="AL31" s="38"/>
      <c r="AM31" s="39"/>
      <c r="AN31" s="25"/>
      <c r="AO31" s="25"/>
      <c r="AP31" s="25"/>
    </row>
    <row r="32" ht="15.0" customHeight="1">
      <c r="A32" s="23" t="s">
        <v>29</v>
      </c>
      <c r="B32" s="25"/>
      <c r="C32" s="25"/>
      <c r="D32" s="25"/>
      <c r="E32" s="25"/>
      <c r="F32" s="25" t="s">
        <v>1403</v>
      </c>
      <c r="G32" s="25" t="s">
        <v>1404</v>
      </c>
      <c r="H32" s="25" t="s">
        <v>1404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37"/>
      <c r="AJ32" s="25"/>
      <c r="AK32" s="25"/>
      <c r="AL32" s="38"/>
      <c r="AM32" s="39"/>
      <c r="AN32" s="25"/>
      <c r="AO32" s="40"/>
      <c r="AP32" s="40"/>
    </row>
    <row r="33" ht="15.0" customHeight="1">
      <c r="A33" s="23" t="s">
        <v>30</v>
      </c>
      <c r="B33" s="25"/>
      <c r="C33" s="25"/>
      <c r="D33" s="25"/>
      <c r="E33" s="25"/>
      <c r="F33" s="25" t="s">
        <v>1403</v>
      </c>
      <c r="G33" s="25" t="s">
        <v>1404</v>
      </c>
      <c r="H33" s="25" t="s">
        <v>1404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37"/>
      <c r="AJ33" s="25"/>
      <c r="AK33" s="25"/>
      <c r="AL33" s="38"/>
      <c r="AM33" s="39"/>
      <c r="AN33" s="25"/>
      <c r="AO33" s="40"/>
      <c r="AP33" s="40"/>
    </row>
    <row r="34" ht="15.0" customHeight="1">
      <c r="A34" s="23" t="s">
        <v>31</v>
      </c>
      <c r="B34" s="25"/>
      <c r="C34" s="25"/>
      <c r="D34" s="25"/>
      <c r="E34" s="25"/>
      <c r="F34" s="25" t="s">
        <v>1403</v>
      </c>
      <c r="G34" s="25" t="s">
        <v>1404</v>
      </c>
      <c r="H34" s="25" t="s">
        <v>1404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37"/>
      <c r="AJ34" s="25"/>
      <c r="AK34" s="25"/>
      <c r="AL34" s="38"/>
      <c r="AM34" s="39"/>
      <c r="AN34" s="25"/>
      <c r="AO34" s="40"/>
      <c r="AP34" s="40"/>
    </row>
    <row r="35" ht="15.0" customHeight="1">
      <c r="A35" s="23" t="s">
        <v>32</v>
      </c>
      <c r="B35" s="25"/>
      <c r="C35" s="25"/>
      <c r="D35" s="25"/>
      <c r="E35" s="25"/>
      <c r="F35" s="25" t="s">
        <v>1403</v>
      </c>
      <c r="G35" s="25" t="s">
        <v>1404</v>
      </c>
      <c r="H35" s="25" t="s">
        <v>1404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37"/>
      <c r="AJ35" s="25"/>
      <c r="AK35" s="25"/>
      <c r="AL35" s="38"/>
      <c r="AM35" s="39"/>
      <c r="AN35" s="25"/>
      <c r="AO35" s="40"/>
      <c r="AP35" s="40"/>
    </row>
    <row r="36" ht="15.0" customHeight="1">
      <c r="A36" s="23" t="s">
        <v>33</v>
      </c>
      <c r="B36" s="25"/>
      <c r="C36" s="25"/>
      <c r="D36" s="25"/>
      <c r="E36" s="25"/>
      <c r="F36" s="25" t="s">
        <v>1403</v>
      </c>
      <c r="G36" s="25" t="s">
        <v>1404</v>
      </c>
      <c r="H36" s="25" t="s">
        <v>1404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37"/>
      <c r="AJ36" s="25"/>
      <c r="AK36" s="25"/>
      <c r="AL36" s="38"/>
      <c r="AM36" s="39"/>
      <c r="AN36" s="25"/>
      <c r="AO36" s="40"/>
      <c r="AP36" s="40"/>
    </row>
    <row r="37" ht="15.0" customHeight="1">
      <c r="A37" s="23" t="s">
        <v>34</v>
      </c>
      <c r="B37" s="25"/>
      <c r="C37" s="25"/>
      <c r="D37" s="25"/>
      <c r="E37" s="25"/>
      <c r="F37" s="25" t="s">
        <v>1403</v>
      </c>
      <c r="G37" s="25" t="s">
        <v>1404</v>
      </c>
      <c r="H37" s="25" t="s">
        <v>1404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37"/>
      <c r="AJ37" s="25"/>
      <c r="AK37" s="25"/>
      <c r="AL37" s="38"/>
      <c r="AM37" s="39"/>
      <c r="AN37" s="25"/>
      <c r="AO37" s="40"/>
      <c r="AP37" s="40"/>
    </row>
    <row r="38" ht="15.0" customHeight="1">
      <c r="A38" s="23" t="s">
        <v>35</v>
      </c>
      <c r="B38" s="25"/>
      <c r="C38" s="25"/>
      <c r="D38" s="25"/>
      <c r="E38" s="25"/>
      <c r="F38" s="25" t="s">
        <v>1403</v>
      </c>
      <c r="G38" s="25" t="s">
        <v>1404</v>
      </c>
      <c r="H38" s="25" t="s">
        <v>1404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37"/>
      <c r="AJ38" s="25"/>
      <c r="AK38" s="25"/>
      <c r="AL38" s="38"/>
      <c r="AM38" s="39"/>
      <c r="AN38" s="25"/>
      <c r="AO38" s="40"/>
      <c r="AP38" s="40"/>
    </row>
    <row r="39" ht="15.0" customHeight="1">
      <c r="A39" s="23" t="s">
        <v>36</v>
      </c>
      <c r="B39" s="25"/>
      <c r="C39" s="25"/>
      <c r="D39" s="25"/>
      <c r="E39" s="25"/>
      <c r="F39" s="25" t="s">
        <v>1403</v>
      </c>
      <c r="G39" s="25" t="s">
        <v>1404</v>
      </c>
      <c r="H39" s="25" t="s">
        <v>1404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37"/>
      <c r="AJ39" s="25"/>
      <c r="AK39" s="25"/>
      <c r="AL39" s="38"/>
      <c r="AM39" s="39"/>
      <c r="AN39" s="25"/>
      <c r="AO39" s="40"/>
      <c r="AP39" s="40"/>
    </row>
    <row r="40" ht="15.0" customHeight="1">
      <c r="A40" s="23" t="s">
        <v>37</v>
      </c>
      <c r="B40" s="25"/>
      <c r="C40" s="25"/>
      <c r="D40" s="25"/>
      <c r="E40" s="25"/>
      <c r="F40" s="25" t="s">
        <v>1403</v>
      </c>
      <c r="G40" s="25" t="s">
        <v>1404</v>
      </c>
      <c r="H40" s="25" t="s">
        <v>1404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37"/>
      <c r="AJ40" s="25"/>
      <c r="AK40" s="25"/>
      <c r="AL40" s="38"/>
      <c r="AM40" s="39"/>
      <c r="AN40" s="25"/>
      <c r="AO40" s="40"/>
      <c r="AP40" s="40"/>
    </row>
    <row r="41" ht="15.0" customHeight="1">
      <c r="A41" s="23" t="s">
        <v>38</v>
      </c>
      <c r="B41" s="25"/>
      <c r="C41" s="25"/>
      <c r="D41" s="25"/>
      <c r="E41" s="25"/>
      <c r="F41" s="25" t="s">
        <v>1403</v>
      </c>
      <c r="G41" s="25" t="s">
        <v>1404</v>
      </c>
      <c r="H41" s="25" t="s">
        <v>1404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37"/>
      <c r="AJ41" s="25"/>
      <c r="AK41" s="25"/>
      <c r="AL41" s="38"/>
      <c r="AM41" s="39"/>
      <c r="AN41" s="25"/>
      <c r="AO41" s="40"/>
      <c r="AP41" s="40"/>
    </row>
    <row r="42" ht="15.0" customHeight="1">
      <c r="A42" s="23" t="s">
        <v>39</v>
      </c>
      <c r="B42" s="25"/>
      <c r="C42" s="25"/>
      <c r="D42" s="25"/>
      <c r="E42" s="25"/>
      <c r="F42" s="25" t="s">
        <v>1403</v>
      </c>
      <c r="G42" s="25" t="s">
        <v>1404</v>
      </c>
      <c r="H42" s="25" t="s">
        <v>1404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37"/>
      <c r="AJ42" s="25"/>
      <c r="AK42" s="25"/>
      <c r="AL42" s="38"/>
      <c r="AM42" s="39"/>
      <c r="AN42" s="25"/>
      <c r="AO42" s="40"/>
      <c r="AP42" s="40"/>
    </row>
    <row r="43" ht="15.0" customHeight="1">
      <c r="A43" s="23" t="s">
        <v>40</v>
      </c>
      <c r="B43" s="25"/>
      <c r="C43" s="25"/>
      <c r="D43" s="25"/>
      <c r="E43" s="25"/>
      <c r="F43" s="25" t="s">
        <v>1403</v>
      </c>
      <c r="G43" s="25" t="s">
        <v>1404</v>
      </c>
      <c r="H43" s="25" t="s">
        <v>1404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37"/>
      <c r="AJ43" s="25"/>
      <c r="AK43" s="25"/>
      <c r="AL43" s="38"/>
      <c r="AM43" s="39"/>
      <c r="AN43" s="25"/>
      <c r="AO43" s="40"/>
      <c r="AP43" s="40"/>
    </row>
    <row r="44" ht="15.0" customHeight="1">
      <c r="A44" s="23" t="s">
        <v>41</v>
      </c>
      <c r="B44" s="25"/>
      <c r="C44" s="25"/>
      <c r="D44" s="25"/>
      <c r="E44" s="25"/>
      <c r="F44" s="25" t="s">
        <v>1403</v>
      </c>
      <c r="G44" s="25" t="s">
        <v>1404</v>
      </c>
      <c r="H44" s="25" t="s">
        <v>1404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37"/>
      <c r="AJ44" s="25"/>
      <c r="AK44" s="25"/>
      <c r="AL44" s="38"/>
      <c r="AM44" s="39"/>
      <c r="AN44" s="25"/>
      <c r="AO44" s="40"/>
      <c r="AP44" s="40"/>
    </row>
    <row r="45" ht="15.0" customHeight="1">
      <c r="A45" s="23" t="s">
        <v>42</v>
      </c>
      <c r="B45" s="25"/>
      <c r="C45" s="25"/>
      <c r="D45" s="25"/>
      <c r="E45" s="25"/>
      <c r="F45" s="25" t="s">
        <v>1403</v>
      </c>
      <c r="G45" s="25" t="s">
        <v>1404</v>
      </c>
      <c r="H45" s="25" t="s">
        <v>1404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37"/>
      <c r="AJ45" s="25"/>
      <c r="AK45" s="25"/>
      <c r="AL45" s="38"/>
      <c r="AM45" s="39"/>
      <c r="AN45" s="25"/>
      <c r="AO45" s="40"/>
      <c r="AP45" s="40"/>
    </row>
    <row r="46" ht="15.0" customHeight="1">
      <c r="A46" s="23" t="s">
        <v>43</v>
      </c>
      <c r="B46" s="25"/>
      <c r="C46" s="25"/>
      <c r="D46" s="25"/>
      <c r="E46" s="25"/>
      <c r="F46" s="25" t="s">
        <v>1403</v>
      </c>
      <c r="G46" s="25" t="s">
        <v>1404</v>
      </c>
      <c r="H46" s="25" t="s">
        <v>1404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37"/>
      <c r="AJ46" s="25"/>
      <c r="AK46" s="25"/>
      <c r="AL46" s="38"/>
      <c r="AM46" s="39"/>
      <c r="AN46" s="25"/>
      <c r="AO46" s="40"/>
      <c r="AP46" s="40"/>
    </row>
    <row r="47" ht="15.0" customHeight="1">
      <c r="A47" s="23" t="s">
        <v>44</v>
      </c>
      <c r="B47" s="25"/>
      <c r="C47" s="25"/>
      <c r="D47" s="25"/>
      <c r="E47" s="25"/>
      <c r="F47" s="25" t="s">
        <v>1403</v>
      </c>
      <c r="G47" s="25" t="s">
        <v>1404</v>
      </c>
      <c r="H47" s="25" t="s">
        <v>1404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37"/>
      <c r="AJ47" s="25"/>
      <c r="AK47" s="25"/>
      <c r="AL47" s="38"/>
      <c r="AM47" s="39"/>
      <c r="AN47" s="25"/>
      <c r="AO47" s="40"/>
      <c r="AP47" s="40"/>
    </row>
    <row r="48" ht="15.0" customHeight="1">
      <c r="A48" s="23" t="s">
        <v>45</v>
      </c>
      <c r="B48" s="25"/>
      <c r="C48" s="25"/>
      <c r="D48" s="25"/>
      <c r="E48" s="25"/>
      <c r="F48" s="25" t="s">
        <v>1403</v>
      </c>
      <c r="G48" s="25" t="s">
        <v>1404</v>
      </c>
      <c r="H48" s="25" t="s">
        <v>1404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37"/>
      <c r="AJ48" s="25"/>
      <c r="AK48" s="25"/>
      <c r="AL48" s="38"/>
      <c r="AM48" s="39"/>
      <c r="AN48" s="25"/>
      <c r="AO48" s="40"/>
      <c r="AP48" s="40"/>
    </row>
    <row r="49" ht="15.0" customHeight="1">
      <c r="A49" s="23" t="s">
        <v>46</v>
      </c>
      <c r="B49" s="25"/>
      <c r="C49" s="25"/>
      <c r="D49" s="25"/>
      <c r="E49" s="25"/>
      <c r="F49" s="25" t="s">
        <v>1403</v>
      </c>
      <c r="G49" s="25" t="s">
        <v>1404</v>
      </c>
      <c r="H49" s="25" t="s">
        <v>1404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37"/>
      <c r="AJ49" s="25"/>
      <c r="AK49" s="25"/>
      <c r="AL49" s="38"/>
      <c r="AM49" s="39"/>
      <c r="AN49" s="25"/>
      <c r="AO49" s="40"/>
      <c r="AP49" s="40"/>
    </row>
    <row r="50" ht="15.0" customHeight="1">
      <c r="A50" s="23" t="s">
        <v>47</v>
      </c>
      <c r="B50" s="25"/>
      <c r="C50" s="25"/>
      <c r="D50" s="25"/>
      <c r="E50" s="25"/>
      <c r="F50" s="25" t="s">
        <v>1403</v>
      </c>
      <c r="G50" s="25" t="s">
        <v>1404</v>
      </c>
      <c r="H50" s="25" t="s">
        <v>1404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37"/>
      <c r="AJ50" s="25"/>
      <c r="AK50" s="25"/>
      <c r="AL50" s="38"/>
      <c r="AM50" s="39"/>
      <c r="AN50" s="25"/>
      <c r="AO50" s="40"/>
      <c r="AP50" s="40"/>
    </row>
    <row r="51" ht="15.0" customHeight="1">
      <c r="A51" s="23" t="s">
        <v>48</v>
      </c>
      <c r="B51" s="25"/>
      <c r="C51" s="25"/>
      <c r="D51" s="25"/>
      <c r="E51" s="25"/>
      <c r="F51" s="25" t="s">
        <v>1403</v>
      </c>
      <c r="G51" s="25" t="s">
        <v>1404</v>
      </c>
      <c r="H51" s="25" t="s">
        <v>1404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37"/>
      <c r="AJ51" s="25"/>
      <c r="AK51" s="25"/>
      <c r="AL51" s="38"/>
      <c r="AM51" s="39"/>
      <c r="AN51" s="25"/>
      <c r="AO51" s="40"/>
      <c r="AP51" s="40"/>
    </row>
    <row r="52" ht="15.0" customHeight="1">
      <c r="A52" s="23" t="s">
        <v>49</v>
      </c>
      <c r="B52" s="25"/>
      <c r="C52" s="25"/>
      <c r="D52" s="25"/>
      <c r="E52" s="25"/>
      <c r="F52" s="25" t="s">
        <v>1403</v>
      </c>
      <c r="G52" s="25" t="s">
        <v>1404</v>
      </c>
      <c r="H52" s="25" t="s">
        <v>1404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37"/>
      <c r="AJ52" s="25"/>
      <c r="AK52" s="25"/>
      <c r="AL52" s="38"/>
      <c r="AM52" s="39"/>
      <c r="AN52" s="25"/>
      <c r="AO52" s="40"/>
      <c r="AP52" s="40"/>
    </row>
    <row r="53" ht="15.0" customHeight="1">
      <c r="A53" s="23" t="s">
        <v>50</v>
      </c>
      <c r="B53" s="25"/>
      <c r="C53" s="25"/>
      <c r="D53" s="25"/>
      <c r="E53" s="25"/>
      <c r="F53" s="25" t="s">
        <v>1403</v>
      </c>
      <c r="G53" s="25" t="s">
        <v>1404</v>
      </c>
      <c r="H53" s="25" t="s">
        <v>1404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37"/>
      <c r="AJ53" s="25"/>
      <c r="AK53" s="25"/>
      <c r="AL53" s="38"/>
      <c r="AM53" s="39"/>
      <c r="AN53" s="25"/>
      <c r="AO53" s="40"/>
      <c r="AP53" s="40"/>
    </row>
    <row r="54" ht="15.0" customHeight="1">
      <c r="A54" s="23" t="s">
        <v>51</v>
      </c>
      <c r="B54" s="25"/>
      <c r="C54" s="25"/>
      <c r="D54" s="25"/>
      <c r="E54" s="25"/>
      <c r="F54" s="25" t="s">
        <v>1403</v>
      </c>
      <c r="G54" s="25" t="s">
        <v>1404</v>
      </c>
      <c r="H54" s="25" t="s">
        <v>1404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37"/>
      <c r="AJ54" s="25"/>
      <c r="AK54" s="25"/>
      <c r="AL54" s="38"/>
      <c r="AM54" s="39"/>
      <c r="AN54" s="25"/>
      <c r="AO54" s="40"/>
      <c r="AP54" s="40"/>
    </row>
    <row r="55" ht="15.0" customHeight="1">
      <c r="A55" s="23" t="s">
        <v>52</v>
      </c>
      <c r="B55" s="25"/>
      <c r="C55" s="25"/>
      <c r="D55" s="25"/>
      <c r="E55" s="25"/>
      <c r="F55" s="25" t="s">
        <v>1403</v>
      </c>
      <c r="G55" s="25" t="s">
        <v>1404</v>
      </c>
      <c r="H55" s="25" t="s">
        <v>1404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37"/>
      <c r="AJ55" s="25"/>
      <c r="AK55" s="25"/>
      <c r="AL55" s="38"/>
      <c r="AM55" s="39"/>
      <c r="AN55" s="25"/>
      <c r="AO55" s="40"/>
      <c r="AP55" s="40"/>
    </row>
    <row r="56" ht="15.0" customHeight="1">
      <c r="A56" s="23" t="s">
        <v>53</v>
      </c>
      <c r="B56" s="25"/>
      <c r="C56" s="25"/>
      <c r="D56" s="25"/>
      <c r="E56" s="25"/>
      <c r="F56" s="25" t="s">
        <v>1403</v>
      </c>
      <c r="G56" s="25" t="s">
        <v>1404</v>
      </c>
      <c r="H56" s="25" t="s">
        <v>1404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37"/>
      <c r="AJ56" s="25"/>
      <c r="AK56" s="25"/>
      <c r="AL56" s="38"/>
      <c r="AM56" s="39"/>
      <c r="AN56" s="25"/>
      <c r="AO56" s="40"/>
      <c r="AP56" s="40"/>
    </row>
    <row r="57" ht="15.0" customHeight="1">
      <c r="A57" s="23" t="s">
        <v>54</v>
      </c>
      <c r="B57" s="25"/>
      <c r="C57" s="25"/>
      <c r="D57" s="25"/>
      <c r="E57" s="25"/>
      <c r="F57" s="25" t="s">
        <v>1403</v>
      </c>
      <c r="G57" s="25" t="s">
        <v>1404</v>
      </c>
      <c r="H57" s="25" t="s">
        <v>1404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37"/>
      <c r="AJ57" s="25"/>
      <c r="AK57" s="25"/>
      <c r="AL57" s="38"/>
      <c r="AM57" s="39"/>
      <c r="AN57" s="25"/>
      <c r="AO57" s="40"/>
      <c r="AP57" s="40"/>
    </row>
    <row r="58" ht="15.0" customHeight="1">
      <c r="A58" s="23" t="s">
        <v>55</v>
      </c>
      <c r="B58" s="25"/>
      <c r="C58" s="25"/>
      <c r="D58" s="25"/>
      <c r="E58" s="25"/>
      <c r="F58" s="25" t="s">
        <v>1403</v>
      </c>
      <c r="G58" s="25" t="s">
        <v>1404</v>
      </c>
      <c r="H58" s="25" t="s">
        <v>1404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37"/>
      <c r="AJ58" s="25"/>
      <c r="AK58" s="25"/>
      <c r="AL58" s="38"/>
      <c r="AM58" s="39"/>
      <c r="AN58" s="25"/>
      <c r="AO58" s="40"/>
      <c r="AP58" s="40"/>
    </row>
    <row r="59" ht="15.0" customHeight="1">
      <c r="A59" s="23" t="s">
        <v>56</v>
      </c>
      <c r="B59" s="25"/>
      <c r="C59" s="25"/>
      <c r="D59" s="25"/>
      <c r="E59" s="25"/>
      <c r="F59" s="25" t="s">
        <v>1403</v>
      </c>
      <c r="G59" s="25" t="s">
        <v>1404</v>
      </c>
      <c r="H59" s="25" t="s">
        <v>1404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37"/>
      <c r="AJ59" s="25"/>
      <c r="AK59" s="25"/>
      <c r="AL59" s="38"/>
      <c r="AM59" s="39"/>
      <c r="AN59" s="25"/>
      <c r="AO59" s="40"/>
      <c r="AP59" s="40"/>
    </row>
    <row r="60" ht="15.0" customHeight="1">
      <c r="A60" s="23" t="s">
        <v>57</v>
      </c>
      <c r="B60" s="25"/>
      <c r="C60" s="25"/>
      <c r="D60" s="25"/>
      <c r="E60" s="25"/>
      <c r="F60" s="25" t="s">
        <v>1403</v>
      </c>
      <c r="G60" s="25" t="s">
        <v>1404</v>
      </c>
      <c r="H60" s="25" t="s">
        <v>1404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37"/>
      <c r="AJ60" s="25"/>
      <c r="AK60" s="25"/>
      <c r="AL60" s="38"/>
      <c r="AM60" s="39"/>
      <c r="AN60" s="25"/>
      <c r="AO60" s="40"/>
      <c r="AP60" s="40"/>
    </row>
    <row r="61" ht="15.0" customHeight="1">
      <c r="A61" s="23" t="s">
        <v>58</v>
      </c>
      <c r="B61" s="25"/>
      <c r="C61" s="25"/>
      <c r="D61" s="25"/>
      <c r="E61" s="25"/>
      <c r="F61" s="25" t="s">
        <v>1403</v>
      </c>
      <c r="G61" s="25" t="s">
        <v>1404</v>
      </c>
      <c r="H61" s="25" t="s">
        <v>1404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37"/>
      <c r="AJ61" s="25"/>
      <c r="AK61" s="25"/>
      <c r="AL61" s="38"/>
      <c r="AM61" s="39"/>
      <c r="AN61" s="25"/>
      <c r="AO61" s="40"/>
      <c r="AP61" s="40"/>
    </row>
    <row r="62" ht="15.0" customHeight="1">
      <c r="A62" s="23" t="s">
        <v>59</v>
      </c>
      <c r="B62" s="25"/>
      <c r="C62" s="25"/>
      <c r="D62" s="25"/>
      <c r="E62" s="25"/>
      <c r="F62" s="25" t="s">
        <v>1403</v>
      </c>
      <c r="G62" s="25" t="s">
        <v>1404</v>
      </c>
      <c r="H62" s="25" t="s">
        <v>1404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37"/>
      <c r="AJ62" s="25"/>
      <c r="AK62" s="25"/>
      <c r="AL62" s="38"/>
      <c r="AM62" s="39"/>
      <c r="AN62" s="25"/>
      <c r="AO62" s="40"/>
      <c r="AP62" s="40"/>
    </row>
    <row r="63" ht="15.0" customHeight="1">
      <c r="A63" s="23" t="s">
        <v>60</v>
      </c>
      <c r="B63" s="25"/>
      <c r="C63" s="25"/>
      <c r="D63" s="25"/>
      <c r="E63" s="25"/>
      <c r="F63" s="25" t="s">
        <v>1403</v>
      </c>
      <c r="G63" s="25" t="s">
        <v>1404</v>
      </c>
      <c r="H63" s="25" t="s">
        <v>1404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37"/>
      <c r="AJ63" s="25"/>
      <c r="AK63" s="25"/>
      <c r="AL63" s="38"/>
      <c r="AM63" s="39"/>
      <c r="AN63" s="25"/>
      <c r="AO63" s="40"/>
      <c r="AP63" s="40"/>
    </row>
    <row r="64" ht="15.0" customHeight="1">
      <c r="A64" s="23" t="s">
        <v>61</v>
      </c>
      <c r="B64" s="25"/>
      <c r="C64" s="25"/>
      <c r="D64" s="25"/>
      <c r="E64" s="25"/>
      <c r="F64" s="25" t="s">
        <v>1403</v>
      </c>
      <c r="G64" s="25" t="s">
        <v>1404</v>
      </c>
      <c r="H64" s="25" t="s">
        <v>1404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37"/>
      <c r="AJ64" s="25"/>
      <c r="AK64" s="25"/>
      <c r="AL64" s="38"/>
      <c r="AM64" s="39"/>
      <c r="AN64" s="25"/>
      <c r="AO64" s="40"/>
      <c r="AP64" s="40"/>
    </row>
    <row r="65" ht="15.0" customHeight="1">
      <c r="A65" s="23" t="s">
        <v>62</v>
      </c>
      <c r="B65" s="25"/>
      <c r="C65" s="25"/>
      <c r="D65" s="25"/>
      <c r="E65" s="25"/>
      <c r="F65" s="25" t="s">
        <v>1403</v>
      </c>
      <c r="G65" s="25" t="s">
        <v>1404</v>
      </c>
      <c r="H65" s="25" t="s">
        <v>1404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37"/>
      <c r="AJ65" s="25"/>
      <c r="AK65" s="25"/>
      <c r="AL65" s="38"/>
      <c r="AM65" s="39"/>
      <c r="AN65" s="25"/>
      <c r="AO65" s="40"/>
      <c r="AP65" s="40"/>
    </row>
    <row r="66" ht="15.0" customHeight="1">
      <c r="A66" s="23" t="s">
        <v>63</v>
      </c>
      <c r="B66" s="25"/>
      <c r="C66" s="25"/>
      <c r="D66" s="25"/>
      <c r="E66" s="25"/>
      <c r="F66" s="25" t="s">
        <v>1403</v>
      </c>
      <c r="G66" s="25" t="s">
        <v>1404</v>
      </c>
      <c r="H66" s="25" t="s">
        <v>1404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37"/>
      <c r="AJ66" s="25"/>
      <c r="AK66" s="25"/>
      <c r="AL66" s="38"/>
      <c r="AM66" s="39"/>
      <c r="AN66" s="25"/>
      <c r="AO66" s="40"/>
      <c r="AP66" s="40"/>
    </row>
    <row r="67" ht="15.0" customHeight="1">
      <c r="A67" s="23" t="s">
        <v>64</v>
      </c>
      <c r="B67" s="25"/>
      <c r="C67" s="25"/>
      <c r="D67" s="25"/>
      <c r="E67" s="25"/>
      <c r="F67" s="25" t="s">
        <v>1403</v>
      </c>
      <c r="G67" s="25" t="s">
        <v>1404</v>
      </c>
      <c r="H67" s="25" t="s">
        <v>1404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37"/>
      <c r="AJ67" s="25"/>
      <c r="AK67" s="25"/>
      <c r="AL67" s="38"/>
      <c r="AM67" s="39"/>
      <c r="AN67" s="25"/>
      <c r="AO67" s="40"/>
      <c r="AP67" s="40"/>
    </row>
    <row r="68" ht="15.0" customHeight="1">
      <c r="A68" s="23" t="s">
        <v>65</v>
      </c>
      <c r="B68" s="25"/>
      <c r="C68" s="25"/>
      <c r="D68" s="25"/>
      <c r="E68" s="25"/>
      <c r="F68" s="25" t="s">
        <v>1403</v>
      </c>
      <c r="G68" s="25" t="s">
        <v>1404</v>
      </c>
      <c r="H68" s="25" t="s">
        <v>1404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37"/>
      <c r="AJ68" s="25"/>
      <c r="AK68" s="25"/>
      <c r="AL68" s="38"/>
      <c r="AM68" s="39"/>
      <c r="AN68" s="25"/>
      <c r="AO68" s="40"/>
      <c r="AP68" s="40"/>
    </row>
    <row r="69" ht="15.0" customHeight="1">
      <c r="A69" s="23" t="s">
        <v>66</v>
      </c>
      <c r="B69" s="25"/>
      <c r="C69" s="25"/>
      <c r="D69" s="25"/>
      <c r="E69" s="25"/>
      <c r="F69" s="25" t="s">
        <v>1403</v>
      </c>
      <c r="G69" s="25" t="s">
        <v>1404</v>
      </c>
      <c r="H69" s="25" t="s">
        <v>1404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37"/>
      <c r="AJ69" s="25"/>
      <c r="AK69" s="25"/>
      <c r="AL69" s="38"/>
      <c r="AM69" s="39"/>
      <c r="AN69" s="25"/>
      <c r="AO69" s="40"/>
      <c r="AP69" s="40"/>
    </row>
    <row r="70" ht="15.0" customHeight="1">
      <c r="A70" s="23" t="s">
        <v>67</v>
      </c>
      <c r="B70" s="25"/>
      <c r="C70" s="25"/>
      <c r="D70" s="25"/>
      <c r="E70" s="25"/>
      <c r="F70" s="25" t="s">
        <v>1403</v>
      </c>
      <c r="G70" s="25" t="s">
        <v>1404</v>
      </c>
      <c r="H70" s="25" t="s">
        <v>1404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37"/>
      <c r="AJ70" s="25"/>
      <c r="AK70" s="25"/>
      <c r="AL70" s="38"/>
      <c r="AM70" s="39"/>
      <c r="AN70" s="25"/>
      <c r="AO70" s="40"/>
      <c r="AP70" s="40"/>
    </row>
    <row r="71" ht="15.0" customHeight="1">
      <c r="A71" s="23" t="s">
        <v>68</v>
      </c>
      <c r="B71" s="25"/>
      <c r="C71" s="25"/>
      <c r="D71" s="25"/>
      <c r="E71" s="25"/>
      <c r="F71" s="25" t="s">
        <v>1403</v>
      </c>
      <c r="G71" s="25" t="s">
        <v>1404</v>
      </c>
      <c r="H71" s="25" t="s">
        <v>1404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37"/>
      <c r="AJ71" s="25"/>
      <c r="AK71" s="25"/>
      <c r="AL71" s="38"/>
      <c r="AM71" s="39"/>
      <c r="AN71" s="25"/>
      <c r="AO71" s="40"/>
      <c r="AP71" s="40"/>
    </row>
    <row r="72" ht="15.0" customHeight="1">
      <c r="A72" s="23" t="s">
        <v>69</v>
      </c>
      <c r="B72" s="25"/>
      <c r="C72" s="25"/>
      <c r="D72" s="25"/>
      <c r="E72" s="25"/>
      <c r="F72" s="25" t="s">
        <v>1403</v>
      </c>
      <c r="G72" s="25" t="s">
        <v>1404</v>
      </c>
      <c r="H72" s="25" t="s">
        <v>1404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37"/>
      <c r="AJ72" s="25"/>
      <c r="AK72" s="25"/>
      <c r="AL72" s="38"/>
      <c r="AM72" s="39"/>
      <c r="AN72" s="25"/>
      <c r="AO72" s="40"/>
      <c r="AP72" s="40"/>
    </row>
    <row r="73" ht="15.0" customHeight="1">
      <c r="A73" s="23" t="s">
        <v>70</v>
      </c>
      <c r="B73" s="25"/>
      <c r="C73" s="25"/>
      <c r="D73" s="25"/>
      <c r="E73" s="25"/>
      <c r="F73" s="25" t="s">
        <v>1403</v>
      </c>
      <c r="G73" s="25" t="s">
        <v>1404</v>
      </c>
      <c r="H73" s="25" t="s">
        <v>1404</v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37"/>
      <c r="AJ73" s="25"/>
      <c r="AK73" s="25"/>
      <c r="AL73" s="38"/>
      <c r="AM73" s="39"/>
      <c r="AN73" s="25"/>
      <c r="AO73" s="40"/>
      <c r="AP73" s="40"/>
    </row>
    <row r="74" ht="15.0" customHeight="1">
      <c r="A74" s="23" t="s">
        <v>71</v>
      </c>
      <c r="B74" s="25"/>
      <c r="C74" s="25"/>
      <c r="D74" s="25"/>
      <c r="E74" s="25"/>
      <c r="F74" s="25" t="s">
        <v>1403</v>
      </c>
      <c r="G74" s="25" t="s">
        <v>1404</v>
      </c>
      <c r="H74" s="25" t="s">
        <v>1404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37"/>
      <c r="AJ74" s="25"/>
      <c r="AK74" s="25"/>
      <c r="AL74" s="38"/>
      <c r="AM74" s="39"/>
      <c r="AN74" s="25"/>
      <c r="AO74" s="40"/>
      <c r="AP74" s="40"/>
    </row>
    <row r="75" ht="15.0" customHeight="1">
      <c r="A75" s="23" t="s">
        <v>72</v>
      </c>
      <c r="B75" s="25"/>
      <c r="C75" s="25"/>
      <c r="D75" s="25"/>
      <c r="E75" s="25"/>
      <c r="F75" s="25" t="s">
        <v>1403</v>
      </c>
      <c r="G75" s="25" t="s">
        <v>1404</v>
      </c>
      <c r="H75" s="25" t="s">
        <v>1404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37"/>
      <c r="AJ75" s="25"/>
      <c r="AK75" s="25"/>
      <c r="AL75" s="38"/>
      <c r="AM75" s="39"/>
      <c r="AN75" s="25"/>
      <c r="AO75" s="40"/>
      <c r="AP75" s="40"/>
    </row>
    <row r="76" ht="15.0" customHeight="1">
      <c r="A76" s="23" t="s">
        <v>73</v>
      </c>
      <c r="B76" s="25"/>
      <c r="C76" s="25"/>
      <c r="D76" s="25"/>
      <c r="E76" s="25"/>
      <c r="F76" s="25" t="s">
        <v>1403</v>
      </c>
      <c r="G76" s="25" t="s">
        <v>1404</v>
      </c>
      <c r="H76" s="25" t="s">
        <v>1404</v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37"/>
      <c r="AJ76" s="25"/>
      <c r="AK76" s="25"/>
      <c r="AL76" s="38"/>
      <c r="AM76" s="39"/>
      <c r="AN76" s="25"/>
      <c r="AO76" s="40"/>
      <c r="AP76" s="40"/>
    </row>
    <row r="77" ht="15.0" customHeight="1">
      <c r="A77" s="23" t="s">
        <v>74</v>
      </c>
      <c r="B77" s="25"/>
      <c r="C77" s="25"/>
      <c r="D77" s="25"/>
      <c r="E77" s="25"/>
      <c r="F77" s="25" t="s">
        <v>1403</v>
      </c>
      <c r="G77" s="25" t="s">
        <v>1404</v>
      </c>
      <c r="H77" s="25" t="s">
        <v>1404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37"/>
      <c r="AJ77" s="25"/>
      <c r="AK77" s="25"/>
      <c r="AL77" s="38"/>
      <c r="AM77" s="39"/>
      <c r="AN77" s="25"/>
      <c r="AO77" s="40"/>
      <c r="AP77" s="40"/>
    </row>
    <row r="78" ht="15.0" customHeight="1">
      <c r="A78" s="23" t="s">
        <v>75</v>
      </c>
      <c r="B78" s="25"/>
      <c r="C78" s="25"/>
      <c r="D78" s="25"/>
      <c r="E78" s="25"/>
      <c r="F78" s="25" t="s">
        <v>1403</v>
      </c>
      <c r="G78" s="25" t="s">
        <v>1404</v>
      </c>
      <c r="H78" s="25" t="s">
        <v>1404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37"/>
      <c r="AJ78" s="25"/>
      <c r="AK78" s="25"/>
      <c r="AL78" s="38"/>
      <c r="AM78" s="39"/>
      <c r="AN78" s="25"/>
      <c r="AO78" s="40"/>
      <c r="AP78" s="40"/>
    </row>
    <row r="79" ht="15.0" customHeight="1">
      <c r="A79" s="23" t="s">
        <v>76</v>
      </c>
      <c r="B79" s="25"/>
      <c r="C79" s="25"/>
      <c r="D79" s="25"/>
      <c r="E79" s="25"/>
      <c r="F79" s="25" t="s">
        <v>1403</v>
      </c>
      <c r="G79" s="25" t="s">
        <v>1404</v>
      </c>
      <c r="H79" s="25" t="s">
        <v>1404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37"/>
      <c r="AJ79" s="25"/>
      <c r="AK79" s="25"/>
      <c r="AL79" s="38"/>
      <c r="AM79" s="39"/>
      <c r="AN79" s="25"/>
      <c r="AO79" s="40"/>
      <c r="AP79" s="40"/>
    </row>
    <row r="80" ht="15.0" customHeight="1">
      <c r="A80" s="23" t="s">
        <v>77</v>
      </c>
      <c r="B80" s="25"/>
      <c r="C80" s="25"/>
      <c r="D80" s="25"/>
      <c r="E80" s="25"/>
      <c r="F80" s="25" t="s">
        <v>1403</v>
      </c>
      <c r="G80" s="25" t="s">
        <v>1404</v>
      </c>
      <c r="H80" s="25" t="s">
        <v>1404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37"/>
      <c r="AJ80" s="25"/>
      <c r="AK80" s="25"/>
      <c r="AL80" s="38"/>
      <c r="AM80" s="39"/>
      <c r="AN80" s="25"/>
      <c r="AO80" s="40"/>
      <c r="AP80" s="40"/>
    </row>
    <row r="81" ht="15.0" customHeight="1">
      <c r="A81" s="23" t="s">
        <v>78</v>
      </c>
      <c r="B81" s="25"/>
      <c r="C81" s="25"/>
      <c r="D81" s="25"/>
      <c r="E81" s="25"/>
      <c r="F81" s="25" t="s">
        <v>1403</v>
      </c>
      <c r="G81" s="25" t="s">
        <v>1404</v>
      </c>
      <c r="H81" s="25" t="s">
        <v>1404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37"/>
      <c r="AJ81" s="25"/>
      <c r="AK81" s="25"/>
      <c r="AL81" s="38"/>
      <c r="AM81" s="39"/>
      <c r="AN81" s="25"/>
      <c r="AO81" s="40"/>
      <c r="AP81" s="40"/>
    </row>
    <row r="82" ht="15.0" customHeight="1">
      <c r="A82" s="23" t="s">
        <v>79</v>
      </c>
      <c r="B82" s="25"/>
      <c r="C82" s="25"/>
      <c r="D82" s="25"/>
      <c r="E82" s="25"/>
      <c r="F82" s="25" t="s">
        <v>1403</v>
      </c>
      <c r="G82" s="25" t="s">
        <v>1404</v>
      </c>
      <c r="H82" s="25" t="s">
        <v>1404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37"/>
      <c r="AJ82" s="25"/>
      <c r="AK82" s="25"/>
      <c r="AL82" s="38"/>
      <c r="AM82" s="39"/>
      <c r="AN82" s="25"/>
      <c r="AO82" s="40"/>
      <c r="AP82" s="40"/>
    </row>
    <row r="83" ht="15.0" customHeight="1">
      <c r="A83" s="23" t="s">
        <v>80</v>
      </c>
      <c r="B83" s="25"/>
      <c r="C83" s="25"/>
      <c r="D83" s="25"/>
      <c r="E83" s="25"/>
      <c r="F83" s="25" t="s">
        <v>1403</v>
      </c>
      <c r="G83" s="25" t="s">
        <v>1404</v>
      </c>
      <c r="H83" s="25" t="s">
        <v>1404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37"/>
      <c r="AJ83" s="25"/>
      <c r="AK83" s="25"/>
      <c r="AL83" s="38"/>
      <c r="AM83" s="39"/>
      <c r="AN83" s="25"/>
      <c r="AO83" s="40"/>
      <c r="AP83" s="40"/>
    </row>
    <row r="84" ht="15.0" customHeight="1">
      <c r="A84" s="23" t="s">
        <v>81</v>
      </c>
      <c r="B84" s="25"/>
      <c r="C84" s="25"/>
      <c r="D84" s="25"/>
      <c r="E84" s="25"/>
      <c r="F84" s="25" t="s">
        <v>1403</v>
      </c>
      <c r="G84" s="25" t="s">
        <v>1404</v>
      </c>
      <c r="H84" s="25" t="s">
        <v>1404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37"/>
      <c r="AJ84" s="25"/>
      <c r="AK84" s="25"/>
      <c r="AL84" s="38"/>
      <c r="AM84" s="39"/>
      <c r="AN84" s="25"/>
      <c r="AO84" s="40"/>
      <c r="AP84" s="40"/>
    </row>
    <row r="85" ht="15.0" customHeight="1">
      <c r="A85" s="23" t="s">
        <v>82</v>
      </c>
      <c r="B85" s="25"/>
      <c r="C85" s="25"/>
      <c r="D85" s="25"/>
      <c r="E85" s="25"/>
      <c r="F85" s="25" t="s">
        <v>1403</v>
      </c>
      <c r="G85" s="25" t="s">
        <v>1404</v>
      </c>
      <c r="H85" s="25" t="s">
        <v>1404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37"/>
      <c r="AJ85" s="25"/>
      <c r="AK85" s="25"/>
      <c r="AL85" s="38"/>
      <c r="AM85" s="39"/>
      <c r="AN85" s="25"/>
      <c r="AO85" s="40"/>
      <c r="AP85" s="40"/>
    </row>
    <row r="86" ht="15.0" customHeight="1">
      <c r="A86" s="23" t="s">
        <v>83</v>
      </c>
      <c r="B86" s="25"/>
      <c r="C86" s="25"/>
      <c r="D86" s="25"/>
      <c r="E86" s="25"/>
      <c r="F86" s="25" t="s">
        <v>1403</v>
      </c>
      <c r="G86" s="25" t="s">
        <v>1404</v>
      </c>
      <c r="H86" s="25" t="s">
        <v>1404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37"/>
      <c r="AJ86" s="25"/>
      <c r="AK86" s="25"/>
      <c r="AL86" s="38"/>
      <c r="AM86" s="39"/>
      <c r="AN86" s="25"/>
      <c r="AO86" s="40"/>
      <c r="AP86" s="40"/>
    </row>
    <row r="87" ht="15.0" customHeight="1">
      <c r="A87" s="23" t="s">
        <v>84</v>
      </c>
      <c r="B87" s="25"/>
      <c r="C87" s="25"/>
      <c r="D87" s="25"/>
      <c r="E87" s="25"/>
      <c r="F87" s="25" t="s">
        <v>1403</v>
      </c>
      <c r="G87" s="25" t="s">
        <v>1404</v>
      </c>
      <c r="H87" s="25" t="s">
        <v>1404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37"/>
      <c r="AJ87" s="25"/>
      <c r="AK87" s="25"/>
      <c r="AL87" s="38"/>
      <c r="AM87" s="39"/>
      <c r="AN87" s="25"/>
      <c r="AO87" s="40"/>
      <c r="AP87" s="40"/>
    </row>
    <row r="88" ht="15.0" customHeight="1">
      <c r="A88" s="23" t="s">
        <v>85</v>
      </c>
      <c r="B88" s="25"/>
      <c r="C88" s="25"/>
      <c r="D88" s="25"/>
      <c r="E88" s="25"/>
      <c r="F88" s="25" t="s">
        <v>1403</v>
      </c>
      <c r="G88" s="25" t="s">
        <v>1404</v>
      </c>
      <c r="H88" s="25" t="s">
        <v>1404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37"/>
      <c r="AJ88" s="25"/>
      <c r="AK88" s="25"/>
      <c r="AL88" s="38"/>
      <c r="AM88" s="39"/>
      <c r="AN88" s="25"/>
      <c r="AO88" s="40"/>
      <c r="AP88" s="40"/>
    </row>
    <row r="89" ht="15.0" customHeight="1">
      <c r="A89" s="23" t="s">
        <v>86</v>
      </c>
      <c r="B89" s="25"/>
      <c r="C89" s="25"/>
      <c r="D89" s="25"/>
      <c r="E89" s="25"/>
      <c r="F89" s="25" t="s">
        <v>1403</v>
      </c>
      <c r="G89" s="25" t="s">
        <v>1404</v>
      </c>
      <c r="H89" s="25" t="s">
        <v>1404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37"/>
      <c r="AJ89" s="25"/>
      <c r="AK89" s="25"/>
      <c r="AL89" s="38"/>
      <c r="AM89" s="39"/>
      <c r="AN89" s="25"/>
      <c r="AO89" s="40"/>
      <c r="AP89" s="40"/>
    </row>
    <row r="90" ht="15.0" customHeight="1">
      <c r="A90" s="23" t="s">
        <v>87</v>
      </c>
      <c r="B90" s="25"/>
      <c r="C90" s="25"/>
      <c r="D90" s="25"/>
      <c r="E90" s="25"/>
      <c r="F90" s="25" t="s">
        <v>1403</v>
      </c>
      <c r="G90" s="25" t="s">
        <v>1404</v>
      </c>
      <c r="H90" s="25" t="s">
        <v>1404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37"/>
      <c r="AJ90" s="25"/>
      <c r="AK90" s="25"/>
      <c r="AL90" s="38"/>
      <c r="AM90" s="39"/>
      <c r="AN90" s="25"/>
      <c r="AO90" s="40"/>
      <c r="AP90" s="40"/>
    </row>
    <row r="91" ht="15.0" customHeight="1">
      <c r="A91" s="23" t="s">
        <v>88</v>
      </c>
      <c r="B91" s="25"/>
      <c r="C91" s="25"/>
      <c r="D91" s="25"/>
      <c r="E91" s="25"/>
      <c r="F91" s="25" t="s">
        <v>1403</v>
      </c>
      <c r="G91" s="25" t="s">
        <v>1404</v>
      </c>
      <c r="H91" s="25" t="s">
        <v>1404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37"/>
      <c r="AJ91" s="25"/>
      <c r="AK91" s="25"/>
      <c r="AL91" s="38"/>
      <c r="AM91" s="39"/>
      <c r="AN91" s="25"/>
      <c r="AO91" s="40"/>
      <c r="AP91" s="40"/>
    </row>
    <row r="92" ht="15.0" customHeight="1">
      <c r="A92" s="23" t="s">
        <v>89</v>
      </c>
      <c r="B92" s="25"/>
      <c r="C92" s="25"/>
      <c r="D92" s="25"/>
      <c r="E92" s="25"/>
      <c r="F92" s="25" t="s">
        <v>1403</v>
      </c>
      <c r="G92" s="25" t="s">
        <v>1404</v>
      </c>
      <c r="H92" s="25" t="s">
        <v>1404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37"/>
      <c r="AJ92" s="25"/>
      <c r="AK92" s="25"/>
      <c r="AL92" s="38"/>
      <c r="AM92" s="39"/>
      <c r="AN92" s="25"/>
      <c r="AO92" s="40"/>
      <c r="AP92" s="40"/>
    </row>
    <row r="93" ht="15.0" customHeight="1">
      <c r="A93" s="23" t="s">
        <v>90</v>
      </c>
      <c r="B93" s="25"/>
      <c r="C93" s="25"/>
      <c r="D93" s="25"/>
      <c r="E93" s="25"/>
      <c r="F93" s="25" t="s">
        <v>1403</v>
      </c>
      <c r="G93" s="25" t="s">
        <v>1404</v>
      </c>
      <c r="H93" s="25" t="s">
        <v>1404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37"/>
      <c r="AJ93" s="25"/>
      <c r="AK93" s="25"/>
      <c r="AL93" s="38"/>
      <c r="AM93" s="39"/>
      <c r="AN93" s="25"/>
      <c r="AO93" s="40"/>
      <c r="AP93" s="40"/>
    </row>
    <row r="94" ht="15.0" customHeight="1">
      <c r="A94" s="23" t="s">
        <v>91</v>
      </c>
      <c r="B94" s="25"/>
      <c r="C94" s="25"/>
      <c r="D94" s="25"/>
      <c r="E94" s="25"/>
      <c r="F94" s="25" t="s">
        <v>1403</v>
      </c>
      <c r="G94" s="25" t="s">
        <v>1404</v>
      </c>
      <c r="H94" s="25" t="s">
        <v>1404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9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40"/>
      <c r="AP94" s="40"/>
    </row>
    <row r="95" ht="15.0" customHeight="1">
      <c r="A95" s="23" t="s">
        <v>92</v>
      </c>
      <c r="B95" s="25"/>
      <c r="C95" s="25"/>
      <c r="D95" s="25"/>
      <c r="E95" s="25"/>
      <c r="F95" s="25" t="s">
        <v>1403</v>
      </c>
      <c r="G95" s="25" t="s">
        <v>1404</v>
      </c>
      <c r="H95" s="25" t="s">
        <v>1404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9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40"/>
      <c r="AP95" s="40"/>
    </row>
    <row r="96" ht="15.0" customHeight="1">
      <c r="A96" s="23" t="s">
        <v>93</v>
      </c>
      <c r="B96" s="25"/>
      <c r="C96" s="25"/>
      <c r="D96" s="25"/>
      <c r="E96" s="25"/>
      <c r="F96" s="25" t="s">
        <v>1403</v>
      </c>
      <c r="G96" s="25" t="s">
        <v>1404</v>
      </c>
      <c r="H96" s="25" t="s">
        <v>1404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9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40"/>
      <c r="AP96" s="40"/>
    </row>
    <row r="97" ht="15.0" customHeight="1">
      <c r="A97" s="23" t="s">
        <v>94</v>
      </c>
      <c r="B97" s="25"/>
      <c r="C97" s="25"/>
      <c r="D97" s="25"/>
      <c r="E97" s="25"/>
      <c r="F97" s="25" t="s">
        <v>1403</v>
      </c>
      <c r="G97" s="25" t="s">
        <v>1404</v>
      </c>
      <c r="H97" s="25" t="s">
        <v>1404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9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40"/>
      <c r="AP97" s="40"/>
    </row>
    <row r="98" ht="15.0" customHeight="1">
      <c r="A98" s="23" t="s">
        <v>95</v>
      </c>
      <c r="B98" s="25"/>
      <c r="C98" s="25"/>
      <c r="D98" s="25"/>
      <c r="E98" s="25"/>
      <c r="F98" s="25" t="s">
        <v>1403</v>
      </c>
      <c r="G98" s="25" t="s">
        <v>1404</v>
      </c>
      <c r="H98" s="25" t="s">
        <v>1404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9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40"/>
      <c r="AP98" s="40"/>
    </row>
    <row r="99" ht="15.0" customHeight="1">
      <c r="A99" s="23" t="s">
        <v>96</v>
      </c>
      <c r="B99" s="25"/>
      <c r="C99" s="25"/>
      <c r="D99" s="25"/>
      <c r="E99" s="25"/>
      <c r="F99" s="25" t="s">
        <v>1403</v>
      </c>
      <c r="G99" s="25" t="s">
        <v>1404</v>
      </c>
      <c r="H99" s="25" t="s">
        <v>1404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9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40"/>
      <c r="AP99" s="40"/>
    </row>
    <row r="100" ht="15.0" customHeight="1">
      <c r="A100" s="23" t="s">
        <v>97</v>
      </c>
      <c r="B100" s="25"/>
      <c r="C100" s="25"/>
      <c r="D100" s="25"/>
      <c r="E100" s="25"/>
      <c r="F100" s="25" t="s">
        <v>1403</v>
      </c>
      <c r="G100" s="25" t="s">
        <v>1404</v>
      </c>
      <c r="H100" s="25" t="s">
        <v>1404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9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40"/>
      <c r="AP100" s="40"/>
    </row>
    <row r="101" ht="15.0" customHeight="1">
      <c r="A101" s="23" t="s">
        <v>98</v>
      </c>
      <c r="B101" s="25"/>
      <c r="C101" s="25"/>
      <c r="D101" s="25"/>
      <c r="E101" s="25"/>
      <c r="F101" s="25" t="s">
        <v>1403</v>
      </c>
      <c r="G101" s="25" t="s">
        <v>1404</v>
      </c>
      <c r="H101" s="25" t="s">
        <v>1404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9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40"/>
      <c r="AP101" s="40"/>
    </row>
    <row r="102" ht="15.0" customHeight="1">
      <c r="A102" s="23" t="s">
        <v>99</v>
      </c>
      <c r="B102" s="25"/>
      <c r="C102" s="25"/>
      <c r="D102" s="25"/>
      <c r="E102" s="25"/>
      <c r="F102" s="25" t="s">
        <v>1403</v>
      </c>
      <c r="G102" s="25" t="s">
        <v>1404</v>
      </c>
      <c r="H102" s="25" t="s">
        <v>1404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9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40"/>
      <c r="AP102" s="40"/>
    </row>
    <row r="103" ht="15.0" customHeight="1">
      <c r="A103" s="23" t="s">
        <v>100</v>
      </c>
      <c r="B103" s="25"/>
      <c r="C103" s="25"/>
      <c r="D103" s="25"/>
      <c r="E103" s="25"/>
      <c r="F103" s="25" t="s">
        <v>1403</v>
      </c>
      <c r="G103" s="25" t="s">
        <v>1404</v>
      </c>
      <c r="H103" s="25" t="s">
        <v>1404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9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40"/>
      <c r="AP103" s="40"/>
    </row>
    <row r="104" ht="15.0" customHeight="1">
      <c r="A104" s="23" t="s">
        <v>101</v>
      </c>
      <c r="B104" s="25"/>
      <c r="C104" s="25"/>
      <c r="D104" s="25"/>
      <c r="E104" s="25"/>
      <c r="F104" s="25" t="s">
        <v>1403</v>
      </c>
      <c r="G104" s="25" t="s">
        <v>1404</v>
      </c>
      <c r="H104" s="25" t="s">
        <v>1404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9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40"/>
      <c r="AP104" s="40"/>
    </row>
    <row r="105" ht="15.0" customHeight="1">
      <c r="A105" s="23" t="s">
        <v>130</v>
      </c>
      <c r="B105" s="25"/>
      <c r="C105" s="25"/>
      <c r="D105" s="25"/>
      <c r="E105" s="25"/>
      <c r="F105" s="25" t="s">
        <v>1403</v>
      </c>
      <c r="G105" s="25" t="s">
        <v>1404</v>
      </c>
      <c r="H105" s="25" t="s">
        <v>1404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37"/>
      <c r="AJ105" s="25"/>
      <c r="AK105" s="25"/>
      <c r="AL105" s="38"/>
      <c r="AM105" s="39"/>
      <c r="AN105" s="25"/>
      <c r="AO105" s="40"/>
      <c r="AP105" s="40"/>
    </row>
    <row r="106" ht="15.0" customHeight="1">
      <c r="A106" s="23" t="s">
        <v>131</v>
      </c>
      <c r="B106" s="25"/>
      <c r="C106" s="25"/>
      <c r="D106" s="25"/>
      <c r="E106" s="25"/>
      <c r="F106" s="25" t="s">
        <v>1403</v>
      </c>
      <c r="G106" s="25" t="s">
        <v>1404</v>
      </c>
      <c r="H106" s="25" t="s">
        <v>1404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37"/>
      <c r="AJ106" s="25"/>
      <c r="AK106" s="25"/>
      <c r="AL106" s="38"/>
      <c r="AM106" s="39"/>
      <c r="AN106" s="25"/>
      <c r="AO106" s="40"/>
      <c r="AP106" s="40"/>
    </row>
    <row r="107" ht="15.0" customHeight="1">
      <c r="A107" s="23" t="s">
        <v>132</v>
      </c>
      <c r="B107" s="25"/>
      <c r="C107" s="25"/>
      <c r="D107" s="25"/>
      <c r="E107" s="25"/>
      <c r="F107" s="25" t="s">
        <v>1403</v>
      </c>
      <c r="G107" s="25" t="s">
        <v>1404</v>
      </c>
      <c r="H107" s="25" t="s">
        <v>1404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37"/>
      <c r="AJ107" s="25"/>
      <c r="AK107" s="25"/>
      <c r="AL107" s="38"/>
      <c r="AM107" s="39"/>
      <c r="AN107" s="25"/>
      <c r="AO107" s="40"/>
      <c r="AP107" s="40"/>
    </row>
    <row r="108" ht="15.0" customHeight="1">
      <c r="A108" s="23" t="s">
        <v>133</v>
      </c>
      <c r="B108" s="25"/>
      <c r="C108" s="25"/>
      <c r="D108" s="25"/>
      <c r="E108" s="25"/>
      <c r="F108" s="25" t="s">
        <v>1403</v>
      </c>
      <c r="G108" s="25" t="s">
        <v>1404</v>
      </c>
      <c r="H108" s="25" t="s">
        <v>1404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37"/>
      <c r="AJ108" s="25"/>
      <c r="AK108" s="25"/>
      <c r="AL108" s="38"/>
      <c r="AM108" s="39"/>
      <c r="AN108" s="25"/>
      <c r="AO108" s="40"/>
      <c r="AP108" s="40"/>
    </row>
    <row r="109" ht="15.0" customHeight="1">
      <c r="A109" s="23" t="s">
        <v>134</v>
      </c>
      <c r="B109" s="25"/>
      <c r="C109" s="25"/>
      <c r="D109" s="25"/>
      <c r="E109" s="25"/>
      <c r="F109" s="25" t="s">
        <v>1403</v>
      </c>
      <c r="G109" s="25" t="s">
        <v>1404</v>
      </c>
      <c r="H109" s="25" t="s">
        <v>1404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37"/>
      <c r="AJ109" s="25"/>
      <c r="AK109" s="25"/>
      <c r="AL109" s="38"/>
      <c r="AM109" s="39"/>
      <c r="AN109" s="25"/>
      <c r="AO109" s="40"/>
      <c r="AP109" s="40"/>
    </row>
    <row r="110" ht="15.0" customHeight="1">
      <c r="A110" s="23" t="s">
        <v>135</v>
      </c>
      <c r="B110" s="25"/>
      <c r="C110" s="25"/>
      <c r="D110" s="25"/>
      <c r="E110" s="25"/>
      <c r="F110" s="25" t="s">
        <v>1403</v>
      </c>
      <c r="G110" s="25" t="s">
        <v>1404</v>
      </c>
      <c r="H110" s="25" t="s">
        <v>1404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37"/>
      <c r="AJ110" s="25"/>
      <c r="AK110" s="25"/>
      <c r="AL110" s="38"/>
      <c r="AM110" s="39"/>
      <c r="AN110" s="25"/>
      <c r="AO110" s="40"/>
      <c r="AP110" s="40"/>
    </row>
    <row r="111" ht="15.0" customHeight="1">
      <c r="A111" s="23" t="s">
        <v>136</v>
      </c>
      <c r="B111" s="25"/>
      <c r="C111" s="25"/>
      <c r="D111" s="25"/>
      <c r="E111" s="25"/>
      <c r="F111" s="25" t="s">
        <v>1403</v>
      </c>
      <c r="G111" s="25" t="s">
        <v>1404</v>
      </c>
      <c r="H111" s="25" t="s">
        <v>1404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37"/>
      <c r="AJ111" s="25"/>
      <c r="AK111" s="25"/>
      <c r="AL111" s="38"/>
      <c r="AM111" s="39"/>
      <c r="AN111" s="25"/>
      <c r="AO111" s="40"/>
      <c r="AP111" s="40"/>
    </row>
    <row r="112" ht="15.0" customHeight="1">
      <c r="A112" s="23" t="s">
        <v>137</v>
      </c>
      <c r="B112" s="25"/>
      <c r="C112" s="25"/>
      <c r="D112" s="25"/>
      <c r="E112" s="25"/>
      <c r="F112" s="25" t="s">
        <v>1403</v>
      </c>
      <c r="G112" s="25" t="s">
        <v>1404</v>
      </c>
      <c r="H112" s="25" t="s">
        <v>1404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37"/>
      <c r="AJ112" s="25"/>
      <c r="AK112" s="25"/>
      <c r="AL112" s="38"/>
      <c r="AM112" s="39"/>
      <c r="AN112" s="25"/>
      <c r="AO112" s="40"/>
      <c r="AP112" s="40"/>
    </row>
    <row r="113" ht="15.0" customHeight="1">
      <c r="A113" s="23" t="s">
        <v>138</v>
      </c>
      <c r="B113" s="25"/>
      <c r="C113" s="25"/>
      <c r="D113" s="25"/>
      <c r="E113" s="25"/>
      <c r="F113" s="25" t="s">
        <v>1403</v>
      </c>
      <c r="G113" s="25" t="s">
        <v>1404</v>
      </c>
      <c r="H113" s="25" t="s">
        <v>1404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37"/>
      <c r="AJ113" s="25"/>
      <c r="AK113" s="25"/>
      <c r="AL113" s="38"/>
      <c r="AM113" s="39"/>
      <c r="AN113" s="25"/>
      <c r="AO113" s="40"/>
      <c r="AP113" s="40"/>
    </row>
    <row r="114" ht="15.0" customHeight="1">
      <c r="A114" s="23" t="s">
        <v>139</v>
      </c>
      <c r="B114" s="25"/>
      <c r="C114" s="25"/>
      <c r="D114" s="25"/>
      <c r="E114" s="25"/>
      <c r="F114" s="25" t="s">
        <v>1403</v>
      </c>
      <c r="G114" s="25" t="s">
        <v>1404</v>
      </c>
      <c r="H114" s="25" t="s">
        <v>1404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37"/>
      <c r="AJ114" s="25"/>
      <c r="AK114" s="25"/>
      <c r="AL114" s="38"/>
      <c r="AM114" s="39"/>
      <c r="AN114" s="25"/>
      <c r="AO114" s="40"/>
      <c r="AP114" s="40"/>
    </row>
    <row r="115" ht="15.0" customHeight="1">
      <c r="A115" s="23" t="s">
        <v>140</v>
      </c>
      <c r="B115" s="25"/>
      <c r="C115" s="25"/>
      <c r="D115" s="25"/>
      <c r="E115" s="25"/>
      <c r="F115" s="25" t="s">
        <v>1403</v>
      </c>
      <c r="G115" s="25" t="s">
        <v>1404</v>
      </c>
      <c r="H115" s="25" t="s">
        <v>1404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37"/>
      <c r="AJ115" s="25"/>
      <c r="AK115" s="25"/>
      <c r="AL115" s="38"/>
      <c r="AM115" s="39"/>
      <c r="AN115" s="25"/>
      <c r="AO115" s="40"/>
      <c r="AP115" s="40"/>
    </row>
    <row r="116" ht="15.0" customHeight="1">
      <c r="A116" s="23" t="s">
        <v>141</v>
      </c>
      <c r="B116" s="25"/>
      <c r="C116" s="25"/>
      <c r="D116" s="25"/>
      <c r="E116" s="25"/>
      <c r="F116" s="25" t="s">
        <v>1403</v>
      </c>
      <c r="G116" s="25" t="s">
        <v>1404</v>
      </c>
      <c r="H116" s="25" t="s">
        <v>1404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37"/>
      <c r="AJ116" s="25"/>
      <c r="AK116" s="25"/>
      <c r="AL116" s="38"/>
      <c r="AM116" s="39"/>
      <c r="AN116" s="25"/>
      <c r="AO116" s="40"/>
      <c r="AP116" s="40"/>
    </row>
    <row r="117" ht="15.0" customHeight="1">
      <c r="A117" s="23" t="s">
        <v>142</v>
      </c>
      <c r="B117" s="25"/>
      <c r="C117" s="25"/>
      <c r="D117" s="25"/>
      <c r="E117" s="25"/>
      <c r="F117" s="25" t="s">
        <v>1403</v>
      </c>
      <c r="G117" s="25" t="s">
        <v>1404</v>
      </c>
      <c r="H117" s="25" t="s">
        <v>1404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37"/>
      <c r="AJ117" s="25"/>
      <c r="AK117" s="25"/>
      <c r="AL117" s="38"/>
      <c r="AM117" s="39"/>
      <c r="AN117" s="25"/>
      <c r="AO117" s="40"/>
      <c r="AP117" s="40"/>
    </row>
    <row r="118" ht="15.0" customHeight="1">
      <c r="A118" s="23" t="s">
        <v>143</v>
      </c>
      <c r="B118" s="25"/>
      <c r="C118" s="25"/>
      <c r="D118" s="25"/>
      <c r="E118" s="25"/>
      <c r="F118" s="25" t="s">
        <v>1403</v>
      </c>
      <c r="G118" s="25" t="s">
        <v>1404</v>
      </c>
      <c r="H118" s="25" t="s">
        <v>1404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37"/>
      <c r="AJ118" s="25"/>
      <c r="AK118" s="25"/>
      <c r="AL118" s="38"/>
      <c r="AM118" s="39"/>
      <c r="AN118" s="25"/>
      <c r="AO118" s="40"/>
      <c r="AP118" s="40"/>
    </row>
    <row r="119" ht="15.0" customHeight="1">
      <c r="A119" s="23" t="s">
        <v>144</v>
      </c>
      <c r="B119" s="25"/>
      <c r="C119" s="25"/>
      <c r="D119" s="25"/>
      <c r="E119" s="25"/>
      <c r="F119" s="25" t="s">
        <v>1403</v>
      </c>
      <c r="G119" s="25" t="s">
        <v>1404</v>
      </c>
      <c r="H119" s="25" t="s">
        <v>1404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37"/>
      <c r="AJ119" s="25"/>
      <c r="AK119" s="25"/>
      <c r="AL119" s="38"/>
      <c r="AM119" s="39"/>
      <c r="AN119" s="25"/>
      <c r="AO119" s="40"/>
      <c r="AP119" s="40"/>
    </row>
    <row r="120" ht="15.0" customHeight="1">
      <c r="A120" s="23" t="s">
        <v>145</v>
      </c>
      <c r="B120" s="25"/>
      <c r="C120" s="25"/>
      <c r="D120" s="25"/>
      <c r="E120" s="25"/>
      <c r="F120" s="25" t="s">
        <v>1403</v>
      </c>
      <c r="G120" s="25" t="s">
        <v>1404</v>
      </c>
      <c r="H120" s="25" t="s">
        <v>1404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37"/>
      <c r="AJ120" s="25"/>
      <c r="AK120" s="25"/>
      <c r="AL120" s="38"/>
      <c r="AM120" s="39"/>
      <c r="AN120" s="25"/>
      <c r="AO120" s="40"/>
      <c r="AP120" s="40"/>
    </row>
    <row r="121" ht="15.0" customHeight="1">
      <c r="A121" s="23" t="s">
        <v>146</v>
      </c>
      <c r="B121" s="25"/>
      <c r="C121" s="25"/>
      <c r="D121" s="25"/>
      <c r="E121" s="25"/>
      <c r="F121" s="25" t="s">
        <v>1403</v>
      </c>
      <c r="G121" s="25" t="s">
        <v>1404</v>
      </c>
      <c r="H121" s="25" t="s">
        <v>1404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37"/>
      <c r="AJ121" s="25"/>
      <c r="AK121" s="25"/>
      <c r="AL121" s="38"/>
      <c r="AM121" s="39"/>
      <c r="AN121" s="25"/>
      <c r="AO121" s="40"/>
      <c r="AP121" s="40"/>
    </row>
    <row r="122" ht="15.0" customHeight="1">
      <c r="A122" s="23" t="s">
        <v>147</v>
      </c>
      <c r="B122" s="25"/>
      <c r="C122" s="25"/>
      <c r="D122" s="25"/>
      <c r="E122" s="25"/>
      <c r="F122" s="25" t="s">
        <v>1403</v>
      </c>
      <c r="G122" s="25" t="s">
        <v>1404</v>
      </c>
      <c r="H122" s="25" t="s">
        <v>1404</v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37"/>
      <c r="AJ122" s="25"/>
      <c r="AK122" s="25"/>
      <c r="AL122" s="38"/>
      <c r="AM122" s="39"/>
      <c r="AN122" s="25"/>
      <c r="AO122" s="40"/>
      <c r="AP122" s="40"/>
    </row>
    <row r="123" ht="15.0" customHeight="1">
      <c r="A123" s="23" t="s">
        <v>148</v>
      </c>
      <c r="B123" s="25"/>
      <c r="C123" s="25"/>
      <c r="D123" s="25"/>
      <c r="E123" s="25"/>
      <c r="F123" s="25" t="s">
        <v>1403</v>
      </c>
      <c r="G123" s="25" t="s">
        <v>1404</v>
      </c>
      <c r="H123" s="25" t="s">
        <v>1404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37"/>
      <c r="AJ123" s="25"/>
      <c r="AK123" s="25"/>
      <c r="AL123" s="38"/>
      <c r="AM123" s="39"/>
      <c r="AN123" s="25"/>
      <c r="AO123" s="40"/>
      <c r="AP123" s="40"/>
    </row>
    <row r="124" ht="15.0" customHeight="1">
      <c r="A124" s="23" t="s">
        <v>149</v>
      </c>
      <c r="B124" s="25"/>
      <c r="C124" s="25"/>
      <c r="D124" s="25"/>
      <c r="E124" s="25"/>
      <c r="F124" s="25" t="s">
        <v>1403</v>
      </c>
      <c r="G124" s="25" t="s">
        <v>1404</v>
      </c>
      <c r="H124" s="25" t="s">
        <v>1404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37"/>
      <c r="AJ124" s="25"/>
      <c r="AK124" s="25"/>
      <c r="AL124" s="38"/>
      <c r="AM124" s="39"/>
      <c r="AN124" s="25"/>
      <c r="AO124" s="40"/>
      <c r="AP124" s="40"/>
    </row>
    <row r="125" ht="15.0" customHeight="1">
      <c r="A125" s="23" t="s">
        <v>150</v>
      </c>
      <c r="B125" s="25"/>
      <c r="C125" s="25"/>
      <c r="D125" s="25"/>
      <c r="E125" s="25"/>
      <c r="F125" s="25" t="s">
        <v>1403</v>
      </c>
      <c r="G125" s="25" t="s">
        <v>1404</v>
      </c>
      <c r="H125" s="25" t="s">
        <v>1404</v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37"/>
      <c r="AJ125" s="25"/>
      <c r="AK125" s="25"/>
      <c r="AL125" s="38"/>
      <c r="AM125" s="39"/>
      <c r="AN125" s="25"/>
      <c r="AO125" s="40"/>
      <c r="AP125" s="40"/>
    </row>
    <row r="126" ht="15.0" customHeight="1">
      <c r="A126" s="23" t="s">
        <v>151</v>
      </c>
      <c r="B126" s="25"/>
      <c r="C126" s="25"/>
      <c r="D126" s="25"/>
      <c r="E126" s="25"/>
      <c r="F126" s="25" t="s">
        <v>1403</v>
      </c>
      <c r="G126" s="25" t="s">
        <v>1404</v>
      </c>
      <c r="H126" s="25" t="s">
        <v>1404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37"/>
      <c r="AJ126" s="25"/>
      <c r="AK126" s="25"/>
      <c r="AL126" s="38"/>
      <c r="AM126" s="39"/>
      <c r="AN126" s="25"/>
      <c r="AO126" s="40"/>
      <c r="AP126" s="40"/>
    </row>
    <row r="127" ht="15.0" customHeight="1">
      <c r="A127" s="23" t="s">
        <v>152</v>
      </c>
      <c r="B127" s="25"/>
      <c r="C127" s="25"/>
      <c r="D127" s="25"/>
      <c r="E127" s="25"/>
      <c r="F127" s="25" t="s">
        <v>1403</v>
      </c>
      <c r="G127" s="25" t="s">
        <v>1404</v>
      </c>
      <c r="H127" s="25" t="s">
        <v>1404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37"/>
      <c r="AJ127" s="25"/>
      <c r="AK127" s="25"/>
      <c r="AL127" s="38"/>
      <c r="AM127" s="39"/>
      <c r="AN127" s="25"/>
      <c r="AO127" s="40"/>
      <c r="AP127" s="40"/>
    </row>
    <row r="128" ht="15.0" customHeight="1">
      <c r="A128" s="23" t="s">
        <v>153</v>
      </c>
      <c r="B128" s="25"/>
      <c r="C128" s="25"/>
      <c r="D128" s="25"/>
      <c r="E128" s="25"/>
      <c r="F128" s="25" t="s">
        <v>1403</v>
      </c>
      <c r="G128" s="25" t="s">
        <v>1404</v>
      </c>
      <c r="H128" s="25" t="s">
        <v>1404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37"/>
      <c r="AJ128" s="25"/>
      <c r="AK128" s="25"/>
      <c r="AL128" s="38"/>
      <c r="AM128" s="39"/>
      <c r="AN128" s="25"/>
      <c r="AO128" s="40"/>
      <c r="AP128" s="40"/>
    </row>
    <row r="129" ht="15.0" customHeight="1">
      <c r="A129" s="23" t="s">
        <v>154</v>
      </c>
      <c r="B129" s="25"/>
      <c r="C129" s="25"/>
      <c r="D129" s="25"/>
      <c r="E129" s="25"/>
      <c r="F129" s="25" t="s">
        <v>1403</v>
      </c>
      <c r="G129" s="25" t="s">
        <v>1404</v>
      </c>
      <c r="H129" s="25" t="s">
        <v>1404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37"/>
      <c r="AJ129" s="25"/>
      <c r="AK129" s="25"/>
      <c r="AL129" s="38"/>
      <c r="AM129" s="39"/>
      <c r="AN129" s="25"/>
      <c r="AO129" s="40"/>
      <c r="AP129" s="40"/>
    </row>
    <row r="130" ht="15.0" customHeight="1">
      <c r="A130" s="23" t="s">
        <v>155</v>
      </c>
      <c r="B130" s="25"/>
      <c r="C130" s="25"/>
      <c r="D130" s="25"/>
      <c r="E130" s="25"/>
      <c r="F130" s="25" t="s">
        <v>1403</v>
      </c>
      <c r="G130" s="25" t="s">
        <v>1404</v>
      </c>
      <c r="H130" s="25" t="s">
        <v>1404</v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37"/>
      <c r="AJ130" s="25"/>
      <c r="AK130" s="25"/>
      <c r="AL130" s="38"/>
      <c r="AM130" s="39"/>
      <c r="AN130" s="25"/>
      <c r="AO130" s="40"/>
      <c r="AP130" s="40"/>
    </row>
    <row r="131" ht="15.0" customHeight="1">
      <c r="A131" s="23" t="s">
        <v>156</v>
      </c>
      <c r="B131" s="25"/>
      <c r="C131" s="25"/>
      <c r="D131" s="25"/>
      <c r="E131" s="25"/>
      <c r="F131" s="25" t="s">
        <v>1403</v>
      </c>
      <c r="G131" s="25" t="s">
        <v>1404</v>
      </c>
      <c r="H131" s="25" t="s">
        <v>1404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37"/>
      <c r="AJ131" s="25"/>
      <c r="AK131" s="25"/>
      <c r="AL131" s="38"/>
      <c r="AM131" s="39"/>
      <c r="AN131" s="25"/>
      <c r="AO131" s="40"/>
      <c r="AP131" s="40"/>
    </row>
    <row r="132" ht="15.0" customHeight="1">
      <c r="A132" s="23" t="s">
        <v>157</v>
      </c>
      <c r="B132" s="25"/>
      <c r="C132" s="25"/>
      <c r="D132" s="25"/>
      <c r="E132" s="25"/>
      <c r="F132" s="25" t="s">
        <v>1403</v>
      </c>
      <c r="G132" s="25" t="s">
        <v>1404</v>
      </c>
      <c r="H132" s="25" t="s">
        <v>1404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37"/>
      <c r="AJ132" s="25"/>
      <c r="AK132" s="25"/>
      <c r="AL132" s="38"/>
      <c r="AM132" s="39"/>
      <c r="AN132" s="25"/>
      <c r="AO132" s="40"/>
      <c r="AP132" s="40"/>
    </row>
    <row r="133" ht="15.0" customHeight="1">
      <c r="A133" s="23" t="s">
        <v>158</v>
      </c>
      <c r="B133" s="25"/>
      <c r="C133" s="25"/>
      <c r="D133" s="25"/>
      <c r="E133" s="25"/>
      <c r="F133" s="25" t="s">
        <v>1403</v>
      </c>
      <c r="G133" s="25" t="s">
        <v>1404</v>
      </c>
      <c r="H133" s="25" t="s">
        <v>1404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37"/>
      <c r="AJ133" s="25"/>
      <c r="AK133" s="25"/>
      <c r="AL133" s="38"/>
      <c r="AM133" s="39"/>
      <c r="AN133" s="25"/>
      <c r="AO133" s="40"/>
      <c r="AP133" s="40"/>
    </row>
    <row r="134" ht="15.0" customHeight="1">
      <c r="A134" s="23" t="s">
        <v>159</v>
      </c>
      <c r="B134" s="25"/>
      <c r="C134" s="25"/>
      <c r="D134" s="25"/>
      <c r="E134" s="25"/>
      <c r="F134" s="25" t="s">
        <v>1403</v>
      </c>
      <c r="G134" s="25" t="s">
        <v>1404</v>
      </c>
      <c r="H134" s="25" t="s">
        <v>1404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37"/>
      <c r="AJ134" s="25"/>
      <c r="AK134" s="25"/>
      <c r="AL134" s="38"/>
      <c r="AM134" s="39"/>
      <c r="AN134" s="25"/>
      <c r="AO134" s="40"/>
      <c r="AP134" s="40"/>
    </row>
    <row r="135" ht="15.0" customHeight="1">
      <c r="A135" s="23" t="s">
        <v>160</v>
      </c>
      <c r="B135" s="25"/>
      <c r="C135" s="25"/>
      <c r="D135" s="25"/>
      <c r="E135" s="25"/>
      <c r="F135" s="25" t="s">
        <v>1403</v>
      </c>
      <c r="G135" s="25" t="s">
        <v>1404</v>
      </c>
      <c r="H135" s="25" t="s">
        <v>1404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37"/>
      <c r="AJ135" s="25"/>
      <c r="AK135" s="25"/>
      <c r="AL135" s="38"/>
      <c r="AM135" s="39"/>
      <c r="AN135" s="25"/>
      <c r="AO135" s="40"/>
      <c r="AP135" s="40"/>
    </row>
    <row r="136" ht="15.0" customHeight="1">
      <c r="A136" s="23" t="s">
        <v>161</v>
      </c>
      <c r="B136" s="25"/>
      <c r="C136" s="25"/>
      <c r="D136" s="25"/>
      <c r="E136" s="25"/>
      <c r="F136" s="25" t="s">
        <v>1403</v>
      </c>
      <c r="G136" s="25" t="s">
        <v>1404</v>
      </c>
      <c r="H136" s="25" t="s">
        <v>1404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37"/>
      <c r="AJ136" s="25"/>
      <c r="AK136" s="25"/>
      <c r="AL136" s="38"/>
      <c r="AM136" s="39"/>
      <c r="AN136" s="25"/>
      <c r="AO136" s="40"/>
      <c r="AP136" s="40"/>
    </row>
    <row r="137" ht="15.0" customHeight="1">
      <c r="A137" s="23" t="s">
        <v>162</v>
      </c>
      <c r="B137" s="25"/>
      <c r="C137" s="25"/>
      <c r="D137" s="25"/>
      <c r="E137" s="25"/>
      <c r="F137" s="25" t="s">
        <v>1403</v>
      </c>
      <c r="G137" s="25" t="s">
        <v>1404</v>
      </c>
      <c r="H137" s="25" t="s">
        <v>1404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37"/>
      <c r="AJ137" s="25"/>
      <c r="AK137" s="25"/>
      <c r="AL137" s="38"/>
      <c r="AM137" s="39"/>
      <c r="AN137" s="25"/>
      <c r="AO137" s="40"/>
      <c r="AP137" s="40"/>
    </row>
    <row r="138" ht="15.0" customHeight="1">
      <c r="A138" s="23" t="s">
        <v>163</v>
      </c>
      <c r="B138" s="25"/>
      <c r="C138" s="25"/>
      <c r="D138" s="25"/>
      <c r="E138" s="25"/>
      <c r="F138" s="25" t="s">
        <v>1403</v>
      </c>
      <c r="G138" s="25" t="s">
        <v>1404</v>
      </c>
      <c r="H138" s="25" t="s">
        <v>1404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37"/>
      <c r="AJ138" s="25"/>
      <c r="AK138" s="25"/>
      <c r="AL138" s="38"/>
      <c r="AM138" s="39"/>
      <c r="AN138" s="25"/>
      <c r="AO138" s="40"/>
      <c r="AP138" s="40"/>
    </row>
    <row r="139" ht="15.0" customHeight="1">
      <c r="A139" s="23" t="s">
        <v>164</v>
      </c>
      <c r="B139" s="25"/>
      <c r="C139" s="25"/>
      <c r="D139" s="25"/>
      <c r="E139" s="25"/>
      <c r="F139" s="25" t="s">
        <v>1403</v>
      </c>
      <c r="G139" s="25" t="s">
        <v>1404</v>
      </c>
      <c r="H139" s="25" t="s">
        <v>1404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37"/>
      <c r="AJ139" s="25"/>
      <c r="AK139" s="25"/>
      <c r="AL139" s="38"/>
      <c r="AM139" s="39"/>
      <c r="AN139" s="25"/>
      <c r="AO139" s="40"/>
      <c r="AP139" s="40"/>
    </row>
    <row r="140" ht="15.0" customHeight="1">
      <c r="A140" s="23" t="s">
        <v>165</v>
      </c>
      <c r="B140" s="25"/>
      <c r="C140" s="25"/>
      <c r="D140" s="25"/>
      <c r="E140" s="25"/>
      <c r="F140" s="25" t="s">
        <v>1403</v>
      </c>
      <c r="G140" s="25" t="s">
        <v>1404</v>
      </c>
      <c r="H140" s="25" t="s">
        <v>1404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37"/>
      <c r="AJ140" s="25"/>
      <c r="AK140" s="25"/>
      <c r="AL140" s="38"/>
      <c r="AM140" s="39"/>
      <c r="AN140" s="25"/>
      <c r="AO140" s="40"/>
      <c r="AP140" s="40"/>
    </row>
    <row r="141" ht="15.0" customHeight="1">
      <c r="A141" s="23" t="s">
        <v>166</v>
      </c>
      <c r="B141" s="25"/>
      <c r="C141" s="25"/>
      <c r="D141" s="25"/>
      <c r="E141" s="25"/>
      <c r="F141" s="25" t="s">
        <v>1403</v>
      </c>
      <c r="G141" s="25" t="s">
        <v>1404</v>
      </c>
      <c r="H141" s="25" t="s">
        <v>1404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37"/>
      <c r="AJ141" s="25"/>
      <c r="AK141" s="25"/>
      <c r="AL141" s="38"/>
      <c r="AM141" s="39"/>
      <c r="AN141" s="25"/>
      <c r="AO141" s="40"/>
      <c r="AP141" s="40"/>
    </row>
    <row r="142" ht="15.0" customHeight="1">
      <c r="A142" s="23" t="s">
        <v>167</v>
      </c>
      <c r="B142" s="25"/>
      <c r="C142" s="25"/>
      <c r="D142" s="25"/>
      <c r="E142" s="25"/>
      <c r="F142" s="25" t="s">
        <v>1403</v>
      </c>
      <c r="G142" s="25" t="s">
        <v>1404</v>
      </c>
      <c r="H142" s="25" t="s">
        <v>1404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37"/>
      <c r="AJ142" s="25"/>
      <c r="AK142" s="25"/>
      <c r="AL142" s="38"/>
      <c r="AM142" s="39"/>
      <c r="AN142" s="25"/>
      <c r="AO142" s="40"/>
      <c r="AP142" s="40"/>
    </row>
    <row r="143" ht="15.0" customHeight="1">
      <c r="A143" s="23" t="s">
        <v>168</v>
      </c>
      <c r="B143" s="25"/>
      <c r="C143" s="25"/>
      <c r="D143" s="25"/>
      <c r="E143" s="25"/>
      <c r="F143" s="25" t="s">
        <v>1403</v>
      </c>
      <c r="G143" s="25" t="s">
        <v>1404</v>
      </c>
      <c r="H143" s="25" t="s">
        <v>1404</v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37"/>
      <c r="AJ143" s="25"/>
      <c r="AK143" s="25"/>
      <c r="AL143" s="38"/>
      <c r="AM143" s="39"/>
      <c r="AN143" s="25"/>
      <c r="AO143" s="40"/>
      <c r="AP143" s="40"/>
    </row>
    <row r="144" ht="15.0" customHeight="1">
      <c r="A144" s="23" t="s">
        <v>169</v>
      </c>
      <c r="B144" s="25"/>
      <c r="C144" s="25"/>
      <c r="D144" s="25"/>
      <c r="E144" s="25"/>
      <c r="F144" s="25" t="s">
        <v>1403</v>
      </c>
      <c r="G144" s="25" t="s">
        <v>1404</v>
      </c>
      <c r="H144" s="25" t="s">
        <v>1404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37"/>
      <c r="AJ144" s="25"/>
      <c r="AK144" s="25"/>
      <c r="AL144" s="38"/>
      <c r="AM144" s="39"/>
      <c r="AN144" s="25"/>
      <c r="AO144" s="40"/>
      <c r="AP144" s="40"/>
    </row>
    <row r="145" ht="15.0" customHeight="1">
      <c r="A145" s="23" t="s">
        <v>170</v>
      </c>
      <c r="B145" s="25"/>
      <c r="C145" s="25"/>
      <c r="D145" s="25"/>
      <c r="E145" s="25"/>
      <c r="F145" s="25" t="s">
        <v>1403</v>
      </c>
      <c r="G145" s="25" t="s">
        <v>1404</v>
      </c>
      <c r="H145" s="25" t="s">
        <v>1404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37"/>
      <c r="AJ145" s="25"/>
      <c r="AK145" s="25"/>
      <c r="AL145" s="38"/>
      <c r="AM145" s="39"/>
      <c r="AN145" s="25"/>
      <c r="AO145" s="40"/>
      <c r="AP145" s="40"/>
    </row>
    <row r="146" ht="15.0" customHeight="1">
      <c r="A146" s="23" t="s">
        <v>171</v>
      </c>
      <c r="B146" s="25"/>
      <c r="C146" s="25"/>
      <c r="D146" s="25"/>
      <c r="E146" s="25"/>
      <c r="F146" s="25" t="s">
        <v>1403</v>
      </c>
      <c r="G146" s="25" t="s">
        <v>1404</v>
      </c>
      <c r="H146" s="25" t="s">
        <v>1404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37"/>
      <c r="AJ146" s="25"/>
      <c r="AK146" s="25"/>
      <c r="AL146" s="38"/>
      <c r="AM146" s="39"/>
      <c r="AN146" s="25"/>
      <c r="AO146" s="40"/>
      <c r="AP146" s="40"/>
    </row>
    <row r="147" ht="15.0" customHeight="1">
      <c r="A147" s="23" t="s">
        <v>172</v>
      </c>
      <c r="B147" s="25"/>
      <c r="C147" s="25"/>
      <c r="D147" s="25"/>
      <c r="E147" s="25"/>
      <c r="F147" s="25" t="s">
        <v>1403</v>
      </c>
      <c r="G147" s="25" t="s">
        <v>1404</v>
      </c>
      <c r="H147" s="25" t="s">
        <v>1404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37"/>
      <c r="AJ147" s="25"/>
      <c r="AK147" s="25"/>
      <c r="AL147" s="38"/>
      <c r="AM147" s="39"/>
      <c r="AN147" s="25"/>
      <c r="AO147" s="40"/>
      <c r="AP147" s="40"/>
    </row>
    <row r="148" ht="15.0" customHeight="1">
      <c r="A148" s="23" t="s">
        <v>173</v>
      </c>
      <c r="B148" s="25"/>
      <c r="C148" s="25"/>
      <c r="D148" s="25"/>
      <c r="E148" s="25"/>
      <c r="F148" s="25" t="s">
        <v>1403</v>
      </c>
      <c r="G148" s="25" t="s">
        <v>1404</v>
      </c>
      <c r="H148" s="25" t="s">
        <v>1404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37"/>
      <c r="AJ148" s="25"/>
      <c r="AK148" s="25"/>
      <c r="AL148" s="38"/>
      <c r="AM148" s="39"/>
      <c r="AN148" s="25"/>
      <c r="AO148" s="40"/>
      <c r="AP148" s="40"/>
    </row>
    <row r="149" ht="15.0" customHeight="1">
      <c r="A149" s="23" t="s">
        <v>174</v>
      </c>
      <c r="B149" s="25"/>
      <c r="C149" s="25"/>
      <c r="D149" s="25"/>
      <c r="E149" s="25"/>
      <c r="F149" s="25" t="s">
        <v>1403</v>
      </c>
      <c r="G149" s="25" t="s">
        <v>1404</v>
      </c>
      <c r="H149" s="25" t="s">
        <v>1404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37"/>
      <c r="AJ149" s="25"/>
      <c r="AK149" s="25"/>
      <c r="AL149" s="38"/>
      <c r="AM149" s="39"/>
      <c r="AN149" s="25"/>
      <c r="AO149" s="40"/>
      <c r="AP149" s="40"/>
    </row>
    <row r="150" ht="15.0" customHeight="1">
      <c r="A150" s="23" t="s">
        <v>175</v>
      </c>
      <c r="B150" s="25"/>
      <c r="C150" s="25"/>
      <c r="D150" s="25"/>
      <c r="E150" s="25"/>
      <c r="F150" s="25" t="s">
        <v>1403</v>
      </c>
      <c r="G150" s="25" t="s">
        <v>1404</v>
      </c>
      <c r="H150" s="25" t="s">
        <v>1404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37"/>
      <c r="AJ150" s="25"/>
      <c r="AK150" s="25"/>
      <c r="AL150" s="38"/>
      <c r="AM150" s="39"/>
      <c r="AN150" s="25"/>
      <c r="AO150" s="40"/>
      <c r="AP150" s="40"/>
    </row>
    <row r="151" ht="15.0" customHeight="1">
      <c r="A151" s="23" t="s">
        <v>176</v>
      </c>
      <c r="B151" s="25"/>
      <c r="C151" s="25"/>
      <c r="D151" s="25"/>
      <c r="E151" s="25"/>
      <c r="F151" s="25" t="s">
        <v>1403</v>
      </c>
      <c r="G151" s="25" t="s">
        <v>1404</v>
      </c>
      <c r="H151" s="25" t="s">
        <v>1404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37"/>
      <c r="AJ151" s="25"/>
      <c r="AK151" s="25"/>
      <c r="AL151" s="38"/>
      <c r="AM151" s="39"/>
      <c r="AN151" s="25"/>
      <c r="AO151" s="40"/>
      <c r="AP151" s="40"/>
    </row>
    <row r="152" ht="15.0" customHeight="1">
      <c r="A152" s="23" t="s">
        <v>177</v>
      </c>
      <c r="B152" s="25"/>
      <c r="C152" s="25"/>
      <c r="D152" s="25"/>
      <c r="E152" s="25"/>
      <c r="F152" s="25" t="s">
        <v>1403</v>
      </c>
      <c r="G152" s="25" t="s">
        <v>1404</v>
      </c>
      <c r="H152" s="25" t="s">
        <v>1404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37"/>
      <c r="AJ152" s="25"/>
      <c r="AK152" s="25"/>
      <c r="AL152" s="38"/>
      <c r="AM152" s="39"/>
      <c r="AN152" s="25"/>
      <c r="AO152" s="40"/>
      <c r="AP152" s="40"/>
    </row>
    <row r="153" ht="15.0" customHeight="1">
      <c r="A153" s="23" t="s">
        <v>178</v>
      </c>
      <c r="B153" s="25"/>
      <c r="C153" s="25"/>
      <c r="D153" s="25"/>
      <c r="E153" s="25"/>
      <c r="F153" s="25" t="s">
        <v>1403</v>
      </c>
      <c r="G153" s="25" t="s">
        <v>1404</v>
      </c>
      <c r="H153" s="25" t="s">
        <v>1404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37"/>
      <c r="AJ153" s="25"/>
      <c r="AK153" s="25"/>
      <c r="AL153" s="38"/>
      <c r="AM153" s="39"/>
      <c r="AN153" s="25"/>
      <c r="AO153" s="40"/>
      <c r="AP153" s="40"/>
    </row>
    <row r="154" ht="15.0" customHeight="1">
      <c r="A154" s="23" t="s">
        <v>179</v>
      </c>
      <c r="B154" s="25"/>
      <c r="C154" s="25"/>
      <c r="D154" s="25"/>
      <c r="E154" s="25"/>
      <c r="F154" s="25" t="s">
        <v>1403</v>
      </c>
      <c r="G154" s="25" t="s">
        <v>1404</v>
      </c>
      <c r="H154" s="25" t="s">
        <v>1404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37"/>
      <c r="AJ154" s="25"/>
      <c r="AK154" s="25"/>
      <c r="AL154" s="38"/>
      <c r="AM154" s="39"/>
      <c r="AN154" s="25"/>
      <c r="AO154" s="40"/>
      <c r="AP154" s="40"/>
    </row>
    <row r="155" ht="15.0" customHeight="1">
      <c r="A155" s="23" t="s">
        <v>180</v>
      </c>
      <c r="B155" s="25"/>
      <c r="C155" s="25"/>
      <c r="D155" s="25"/>
      <c r="E155" s="25"/>
      <c r="F155" s="25" t="s">
        <v>1403</v>
      </c>
      <c r="G155" s="25" t="s">
        <v>1404</v>
      </c>
      <c r="H155" s="25" t="s">
        <v>1404</v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37"/>
      <c r="AJ155" s="25"/>
      <c r="AK155" s="25"/>
      <c r="AL155" s="38"/>
      <c r="AM155" s="39"/>
      <c r="AN155" s="25"/>
      <c r="AO155" s="40"/>
      <c r="AP155" s="40"/>
    </row>
    <row r="156" ht="15.0" customHeight="1">
      <c r="A156" s="23" t="s">
        <v>181</v>
      </c>
      <c r="B156" s="25"/>
      <c r="C156" s="25"/>
      <c r="D156" s="25"/>
      <c r="E156" s="25"/>
      <c r="F156" s="25" t="s">
        <v>1403</v>
      </c>
      <c r="G156" s="25" t="s">
        <v>1404</v>
      </c>
      <c r="H156" s="25" t="s">
        <v>1404</v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37"/>
      <c r="AJ156" s="25"/>
      <c r="AK156" s="25"/>
      <c r="AL156" s="38"/>
      <c r="AM156" s="39"/>
      <c r="AN156" s="25"/>
      <c r="AO156" s="40"/>
      <c r="AP156" s="40"/>
    </row>
    <row r="157" ht="15.0" customHeight="1">
      <c r="A157" s="23" t="s">
        <v>182</v>
      </c>
      <c r="B157" s="25"/>
      <c r="C157" s="25"/>
      <c r="D157" s="25"/>
      <c r="E157" s="25"/>
      <c r="F157" s="25" t="s">
        <v>1403</v>
      </c>
      <c r="G157" s="25" t="s">
        <v>1404</v>
      </c>
      <c r="H157" s="25" t="s">
        <v>1404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37"/>
      <c r="AJ157" s="25"/>
      <c r="AK157" s="25"/>
      <c r="AL157" s="38"/>
      <c r="AM157" s="39"/>
      <c r="AN157" s="25"/>
      <c r="AO157" s="40"/>
      <c r="AP157" s="40"/>
    </row>
    <row r="158" ht="15.0" customHeight="1">
      <c r="A158" s="23" t="s">
        <v>183</v>
      </c>
      <c r="B158" s="25"/>
      <c r="C158" s="25"/>
      <c r="D158" s="25"/>
      <c r="E158" s="25"/>
      <c r="F158" s="25" t="s">
        <v>1403</v>
      </c>
      <c r="G158" s="25" t="s">
        <v>1404</v>
      </c>
      <c r="H158" s="25" t="s">
        <v>1404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37"/>
      <c r="AJ158" s="25"/>
      <c r="AK158" s="25"/>
      <c r="AL158" s="38"/>
      <c r="AM158" s="39"/>
      <c r="AN158" s="25"/>
      <c r="AO158" s="40"/>
      <c r="AP158" s="40"/>
    </row>
    <row r="159" ht="15.0" customHeight="1">
      <c r="A159" s="23" t="s">
        <v>184</v>
      </c>
      <c r="B159" s="25"/>
      <c r="C159" s="25"/>
      <c r="D159" s="25"/>
      <c r="E159" s="25"/>
      <c r="F159" s="25" t="s">
        <v>1403</v>
      </c>
      <c r="G159" s="25" t="s">
        <v>1404</v>
      </c>
      <c r="H159" s="25" t="s">
        <v>1404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37"/>
      <c r="AJ159" s="25"/>
      <c r="AK159" s="25"/>
      <c r="AL159" s="38"/>
      <c r="AM159" s="39"/>
      <c r="AN159" s="25"/>
      <c r="AO159" s="40"/>
      <c r="AP159" s="40"/>
    </row>
    <row r="160" ht="15.0" customHeight="1">
      <c r="A160" s="23" t="s">
        <v>185</v>
      </c>
      <c r="B160" s="25"/>
      <c r="C160" s="25"/>
      <c r="D160" s="25"/>
      <c r="E160" s="25"/>
      <c r="F160" s="25" t="s">
        <v>1403</v>
      </c>
      <c r="G160" s="25" t="s">
        <v>1404</v>
      </c>
      <c r="H160" s="25" t="s">
        <v>1404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37"/>
      <c r="AJ160" s="25"/>
      <c r="AK160" s="25"/>
      <c r="AL160" s="38"/>
      <c r="AM160" s="39"/>
      <c r="AN160" s="25"/>
      <c r="AO160" s="40"/>
      <c r="AP160" s="40"/>
    </row>
    <row r="161" ht="15.0" customHeight="1">
      <c r="A161" s="23" t="s">
        <v>186</v>
      </c>
      <c r="B161" s="25"/>
      <c r="C161" s="25"/>
      <c r="D161" s="25"/>
      <c r="E161" s="25"/>
      <c r="F161" s="25" t="s">
        <v>1403</v>
      </c>
      <c r="G161" s="25" t="s">
        <v>1404</v>
      </c>
      <c r="H161" s="25" t="s">
        <v>1404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37"/>
      <c r="AJ161" s="25"/>
      <c r="AK161" s="25"/>
      <c r="AL161" s="38"/>
      <c r="AM161" s="39"/>
      <c r="AN161" s="25"/>
      <c r="AO161" s="40"/>
      <c r="AP161" s="40"/>
    </row>
    <row r="162" ht="15.0" customHeight="1">
      <c r="A162" s="23" t="s">
        <v>187</v>
      </c>
      <c r="B162" s="25"/>
      <c r="C162" s="25"/>
      <c r="D162" s="25"/>
      <c r="E162" s="25"/>
      <c r="F162" s="25" t="s">
        <v>1403</v>
      </c>
      <c r="G162" s="25" t="s">
        <v>1404</v>
      </c>
      <c r="H162" s="25" t="s">
        <v>1404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37"/>
      <c r="AJ162" s="25"/>
      <c r="AK162" s="25"/>
      <c r="AL162" s="38"/>
      <c r="AM162" s="39"/>
      <c r="AN162" s="25"/>
      <c r="AO162" s="40"/>
      <c r="AP162" s="40"/>
    </row>
    <row r="163" ht="15.0" customHeight="1">
      <c r="A163" s="23" t="s">
        <v>188</v>
      </c>
      <c r="B163" s="25"/>
      <c r="C163" s="25"/>
      <c r="D163" s="25"/>
      <c r="E163" s="25"/>
      <c r="F163" s="25" t="s">
        <v>1403</v>
      </c>
      <c r="G163" s="25" t="s">
        <v>1404</v>
      </c>
      <c r="H163" s="25" t="s">
        <v>1404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37"/>
      <c r="AJ163" s="25"/>
      <c r="AK163" s="25"/>
      <c r="AL163" s="38"/>
      <c r="AM163" s="39"/>
      <c r="AN163" s="25"/>
      <c r="AO163" s="40"/>
      <c r="AP163" s="40"/>
    </row>
    <row r="164" ht="15.0" customHeight="1">
      <c r="A164" s="23" t="s">
        <v>189</v>
      </c>
      <c r="B164" s="25"/>
      <c r="C164" s="25"/>
      <c r="D164" s="25"/>
      <c r="E164" s="25"/>
      <c r="F164" s="25" t="s">
        <v>1403</v>
      </c>
      <c r="G164" s="25" t="s">
        <v>1404</v>
      </c>
      <c r="H164" s="25" t="s">
        <v>1404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37"/>
      <c r="AJ164" s="25"/>
      <c r="AK164" s="25"/>
      <c r="AL164" s="38"/>
      <c r="AM164" s="39"/>
      <c r="AN164" s="25"/>
      <c r="AO164" s="40"/>
      <c r="AP164" s="40"/>
    </row>
    <row r="165" ht="15.0" customHeight="1">
      <c r="A165" s="23" t="s">
        <v>190</v>
      </c>
      <c r="B165" s="25"/>
      <c r="C165" s="25"/>
      <c r="D165" s="25"/>
      <c r="E165" s="25"/>
      <c r="F165" s="25" t="s">
        <v>1403</v>
      </c>
      <c r="G165" s="25" t="s">
        <v>1404</v>
      </c>
      <c r="H165" s="25" t="s">
        <v>1404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37"/>
      <c r="AJ165" s="25"/>
      <c r="AK165" s="25"/>
      <c r="AL165" s="38"/>
      <c r="AM165" s="39"/>
      <c r="AN165" s="25"/>
      <c r="AO165" s="40"/>
      <c r="AP165" s="40"/>
    </row>
    <row r="166" ht="15.0" customHeight="1">
      <c r="A166" s="23" t="s">
        <v>191</v>
      </c>
      <c r="B166" s="25"/>
      <c r="C166" s="25"/>
      <c r="D166" s="25"/>
      <c r="E166" s="25"/>
      <c r="F166" s="25" t="s">
        <v>1403</v>
      </c>
      <c r="G166" s="25" t="s">
        <v>1404</v>
      </c>
      <c r="H166" s="25" t="s">
        <v>1404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37"/>
      <c r="AJ166" s="25"/>
      <c r="AK166" s="25"/>
      <c r="AL166" s="38"/>
      <c r="AM166" s="39"/>
      <c r="AN166" s="25"/>
      <c r="AO166" s="40"/>
      <c r="AP166" s="40"/>
    </row>
    <row r="167" ht="15.0" customHeight="1">
      <c r="A167" s="23" t="s">
        <v>192</v>
      </c>
      <c r="B167" s="25"/>
      <c r="C167" s="25"/>
      <c r="D167" s="25"/>
      <c r="E167" s="25"/>
      <c r="F167" s="25" t="s">
        <v>1403</v>
      </c>
      <c r="G167" s="25" t="s">
        <v>1404</v>
      </c>
      <c r="H167" s="25" t="s">
        <v>1404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37"/>
      <c r="AJ167" s="25"/>
      <c r="AK167" s="25"/>
      <c r="AL167" s="38"/>
      <c r="AM167" s="39"/>
      <c r="AN167" s="25"/>
      <c r="AO167" s="40"/>
      <c r="AP167" s="40"/>
    </row>
    <row r="168" ht="15.0" customHeight="1">
      <c r="A168" s="23" t="s">
        <v>193</v>
      </c>
      <c r="B168" s="25"/>
      <c r="C168" s="25"/>
      <c r="D168" s="25"/>
      <c r="E168" s="25"/>
      <c r="F168" s="25" t="s">
        <v>1403</v>
      </c>
      <c r="G168" s="25" t="s">
        <v>1404</v>
      </c>
      <c r="H168" s="25" t="s">
        <v>1404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37"/>
      <c r="AJ168" s="25"/>
      <c r="AK168" s="25"/>
      <c r="AL168" s="38"/>
      <c r="AM168" s="39"/>
      <c r="AN168" s="25"/>
      <c r="AO168" s="40"/>
      <c r="AP168" s="40"/>
    </row>
    <row r="169" ht="15.0" customHeight="1">
      <c r="A169" s="23" t="s">
        <v>194</v>
      </c>
      <c r="B169" s="25"/>
      <c r="C169" s="25"/>
      <c r="D169" s="25"/>
      <c r="E169" s="25"/>
      <c r="F169" s="25" t="s">
        <v>1403</v>
      </c>
      <c r="G169" s="25" t="s">
        <v>1404</v>
      </c>
      <c r="H169" s="25" t="s">
        <v>1404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37"/>
      <c r="AJ169" s="25"/>
      <c r="AK169" s="25"/>
      <c r="AL169" s="38"/>
      <c r="AM169" s="39"/>
      <c r="AN169" s="25"/>
      <c r="AO169" s="40"/>
      <c r="AP169" s="40"/>
    </row>
    <row r="170" ht="15.0" customHeight="1">
      <c r="A170" s="23" t="s">
        <v>195</v>
      </c>
      <c r="B170" s="25"/>
      <c r="C170" s="25"/>
      <c r="D170" s="25"/>
      <c r="E170" s="25"/>
      <c r="F170" s="25" t="s">
        <v>1403</v>
      </c>
      <c r="G170" s="25" t="s">
        <v>1404</v>
      </c>
      <c r="H170" s="25" t="s">
        <v>1404</v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37"/>
      <c r="AJ170" s="25"/>
      <c r="AK170" s="25"/>
      <c r="AL170" s="38"/>
      <c r="AM170" s="39"/>
      <c r="AN170" s="25"/>
      <c r="AO170" s="40"/>
      <c r="AP170" s="40"/>
    </row>
    <row r="171" ht="15.0" customHeight="1">
      <c r="A171" s="23" t="s">
        <v>196</v>
      </c>
      <c r="B171" s="25"/>
      <c r="C171" s="25"/>
      <c r="D171" s="25"/>
      <c r="E171" s="25"/>
      <c r="F171" s="25" t="s">
        <v>1403</v>
      </c>
      <c r="G171" s="25" t="s">
        <v>1404</v>
      </c>
      <c r="H171" s="25" t="s">
        <v>1404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37"/>
      <c r="AJ171" s="25"/>
      <c r="AK171" s="25"/>
      <c r="AL171" s="38"/>
      <c r="AM171" s="39"/>
      <c r="AN171" s="25"/>
      <c r="AO171" s="40"/>
      <c r="AP171" s="40"/>
    </row>
    <row r="172" ht="15.0" customHeight="1">
      <c r="A172" s="23" t="s">
        <v>197</v>
      </c>
      <c r="B172" s="25"/>
      <c r="C172" s="25"/>
      <c r="D172" s="25"/>
      <c r="E172" s="25"/>
      <c r="F172" s="25" t="s">
        <v>1403</v>
      </c>
      <c r="G172" s="25" t="s">
        <v>1404</v>
      </c>
      <c r="H172" s="25" t="s">
        <v>1404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37"/>
      <c r="AJ172" s="25"/>
      <c r="AK172" s="25"/>
      <c r="AL172" s="38"/>
      <c r="AM172" s="39"/>
      <c r="AN172" s="25"/>
      <c r="AO172" s="40"/>
      <c r="AP172" s="40"/>
    </row>
    <row r="173" ht="15.0" customHeight="1">
      <c r="A173" s="23" t="s">
        <v>198</v>
      </c>
      <c r="B173" s="25"/>
      <c r="C173" s="25"/>
      <c r="D173" s="25"/>
      <c r="E173" s="25"/>
      <c r="F173" s="25" t="s">
        <v>1403</v>
      </c>
      <c r="G173" s="25" t="s">
        <v>1404</v>
      </c>
      <c r="H173" s="25" t="s">
        <v>1404</v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37"/>
      <c r="AJ173" s="25"/>
      <c r="AK173" s="25"/>
      <c r="AL173" s="38"/>
      <c r="AM173" s="39"/>
      <c r="AN173" s="25"/>
      <c r="AO173" s="40"/>
      <c r="AP173" s="40"/>
    </row>
    <row r="174" ht="15.0" customHeight="1">
      <c r="A174" s="23" t="s">
        <v>199</v>
      </c>
      <c r="B174" s="25"/>
      <c r="C174" s="25"/>
      <c r="D174" s="25"/>
      <c r="E174" s="25"/>
      <c r="F174" s="25" t="s">
        <v>1403</v>
      </c>
      <c r="G174" s="25" t="s">
        <v>1404</v>
      </c>
      <c r="H174" s="25" t="s">
        <v>1404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37"/>
      <c r="AJ174" s="25"/>
      <c r="AK174" s="25"/>
      <c r="AL174" s="38"/>
      <c r="AM174" s="39"/>
      <c r="AN174" s="25"/>
      <c r="AO174" s="40"/>
      <c r="AP174" s="40"/>
    </row>
    <row r="175" ht="15.0" customHeight="1">
      <c r="A175" s="23" t="s">
        <v>200</v>
      </c>
      <c r="B175" s="25"/>
      <c r="C175" s="25"/>
      <c r="D175" s="25"/>
      <c r="E175" s="25"/>
      <c r="F175" s="25" t="s">
        <v>1403</v>
      </c>
      <c r="G175" s="25" t="s">
        <v>1404</v>
      </c>
      <c r="H175" s="25" t="s">
        <v>1404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37"/>
      <c r="AJ175" s="25"/>
      <c r="AK175" s="25"/>
      <c r="AL175" s="38"/>
      <c r="AM175" s="39"/>
      <c r="AN175" s="25"/>
      <c r="AO175" s="40"/>
      <c r="AP175" s="40"/>
    </row>
    <row r="176" ht="15.0" customHeight="1">
      <c r="A176" s="23" t="s">
        <v>201</v>
      </c>
      <c r="B176" s="25"/>
      <c r="C176" s="25"/>
      <c r="D176" s="25"/>
      <c r="E176" s="25"/>
      <c r="F176" s="25" t="s">
        <v>1403</v>
      </c>
      <c r="G176" s="25" t="s">
        <v>1404</v>
      </c>
      <c r="H176" s="25" t="s">
        <v>1404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37"/>
      <c r="AJ176" s="25"/>
      <c r="AK176" s="25"/>
      <c r="AL176" s="38"/>
      <c r="AM176" s="39"/>
      <c r="AN176" s="25"/>
      <c r="AO176" s="40"/>
      <c r="AP176" s="40"/>
    </row>
    <row r="177" ht="15.0" customHeight="1">
      <c r="A177" s="23" t="s">
        <v>202</v>
      </c>
      <c r="B177" s="25"/>
      <c r="C177" s="25"/>
      <c r="D177" s="25"/>
      <c r="E177" s="25"/>
      <c r="F177" s="25" t="s">
        <v>1403</v>
      </c>
      <c r="G177" s="25" t="s">
        <v>1404</v>
      </c>
      <c r="H177" s="25" t="s">
        <v>1404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37"/>
      <c r="AJ177" s="25"/>
      <c r="AK177" s="25"/>
      <c r="AL177" s="38"/>
      <c r="AM177" s="39"/>
      <c r="AN177" s="25"/>
      <c r="AO177" s="40"/>
      <c r="AP177" s="40"/>
    </row>
    <row r="178" ht="15.0" customHeight="1">
      <c r="A178" s="23" t="s">
        <v>203</v>
      </c>
      <c r="B178" s="25"/>
      <c r="C178" s="25"/>
      <c r="D178" s="25"/>
      <c r="E178" s="25"/>
      <c r="F178" s="25" t="s">
        <v>1403</v>
      </c>
      <c r="G178" s="25" t="s">
        <v>1404</v>
      </c>
      <c r="H178" s="25" t="s">
        <v>1404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37"/>
      <c r="AJ178" s="25"/>
      <c r="AK178" s="25"/>
      <c r="AL178" s="38"/>
      <c r="AM178" s="39"/>
      <c r="AN178" s="25"/>
      <c r="AO178" s="40"/>
      <c r="AP178" s="40"/>
    </row>
    <row r="179" ht="15.0" customHeight="1">
      <c r="A179" s="23" t="s">
        <v>204</v>
      </c>
      <c r="B179" s="25"/>
      <c r="C179" s="25"/>
      <c r="D179" s="25"/>
      <c r="E179" s="25"/>
      <c r="F179" s="25" t="s">
        <v>1403</v>
      </c>
      <c r="G179" s="25" t="s">
        <v>1404</v>
      </c>
      <c r="H179" s="25" t="s">
        <v>1404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37"/>
      <c r="AJ179" s="25"/>
      <c r="AK179" s="25"/>
      <c r="AL179" s="38"/>
      <c r="AM179" s="39"/>
      <c r="AN179" s="25"/>
      <c r="AO179" s="40"/>
      <c r="AP179" s="40"/>
    </row>
    <row r="180" ht="15.0" customHeight="1">
      <c r="A180" s="23" t="s">
        <v>205</v>
      </c>
      <c r="B180" s="25"/>
      <c r="C180" s="25"/>
      <c r="D180" s="25"/>
      <c r="E180" s="25"/>
      <c r="F180" s="25" t="s">
        <v>1403</v>
      </c>
      <c r="G180" s="25" t="s">
        <v>1404</v>
      </c>
      <c r="H180" s="25" t="s">
        <v>1404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37"/>
      <c r="AJ180" s="25"/>
      <c r="AK180" s="25"/>
      <c r="AL180" s="38"/>
      <c r="AM180" s="39"/>
      <c r="AN180" s="25"/>
      <c r="AO180" s="40"/>
      <c r="AP180" s="40"/>
    </row>
    <row r="181" ht="15.0" customHeight="1">
      <c r="A181" s="23" t="s">
        <v>206</v>
      </c>
      <c r="B181" s="25"/>
      <c r="C181" s="25"/>
      <c r="D181" s="25"/>
      <c r="E181" s="25"/>
      <c r="F181" s="25" t="s">
        <v>1403</v>
      </c>
      <c r="G181" s="25" t="s">
        <v>1404</v>
      </c>
      <c r="H181" s="25" t="s">
        <v>1404</v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37"/>
      <c r="AJ181" s="25"/>
      <c r="AK181" s="25"/>
      <c r="AL181" s="38"/>
      <c r="AM181" s="39"/>
      <c r="AN181" s="25"/>
      <c r="AO181" s="40"/>
      <c r="AP181" s="40"/>
    </row>
    <row r="182" ht="15.0" customHeight="1">
      <c r="A182" s="23" t="s">
        <v>207</v>
      </c>
      <c r="B182" s="25"/>
      <c r="C182" s="25"/>
      <c r="D182" s="25"/>
      <c r="E182" s="25"/>
      <c r="F182" s="25" t="s">
        <v>1403</v>
      </c>
      <c r="G182" s="25" t="s">
        <v>1404</v>
      </c>
      <c r="H182" s="25" t="s">
        <v>1404</v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37"/>
      <c r="AJ182" s="25"/>
      <c r="AK182" s="25"/>
      <c r="AL182" s="38"/>
      <c r="AM182" s="39"/>
      <c r="AN182" s="25"/>
      <c r="AO182" s="40"/>
      <c r="AP182" s="40"/>
    </row>
    <row r="183" ht="15.0" customHeight="1">
      <c r="A183" s="23" t="s">
        <v>208</v>
      </c>
      <c r="B183" s="25"/>
      <c r="C183" s="25"/>
      <c r="D183" s="25"/>
      <c r="E183" s="25"/>
      <c r="F183" s="25" t="s">
        <v>1403</v>
      </c>
      <c r="G183" s="25" t="s">
        <v>1404</v>
      </c>
      <c r="H183" s="25" t="s">
        <v>1404</v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37"/>
      <c r="AJ183" s="25"/>
      <c r="AK183" s="25"/>
      <c r="AL183" s="38"/>
      <c r="AM183" s="39"/>
      <c r="AN183" s="25"/>
      <c r="AO183" s="40"/>
      <c r="AP183" s="40"/>
    </row>
    <row r="184" ht="15.0" customHeight="1">
      <c r="A184" s="23" t="s">
        <v>209</v>
      </c>
      <c r="B184" s="25"/>
      <c r="C184" s="25"/>
      <c r="D184" s="25"/>
      <c r="E184" s="25"/>
      <c r="F184" s="25" t="s">
        <v>1403</v>
      </c>
      <c r="G184" s="25" t="s">
        <v>1404</v>
      </c>
      <c r="H184" s="25" t="s">
        <v>1404</v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37"/>
      <c r="AJ184" s="25"/>
      <c r="AK184" s="25"/>
      <c r="AL184" s="38"/>
      <c r="AM184" s="39"/>
      <c r="AN184" s="25"/>
      <c r="AO184" s="40"/>
      <c r="AP184" s="40"/>
    </row>
    <row r="185" ht="15.0" customHeight="1">
      <c r="A185" s="23" t="s">
        <v>210</v>
      </c>
      <c r="B185" s="25"/>
      <c r="C185" s="25"/>
      <c r="D185" s="25"/>
      <c r="E185" s="25"/>
      <c r="F185" s="25" t="s">
        <v>1403</v>
      </c>
      <c r="G185" s="25" t="s">
        <v>1404</v>
      </c>
      <c r="H185" s="25" t="s">
        <v>1404</v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37"/>
      <c r="AJ185" s="25"/>
      <c r="AK185" s="25"/>
      <c r="AL185" s="38"/>
      <c r="AM185" s="39"/>
      <c r="AN185" s="25"/>
      <c r="AO185" s="40"/>
      <c r="AP185" s="40"/>
    </row>
    <row r="186" ht="15.0" customHeight="1">
      <c r="A186" s="23" t="s">
        <v>211</v>
      </c>
      <c r="B186" s="25"/>
      <c r="C186" s="25"/>
      <c r="D186" s="25"/>
      <c r="E186" s="25"/>
      <c r="F186" s="25" t="s">
        <v>1403</v>
      </c>
      <c r="G186" s="25" t="s">
        <v>1404</v>
      </c>
      <c r="H186" s="25" t="s">
        <v>1404</v>
      </c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37"/>
      <c r="AJ186" s="25"/>
      <c r="AK186" s="25"/>
      <c r="AL186" s="38"/>
      <c r="AM186" s="39"/>
      <c r="AN186" s="25"/>
      <c r="AO186" s="40"/>
      <c r="AP186" s="40"/>
    </row>
    <row r="187" ht="15.0" customHeight="1">
      <c r="A187" s="23" t="s">
        <v>212</v>
      </c>
      <c r="B187" s="25"/>
      <c r="C187" s="25"/>
      <c r="D187" s="25"/>
      <c r="E187" s="25"/>
      <c r="F187" s="25" t="s">
        <v>1403</v>
      </c>
      <c r="G187" s="25" t="s">
        <v>1404</v>
      </c>
      <c r="H187" s="25" t="s">
        <v>1404</v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37"/>
      <c r="AJ187" s="25"/>
      <c r="AK187" s="25"/>
      <c r="AL187" s="38"/>
      <c r="AM187" s="39"/>
      <c r="AN187" s="25"/>
      <c r="AO187" s="40"/>
      <c r="AP187" s="40"/>
    </row>
    <row r="188" ht="15.0" customHeight="1">
      <c r="A188" s="23" t="s">
        <v>213</v>
      </c>
      <c r="B188" s="25"/>
      <c r="C188" s="25"/>
      <c r="D188" s="25"/>
      <c r="E188" s="25"/>
      <c r="F188" s="25" t="s">
        <v>1403</v>
      </c>
      <c r="G188" s="25" t="s">
        <v>1404</v>
      </c>
      <c r="H188" s="25" t="s">
        <v>1404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37"/>
      <c r="AJ188" s="25"/>
      <c r="AK188" s="25"/>
      <c r="AL188" s="38"/>
      <c r="AM188" s="39"/>
      <c r="AN188" s="25"/>
      <c r="AO188" s="40"/>
      <c r="AP188" s="40"/>
    </row>
    <row r="189" ht="15.0" customHeight="1">
      <c r="A189" s="23" t="s">
        <v>214</v>
      </c>
      <c r="B189" s="25"/>
      <c r="C189" s="25"/>
      <c r="D189" s="25"/>
      <c r="E189" s="25"/>
      <c r="F189" s="25" t="s">
        <v>1403</v>
      </c>
      <c r="G189" s="25" t="s">
        <v>1404</v>
      </c>
      <c r="H189" s="25" t="s">
        <v>1404</v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37"/>
      <c r="AJ189" s="25"/>
      <c r="AK189" s="25"/>
      <c r="AL189" s="38"/>
      <c r="AM189" s="39"/>
      <c r="AN189" s="25"/>
      <c r="AO189" s="40"/>
      <c r="AP189" s="40"/>
    </row>
    <row r="190" ht="15.0" customHeight="1">
      <c r="A190" s="23" t="s">
        <v>215</v>
      </c>
      <c r="B190" s="25"/>
      <c r="C190" s="25"/>
      <c r="D190" s="25"/>
      <c r="E190" s="25"/>
      <c r="F190" s="25" t="s">
        <v>1403</v>
      </c>
      <c r="G190" s="25" t="s">
        <v>1404</v>
      </c>
      <c r="H190" s="25" t="s">
        <v>1404</v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37"/>
      <c r="AJ190" s="25"/>
      <c r="AK190" s="25"/>
      <c r="AL190" s="38"/>
      <c r="AM190" s="39"/>
      <c r="AN190" s="25"/>
      <c r="AO190" s="40"/>
      <c r="AP190" s="40"/>
    </row>
    <row r="191" ht="15.0" customHeight="1">
      <c r="A191" s="23" t="s">
        <v>216</v>
      </c>
      <c r="B191" s="25"/>
      <c r="C191" s="25"/>
      <c r="D191" s="25"/>
      <c r="E191" s="25"/>
      <c r="F191" s="25" t="s">
        <v>1403</v>
      </c>
      <c r="G191" s="25" t="s">
        <v>1404</v>
      </c>
      <c r="H191" s="25" t="s">
        <v>1404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37"/>
      <c r="AJ191" s="25"/>
      <c r="AK191" s="25"/>
      <c r="AL191" s="38"/>
      <c r="AM191" s="39"/>
      <c r="AN191" s="25"/>
      <c r="AO191" s="40"/>
      <c r="AP191" s="40"/>
    </row>
    <row r="192" ht="15.0" customHeight="1">
      <c r="A192" s="23" t="s">
        <v>217</v>
      </c>
      <c r="B192" s="25"/>
      <c r="C192" s="25"/>
      <c r="D192" s="25"/>
      <c r="E192" s="25"/>
      <c r="F192" s="25" t="s">
        <v>1403</v>
      </c>
      <c r="G192" s="25" t="s">
        <v>1404</v>
      </c>
      <c r="H192" s="25" t="s">
        <v>1404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37"/>
      <c r="AJ192" s="25"/>
      <c r="AK192" s="25"/>
      <c r="AL192" s="38"/>
      <c r="AM192" s="39"/>
      <c r="AN192" s="25"/>
      <c r="AO192" s="40"/>
      <c r="AP192" s="40"/>
    </row>
    <row r="193" ht="15.0" customHeight="1">
      <c r="A193" s="23" t="s">
        <v>218</v>
      </c>
      <c r="B193" s="25"/>
      <c r="C193" s="25"/>
      <c r="D193" s="25"/>
      <c r="E193" s="25"/>
      <c r="F193" s="25" t="s">
        <v>1403</v>
      </c>
      <c r="G193" s="25" t="s">
        <v>1404</v>
      </c>
      <c r="H193" s="25" t="s">
        <v>1404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37"/>
      <c r="AJ193" s="25"/>
      <c r="AK193" s="25"/>
      <c r="AL193" s="38"/>
      <c r="AM193" s="39"/>
      <c r="AN193" s="25"/>
      <c r="AO193" s="40"/>
      <c r="AP193" s="40"/>
    </row>
    <row r="194" ht="15.0" customHeight="1">
      <c r="A194" s="23" t="s">
        <v>219</v>
      </c>
      <c r="B194" s="25"/>
      <c r="C194" s="25"/>
      <c r="D194" s="25"/>
      <c r="E194" s="25"/>
      <c r="F194" s="25" t="s">
        <v>1403</v>
      </c>
      <c r="G194" s="25" t="s">
        <v>1404</v>
      </c>
      <c r="H194" s="25" t="s">
        <v>1404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37"/>
      <c r="AJ194" s="25"/>
      <c r="AK194" s="25"/>
      <c r="AL194" s="38"/>
      <c r="AM194" s="39"/>
      <c r="AN194" s="25"/>
      <c r="AO194" s="40"/>
      <c r="AP194" s="40"/>
    </row>
    <row r="195" ht="15.0" customHeight="1">
      <c r="A195" s="23" t="s">
        <v>220</v>
      </c>
      <c r="B195" s="25"/>
      <c r="C195" s="25"/>
      <c r="D195" s="25"/>
      <c r="E195" s="25"/>
      <c r="F195" s="25" t="s">
        <v>1403</v>
      </c>
      <c r="G195" s="25" t="s">
        <v>1404</v>
      </c>
      <c r="H195" s="25" t="s">
        <v>1404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37"/>
      <c r="AJ195" s="25"/>
      <c r="AK195" s="25"/>
      <c r="AL195" s="38"/>
      <c r="AM195" s="39"/>
      <c r="AN195" s="25"/>
      <c r="AO195" s="40"/>
      <c r="AP195" s="40"/>
    </row>
    <row r="196" ht="15.0" customHeight="1">
      <c r="A196" s="23" t="s">
        <v>221</v>
      </c>
      <c r="B196" s="25"/>
      <c r="C196" s="25"/>
      <c r="D196" s="25"/>
      <c r="E196" s="25"/>
      <c r="F196" s="25" t="s">
        <v>1403</v>
      </c>
      <c r="G196" s="25" t="s">
        <v>1404</v>
      </c>
      <c r="H196" s="25" t="s">
        <v>1404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37"/>
      <c r="AJ196" s="25"/>
      <c r="AK196" s="25"/>
      <c r="AL196" s="38"/>
      <c r="AM196" s="39"/>
      <c r="AN196" s="25"/>
      <c r="AO196" s="40"/>
      <c r="AP196" s="40"/>
    </row>
    <row r="197" ht="15.0" customHeight="1">
      <c r="A197" s="23" t="s">
        <v>222</v>
      </c>
      <c r="B197" s="25"/>
      <c r="C197" s="25"/>
      <c r="D197" s="25"/>
      <c r="E197" s="25"/>
      <c r="F197" s="25" t="s">
        <v>1403</v>
      </c>
      <c r="G197" s="25" t="s">
        <v>1404</v>
      </c>
      <c r="H197" s="25" t="s">
        <v>1404</v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37"/>
      <c r="AJ197" s="25"/>
      <c r="AK197" s="25"/>
      <c r="AL197" s="38"/>
      <c r="AM197" s="39"/>
      <c r="AN197" s="25"/>
      <c r="AO197" s="40"/>
      <c r="AP197" s="40"/>
    </row>
    <row r="198" ht="15.0" customHeight="1">
      <c r="A198" s="23" t="s">
        <v>223</v>
      </c>
      <c r="B198" s="25"/>
      <c r="C198" s="25"/>
      <c r="D198" s="25"/>
      <c r="E198" s="25"/>
      <c r="F198" s="25" t="s">
        <v>1403</v>
      </c>
      <c r="G198" s="25" t="s">
        <v>1404</v>
      </c>
      <c r="H198" s="25" t="s">
        <v>1404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37"/>
      <c r="AJ198" s="25"/>
      <c r="AK198" s="25"/>
      <c r="AL198" s="38"/>
      <c r="AM198" s="39"/>
      <c r="AN198" s="25"/>
      <c r="AO198" s="40"/>
      <c r="AP198" s="40"/>
    </row>
    <row r="199" ht="15.0" customHeight="1">
      <c r="A199" s="23" t="s">
        <v>224</v>
      </c>
      <c r="B199" s="25"/>
      <c r="C199" s="25"/>
      <c r="D199" s="25"/>
      <c r="E199" s="25"/>
      <c r="F199" s="25" t="s">
        <v>1403</v>
      </c>
      <c r="G199" s="25" t="s">
        <v>1404</v>
      </c>
      <c r="H199" s="25" t="s">
        <v>1404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37"/>
      <c r="AJ199" s="25"/>
      <c r="AK199" s="25"/>
      <c r="AL199" s="38"/>
      <c r="AM199" s="39"/>
      <c r="AN199" s="25"/>
      <c r="AO199" s="40"/>
      <c r="AP199" s="40"/>
    </row>
    <row r="200" ht="15.0" customHeight="1">
      <c r="A200" s="23" t="s">
        <v>225</v>
      </c>
      <c r="B200" s="25"/>
      <c r="C200" s="25"/>
      <c r="D200" s="25"/>
      <c r="E200" s="25"/>
      <c r="F200" s="25" t="s">
        <v>1403</v>
      </c>
      <c r="G200" s="25" t="s">
        <v>1404</v>
      </c>
      <c r="H200" s="25" t="s">
        <v>1404</v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37"/>
      <c r="AJ200" s="25"/>
      <c r="AK200" s="25"/>
      <c r="AL200" s="38"/>
      <c r="AM200" s="39"/>
      <c r="AN200" s="25"/>
      <c r="AO200" s="40"/>
      <c r="AP200" s="40"/>
    </row>
    <row r="201" ht="15.0" customHeight="1">
      <c r="A201" s="23" t="s">
        <v>226</v>
      </c>
      <c r="B201" s="25"/>
      <c r="C201" s="25"/>
      <c r="D201" s="25"/>
      <c r="E201" s="25"/>
      <c r="F201" s="25" t="s">
        <v>1403</v>
      </c>
      <c r="G201" s="25" t="s">
        <v>1404</v>
      </c>
      <c r="H201" s="25" t="s">
        <v>1404</v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37"/>
      <c r="AJ201" s="25"/>
      <c r="AK201" s="25"/>
      <c r="AL201" s="38"/>
      <c r="AM201" s="39"/>
      <c r="AN201" s="25"/>
      <c r="AO201" s="40"/>
      <c r="AP201" s="40"/>
    </row>
    <row r="202" ht="15.0" customHeight="1">
      <c r="A202" s="23" t="s">
        <v>227</v>
      </c>
      <c r="B202" s="25"/>
      <c r="C202" s="25"/>
      <c r="D202" s="25"/>
      <c r="E202" s="25"/>
      <c r="F202" s="25" t="s">
        <v>1403</v>
      </c>
      <c r="G202" s="25" t="s">
        <v>1404</v>
      </c>
      <c r="H202" s="25" t="s">
        <v>1404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37"/>
      <c r="AJ202" s="25"/>
      <c r="AK202" s="25"/>
      <c r="AL202" s="38"/>
      <c r="AM202" s="39"/>
      <c r="AN202" s="25"/>
      <c r="AO202" s="40"/>
      <c r="AP202" s="40"/>
    </row>
    <row r="203" ht="15.0" customHeight="1">
      <c r="A203" s="23" t="s">
        <v>228</v>
      </c>
      <c r="B203" s="25"/>
      <c r="C203" s="25"/>
      <c r="D203" s="25"/>
      <c r="E203" s="25"/>
      <c r="F203" s="25" t="s">
        <v>1403</v>
      </c>
      <c r="G203" s="25" t="s">
        <v>1404</v>
      </c>
      <c r="H203" s="25" t="s">
        <v>1404</v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37"/>
      <c r="AJ203" s="25"/>
      <c r="AK203" s="25"/>
      <c r="AL203" s="38"/>
      <c r="AM203" s="39"/>
      <c r="AN203" s="25"/>
      <c r="AO203" s="40"/>
      <c r="AP203" s="40"/>
    </row>
    <row r="204" ht="15.0" customHeight="1">
      <c r="A204" s="23" t="s">
        <v>229</v>
      </c>
      <c r="B204" s="25"/>
      <c r="C204" s="25"/>
      <c r="D204" s="25"/>
      <c r="E204" s="25"/>
      <c r="F204" s="25" t="s">
        <v>1403</v>
      </c>
      <c r="G204" s="25" t="s">
        <v>1404</v>
      </c>
      <c r="H204" s="25" t="s">
        <v>1404</v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37"/>
      <c r="AJ204" s="25"/>
      <c r="AK204" s="25"/>
      <c r="AL204" s="38"/>
      <c r="AM204" s="39"/>
      <c r="AN204" s="25"/>
      <c r="AO204" s="40"/>
      <c r="AP204" s="40"/>
    </row>
    <row r="205" ht="15.0" customHeight="1">
      <c r="A205" s="23" t="s">
        <v>230</v>
      </c>
      <c r="B205" s="25"/>
      <c r="C205" s="25"/>
      <c r="D205" s="25"/>
      <c r="E205" s="25"/>
      <c r="F205" s="25" t="s">
        <v>1403</v>
      </c>
      <c r="G205" s="25" t="s">
        <v>1404</v>
      </c>
      <c r="H205" s="25" t="s">
        <v>1404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9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40"/>
      <c r="AP205" s="40"/>
    </row>
    <row r="206" ht="15.0" customHeight="1">
      <c r="A206" s="23" t="s">
        <v>231</v>
      </c>
      <c r="B206" s="25"/>
      <c r="C206" s="25"/>
      <c r="D206" s="25"/>
      <c r="E206" s="25"/>
      <c r="F206" s="25" t="s">
        <v>1403</v>
      </c>
      <c r="G206" s="25" t="s">
        <v>1404</v>
      </c>
      <c r="H206" s="25" t="s">
        <v>1404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9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40"/>
      <c r="AP206" s="40"/>
    </row>
    <row r="207" ht="15.0" customHeight="1">
      <c r="A207" s="23" t="s">
        <v>232</v>
      </c>
      <c r="B207" s="25"/>
      <c r="C207" s="25"/>
      <c r="D207" s="25"/>
      <c r="E207" s="25"/>
      <c r="F207" s="25" t="s">
        <v>1403</v>
      </c>
      <c r="G207" s="25" t="s">
        <v>1404</v>
      </c>
      <c r="H207" s="25" t="s">
        <v>1404</v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9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40"/>
      <c r="AP207" s="40"/>
    </row>
    <row r="208" ht="15.0" customHeight="1">
      <c r="A208" s="23" t="s">
        <v>233</v>
      </c>
      <c r="B208" s="25"/>
      <c r="C208" s="25"/>
      <c r="D208" s="25"/>
      <c r="E208" s="25"/>
      <c r="F208" s="25" t="s">
        <v>1403</v>
      </c>
      <c r="G208" s="25" t="s">
        <v>1404</v>
      </c>
      <c r="H208" s="25" t="s">
        <v>1404</v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9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40"/>
      <c r="AP208" s="40"/>
    </row>
    <row r="209" ht="15.0" customHeight="1">
      <c r="A209" s="23" t="s">
        <v>234</v>
      </c>
      <c r="B209" s="25"/>
      <c r="C209" s="25"/>
      <c r="D209" s="25"/>
      <c r="E209" s="25"/>
      <c r="F209" s="25" t="s">
        <v>1403</v>
      </c>
      <c r="G209" s="25" t="s">
        <v>1404</v>
      </c>
      <c r="H209" s="25" t="s">
        <v>1404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9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40"/>
      <c r="AP209" s="40"/>
    </row>
    <row r="210" ht="15.0" customHeight="1">
      <c r="A210" s="23" t="s">
        <v>235</v>
      </c>
      <c r="B210" s="25"/>
      <c r="C210" s="25"/>
      <c r="D210" s="25"/>
      <c r="E210" s="25"/>
      <c r="F210" s="25" t="s">
        <v>1403</v>
      </c>
      <c r="G210" s="25" t="s">
        <v>1404</v>
      </c>
      <c r="H210" s="25" t="s">
        <v>1404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9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40"/>
      <c r="AP210" s="40"/>
    </row>
    <row r="211" ht="15.0" customHeight="1">
      <c r="A211" s="23" t="s">
        <v>236</v>
      </c>
      <c r="B211" s="25"/>
      <c r="C211" s="25"/>
      <c r="D211" s="25"/>
      <c r="E211" s="25"/>
      <c r="F211" s="25" t="s">
        <v>1403</v>
      </c>
      <c r="G211" s="25" t="s">
        <v>1404</v>
      </c>
      <c r="H211" s="25" t="s">
        <v>1404</v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9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40"/>
      <c r="AP211" s="40"/>
    </row>
    <row r="212" ht="15.0" customHeight="1">
      <c r="A212" s="23" t="s">
        <v>237</v>
      </c>
      <c r="B212" s="25"/>
      <c r="C212" s="25"/>
      <c r="D212" s="25"/>
      <c r="E212" s="25"/>
      <c r="F212" s="25" t="s">
        <v>1403</v>
      </c>
      <c r="G212" s="25" t="s">
        <v>1404</v>
      </c>
      <c r="H212" s="25" t="s">
        <v>1404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9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40"/>
      <c r="AP212" s="40"/>
    </row>
    <row r="213" ht="15.0" customHeight="1">
      <c r="A213" s="23" t="s">
        <v>238</v>
      </c>
      <c r="B213" s="25"/>
      <c r="C213" s="25"/>
      <c r="D213" s="25"/>
      <c r="E213" s="25"/>
      <c r="F213" s="25" t="s">
        <v>1403</v>
      </c>
      <c r="G213" s="25" t="s">
        <v>1404</v>
      </c>
      <c r="H213" s="25" t="s">
        <v>1404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9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40"/>
      <c r="AP213" s="40"/>
    </row>
    <row r="214" ht="15.0" customHeight="1">
      <c r="A214" s="23" t="s">
        <v>239</v>
      </c>
      <c r="B214" s="25"/>
      <c r="C214" s="25"/>
      <c r="D214" s="25"/>
      <c r="E214" s="25"/>
      <c r="F214" s="25" t="s">
        <v>1403</v>
      </c>
      <c r="G214" s="25" t="s">
        <v>1404</v>
      </c>
      <c r="H214" s="25" t="s">
        <v>1404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9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40"/>
      <c r="AP214" s="40"/>
    </row>
    <row r="215" ht="15.0" customHeight="1">
      <c r="A215" s="23" t="s">
        <v>240</v>
      </c>
      <c r="B215" s="25"/>
      <c r="C215" s="25"/>
      <c r="D215" s="25"/>
      <c r="E215" s="25"/>
      <c r="F215" s="25" t="s">
        <v>1403</v>
      </c>
      <c r="G215" s="25" t="s">
        <v>1404</v>
      </c>
      <c r="H215" s="25" t="s">
        <v>1404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9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40"/>
      <c r="AP215" s="40"/>
    </row>
    <row r="216" ht="15.0" customHeight="1">
      <c r="A216" s="23" t="s">
        <v>241</v>
      </c>
      <c r="B216" s="25"/>
      <c r="C216" s="25"/>
      <c r="D216" s="25"/>
      <c r="E216" s="25"/>
      <c r="F216" s="25" t="s">
        <v>1403</v>
      </c>
      <c r="G216" s="25" t="s">
        <v>1404</v>
      </c>
      <c r="H216" s="25" t="s">
        <v>1404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9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40"/>
      <c r="AP216" s="40"/>
    </row>
    <row r="217" ht="15.0" customHeight="1">
      <c r="A217" s="23" t="s">
        <v>242</v>
      </c>
      <c r="B217" s="25"/>
      <c r="C217" s="25"/>
      <c r="D217" s="25"/>
      <c r="E217" s="25"/>
      <c r="F217" s="25" t="s">
        <v>1403</v>
      </c>
      <c r="G217" s="25" t="s">
        <v>1404</v>
      </c>
      <c r="H217" s="25" t="s">
        <v>1404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9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40"/>
      <c r="AP217" s="40"/>
    </row>
    <row r="218" ht="15.0" customHeight="1">
      <c r="A218" s="23" t="s">
        <v>243</v>
      </c>
      <c r="B218" s="25"/>
      <c r="C218" s="25"/>
      <c r="D218" s="25"/>
      <c r="E218" s="25"/>
      <c r="F218" s="25" t="s">
        <v>1403</v>
      </c>
      <c r="G218" s="25" t="s">
        <v>1404</v>
      </c>
      <c r="H218" s="25" t="s">
        <v>1404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9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40"/>
      <c r="AP218" s="40"/>
    </row>
    <row r="219" ht="15.0" customHeight="1">
      <c r="A219" s="23" t="s">
        <v>244</v>
      </c>
      <c r="B219" s="25"/>
      <c r="C219" s="25"/>
      <c r="D219" s="25"/>
      <c r="E219" s="25"/>
      <c r="F219" s="25" t="s">
        <v>1403</v>
      </c>
      <c r="G219" s="25" t="s">
        <v>1404</v>
      </c>
      <c r="H219" s="25" t="s">
        <v>1404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9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40"/>
      <c r="AP219" s="40"/>
    </row>
    <row r="220" ht="15.0" customHeight="1">
      <c r="A220" s="23" t="s">
        <v>245</v>
      </c>
      <c r="B220" s="25"/>
      <c r="C220" s="25"/>
      <c r="D220" s="25"/>
      <c r="E220" s="25"/>
      <c r="F220" s="25" t="s">
        <v>1403</v>
      </c>
      <c r="G220" s="25" t="s">
        <v>1404</v>
      </c>
      <c r="H220" s="25" t="s">
        <v>1404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9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40"/>
      <c r="AP220" s="40"/>
    </row>
    <row r="221" ht="15.0" customHeight="1">
      <c r="A221" s="23" t="s">
        <v>246</v>
      </c>
      <c r="B221" s="25"/>
      <c r="C221" s="25"/>
      <c r="D221" s="25"/>
      <c r="E221" s="25"/>
      <c r="F221" s="25" t="s">
        <v>1403</v>
      </c>
      <c r="G221" s="25" t="s">
        <v>1404</v>
      </c>
      <c r="H221" s="25" t="s">
        <v>1404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9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40"/>
      <c r="AP221" s="40"/>
    </row>
    <row r="222" ht="15.0" customHeight="1">
      <c r="A222" s="23" t="s">
        <v>247</v>
      </c>
      <c r="B222" s="25"/>
      <c r="C222" s="25"/>
      <c r="D222" s="25"/>
      <c r="E222" s="25"/>
      <c r="F222" s="25" t="s">
        <v>1403</v>
      </c>
      <c r="G222" s="25" t="s">
        <v>1404</v>
      </c>
      <c r="H222" s="25" t="s">
        <v>1404</v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9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40"/>
      <c r="AP222" s="40"/>
    </row>
    <row r="223" ht="15.0" customHeight="1">
      <c r="A223" s="23" t="s">
        <v>248</v>
      </c>
      <c r="B223" s="25"/>
      <c r="C223" s="25"/>
      <c r="D223" s="25"/>
      <c r="E223" s="25"/>
      <c r="F223" s="25" t="s">
        <v>1403</v>
      </c>
      <c r="G223" s="25" t="s">
        <v>1404</v>
      </c>
      <c r="H223" s="25" t="s">
        <v>1404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9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40"/>
      <c r="AP223" s="40"/>
    </row>
    <row r="224" ht="15.0" customHeight="1">
      <c r="A224" s="23" t="s">
        <v>249</v>
      </c>
      <c r="B224" s="25"/>
      <c r="C224" s="25"/>
      <c r="D224" s="25"/>
      <c r="E224" s="25"/>
      <c r="F224" s="25" t="s">
        <v>1403</v>
      </c>
      <c r="G224" s="25" t="s">
        <v>1404</v>
      </c>
      <c r="H224" s="25" t="s">
        <v>1404</v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9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40"/>
      <c r="AP224" s="40"/>
    </row>
    <row r="225" ht="15.0" customHeight="1">
      <c r="A225" s="23" t="s">
        <v>250</v>
      </c>
      <c r="B225" s="25"/>
      <c r="C225" s="25"/>
      <c r="D225" s="25"/>
      <c r="E225" s="25"/>
      <c r="F225" s="25" t="s">
        <v>1403</v>
      </c>
      <c r="G225" s="25" t="s">
        <v>1404</v>
      </c>
      <c r="H225" s="25" t="s">
        <v>1404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9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40"/>
      <c r="AP225" s="40"/>
    </row>
    <row r="226" ht="15.0" customHeight="1">
      <c r="A226" s="23" t="s">
        <v>251</v>
      </c>
      <c r="B226" s="25"/>
      <c r="C226" s="25"/>
      <c r="D226" s="25"/>
      <c r="E226" s="25"/>
      <c r="F226" s="25" t="s">
        <v>1403</v>
      </c>
      <c r="G226" s="25" t="s">
        <v>1404</v>
      </c>
      <c r="H226" s="25" t="s">
        <v>1404</v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9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40"/>
      <c r="AP226" s="40"/>
    </row>
    <row r="227" ht="15.0" customHeight="1">
      <c r="A227" s="23" t="s">
        <v>252</v>
      </c>
      <c r="B227" s="25"/>
      <c r="C227" s="25"/>
      <c r="D227" s="25"/>
      <c r="E227" s="25"/>
      <c r="F227" s="25" t="s">
        <v>1403</v>
      </c>
      <c r="G227" s="25" t="s">
        <v>1404</v>
      </c>
      <c r="H227" s="25" t="s">
        <v>1404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9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40"/>
      <c r="AP227" s="40"/>
    </row>
    <row r="228" ht="15.0" customHeight="1">
      <c r="A228" s="23" t="s">
        <v>253</v>
      </c>
      <c r="B228" s="25"/>
      <c r="C228" s="25"/>
      <c r="D228" s="25"/>
      <c r="E228" s="25"/>
      <c r="F228" s="25" t="s">
        <v>1403</v>
      </c>
      <c r="G228" s="25" t="s">
        <v>1404</v>
      </c>
      <c r="H228" s="25" t="s">
        <v>1404</v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9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40"/>
      <c r="AP228" s="40"/>
    </row>
    <row r="229" ht="15.0" customHeight="1">
      <c r="A229" s="23" t="s">
        <v>254</v>
      </c>
      <c r="B229" s="25"/>
      <c r="C229" s="25"/>
      <c r="D229" s="25"/>
      <c r="E229" s="25"/>
      <c r="F229" s="25" t="s">
        <v>1403</v>
      </c>
      <c r="G229" s="25" t="s">
        <v>1404</v>
      </c>
      <c r="H229" s="25" t="s">
        <v>1404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9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40"/>
      <c r="AP229" s="40"/>
    </row>
    <row r="230" ht="15.0" customHeight="1">
      <c r="A230" s="23" t="s">
        <v>255</v>
      </c>
      <c r="B230" s="25"/>
      <c r="C230" s="25"/>
      <c r="D230" s="25"/>
      <c r="E230" s="25"/>
      <c r="F230" s="25" t="s">
        <v>1403</v>
      </c>
      <c r="G230" s="25" t="s">
        <v>1404</v>
      </c>
      <c r="H230" s="25" t="s">
        <v>1404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9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40"/>
      <c r="AP230" s="40"/>
    </row>
    <row r="231" ht="15.0" customHeight="1">
      <c r="A231" s="23" t="s">
        <v>256</v>
      </c>
      <c r="B231" s="25"/>
      <c r="C231" s="25"/>
      <c r="D231" s="25"/>
      <c r="E231" s="25"/>
      <c r="F231" s="25" t="s">
        <v>1403</v>
      </c>
      <c r="G231" s="25" t="s">
        <v>1404</v>
      </c>
      <c r="H231" s="25" t="s">
        <v>1404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9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40"/>
      <c r="AP231" s="40"/>
    </row>
    <row r="232" ht="15.0" customHeight="1">
      <c r="A232" s="23" t="s">
        <v>257</v>
      </c>
      <c r="B232" s="25"/>
      <c r="C232" s="25"/>
      <c r="D232" s="25"/>
      <c r="E232" s="25"/>
      <c r="F232" s="25" t="s">
        <v>1403</v>
      </c>
      <c r="G232" s="25" t="s">
        <v>1404</v>
      </c>
      <c r="H232" s="25" t="s">
        <v>1404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9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40"/>
      <c r="AP232" s="40"/>
    </row>
    <row r="233" ht="15.0" customHeight="1">
      <c r="A233" s="23" t="s">
        <v>258</v>
      </c>
      <c r="B233" s="25"/>
      <c r="C233" s="25"/>
      <c r="D233" s="25"/>
      <c r="E233" s="25"/>
      <c r="F233" s="25" t="s">
        <v>1403</v>
      </c>
      <c r="G233" s="25" t="s">
        <v>1404</v>
      </c>
      <c r="H233" s="25" t="s">
        <v>1404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9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40"/>
      <c r="AP233" s="40"/>
    </row>
    <row r="234" ht="15.0" customHeight="1">
      <c r="A234" s="23" t="s">
        <v>259</v>
      </c>
      <c r="B234" s="25"/>
      <c r="C234" s="25"/>
      <c r="D234" s="25"/>
      <c r="E234" s="25"/>
      <c r="F234" s="25" t="s">
        <v>1403</v>
      </c>
      <c r="G234" s="25" t="s">
        <v>1404</v>
      </c>
      <c r="H234" s="25" t="s">
        <v>1404</v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9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40"/>
      <c r="AP234" s="40"/>
    </row>
    <row r="235" ht="15.0" customHeight="1">
      <c r="A235" s="23" t="s">
        <v>260</v>
      </c>
      <c r="B235" s="25"/>
      <c r="C235" s="25"/>
      <c r="D235" s="25"/>
      <c r="E235" s="25"/>
      <c r="F235" s="25" t="s">
        <v>1403</v>
      </c>
      <c r="G235" s="25" t="s">
        <v>1404</v>
      </c>
      <c r="H235" s="25" t="s">
        <v>1404</v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9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40"/>
      <c r="AP235" s="40"/>
    </row>
    <row r="236" ht="15.0" customHeight="1">
      <c r="A236" s="23" t="s">
        <v>261</v>
      </c>
      <c r="B236" s="25"/>
      <c r="C236" s="25"/>
      <c r="D236" s="25"/>
      <c r="E236" s="25"/>
      <c r="F236" s="25" t="s">
        <v>1403</v>
      </c>
      <c r="G236" s="25" t="s">
        <v>1404</v>
      </c>
      <c r="H236" s="25" t="s">
        <v>1404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9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40"/>
      <c r="AP236" s="40"/>
    </row>
    <row r="237" ht="15.0" customHeight="1">
      <c r="A237" s="23" t="s">
        <v>262</v>
      </c>
      <c r="B237" s="25"/>
      <c r="C237" s="25"/>
      <c r="D237" s="25"/>
      <c r="E237" s="25"/>
      <c r="F237" s="25" t="s">
        <v>1403</v>
      </c>
      <c r="G237" s="25" t="s">
        <v>1404</v>
      </c>
      <c r="H237" s="25" t="s">
        <v>1404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9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40"/>
      <c r="AP237" s="40"/>
    </row>
    <row r="238" ht="15.0" customHeight="1">
      <c r="A238" s="23" t="s">
        <v>263</v>
      </c>
      <c r="B238" s="25"/>
      <c r="C238" s="25"/>
      <c r="D238" s="25"/>
      <c r="E238" s="25"/>
      <c r="F238" s="25" t="s">
        <v>1403</v>
      </c>
      <c r="G238" s="25" t="s">
        <v>1404</v>
      </c>
      <c r="H238" s="25" t="s">
        <v>1404</v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9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40"/>
      <c r="AP238" s="40"/>
    </row>
    <row r="239" ht="15.0" customHeight="1">
      <c r="A239" s="23" t="s">
        <v>264</v>
      </c>
      <c r="B239" s="25"/>
      <c r="C239" s="25"/>
      <c r="D239" s="25"/>
      <c r="E239" s="25"/>
      <c r="F239" s="25" t="s">
        <v>1403</v>
      </c>
      <c r="G239" s="25" t="s">
        <v>1404</v>
      </c>
      <c r="H239" s="25" t="s">
        <v>1404</v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9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40"/>
      <c r="AP239" s="40"/>
    </row>
    <row r="240" ht="15.0" customHeight="1">
      <c r="A240" s="23" t="s">
        <v>265</v>
      </c>
      <c r="B240" s="25"/>
      <c r="C240" s="25"/>
      <c r="D240" s="25"/>
      <c r="E240" s="25"/>
      <c r="F240" s="25" t="s">
        <v>1403</v>
      </c>
      <c r="G240" s="25" t="s">
        <v>1404</v>
      </c>
      <c r="H240" s="25" t="s">
        <v>1404</v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9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40"/>
      <c r="AP240" s="40"/>
    </row>
    <row r="241" ht="15.0" customHeight="1">
      <c r="A241" s="23" t="s">
        <v>266</v>
      </c>
      <c r="B241" s="25"/>
      <c r="C241" s="25"/>
      <c r="D241" s="25"/>
      <c r="E241" s="25"/>
      <c r="F241" s="25" t="s">
        <v>1403</v>
      </c>
      <c r="G241" s="25" t="s">
        <v>1404</v>
      </c>
      <c r="H241" s="25" t="s">
        <v>1404</v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9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40"/>
      <c r="AP241" s="40"/>
    </row>
    <row r="242" ht="15.0" customHeight="1">
      <c r="A242" s="23" t="s">
        <v>267</v>
      </c>
      <c r="B242" s="25"/>
      <c r="C242" s="25"/>
      <c r="D242" s="25"/>
      <c r="E242" s="25"/>
      <c r="F242" s="25" t="s">
        <v>1403</v>
      </c>
      <c r="G242" s="25" t="s">
        <v>1404</v>
      </c>
      <c r="H242" s="25" t="s">
        <v>1404</v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9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40"/>
      <c r="AP242" s="40"/>
    </row>
    <row r="243" ht="15.0" customHeight="1">
      <c r="A243" s="23" t="s">
        <v>268</v>
      </c>
      <c r="B243" s="25"/>
      <c r="C243" s="25"/>
      <c r="D243" s="25"/>
      <c r="E243" s="25"/>
      <c r="F243" s="25" t="s">
        <v>1403</v>
      </c>
      <c r="G243" s="25" t="s">
        <v>1404</v>
      </c>
      <c r="H243" s="25" t="s">
        <v>1404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9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40"/>
      <c r="AP243" s="40"/>
    </row>
    <row r="244" ht="15.0" customHeight="1">
      <c r="A244" s="23" t="s">
        <v>269</v>
      </c>
      <c r="B244" s="25"/>
      <c r="C244" s="25"/>
      <c r="D244" s="25"/>
      <c r="E244" s="25"/>
      <c r="F244" s="25" t="s">
        <v>1403</v>
      </c>
      <c r="G244" s="25" t="s">
        <v>1404</v>
      </c>
      <c r="H244" s="25" t="s">
        <v>1404</v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9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40"/>
      <c r="AP244" s="40"/>
    </row>
    <row r="245" ht="15.0" customHeight="1">
      <c r="A245" s="23" t="s">
        <v>270</v>
      </c>
      <c r="B245" s="25"/>
      <c r="C245" s="25"/>
      <c r="D245" s="25"/>
      <c r="E245" s="25"/>
      <c r="F245" s="25" t="s">
        <v>1403</v>
      </c>
      <c r="G245" s="25" t="s">
        <v>1404</v>
      </c>
      <c r="H245" s="25" t="s">
        <v>1404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9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40"/>
      <c r="AP245" s="40"/>
    </row>
    <row r="246" ht="15.0" customHeight="1">
      <c r="A246" s="23" t="s">
        <v>271</v>
      </c>
      <c r="B246" s="25"/>
      <c r="C246" s="25"/>
      <c r="D246" s="25"/>
      <c r="E246" s="25"/>
      <c r="F246" s="25" t="s">
        <v>1403</v>
      </c>
      <c r="G246" s="25" t="s">
        <v>1404</v>
      </c>
      <c r="H246" s="25" t="s">
        <v>1404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9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40"/>
      <c r="AP246" s="40"/>
    </row>
    <row r="247" ht="15.0" customHeight="1">
      <c r="A247" s="23" t="s">
        <v>272</v>
      </c>
      <c r="B247" s="25"/>
      <c r="C247" s="25"/>
      <c r="D247" s="25"/>
      <c r="E247" s="25"/>
      <c r="F247" s="25" t="s">
        <v>1403</v>
      </c>
      <c r="G247" s="25" t="s">
        <v>1404</v>
      </c>
      <c r="H247" s="25" t="s">
        <v>1404</v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9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40"/>
      <c r="AP247" s="40"/>
    </row>
    <row r="248" ht="15.0" customHeight="1">
      <c r="A248" s="23" t="s">
        <v>273</v>
      </c>
      <c r="B248" s="25"/>
      <c r="C248" s="25"/>
      <c r="D248" s="25"/>
      <c r="E248" s="25"/>
      <c r="F248" s="25" t="s">
        <v>1403</v>
      </c>
      <c r="G248" s="25" t="s">
        <v>1404</v>
      </c>
      <c r="H248" s="25" t="s">
        <v>1404</v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9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40"/>
      <c r="AP248" s="40"/>
    </row>
    <row r="249" ht="15.0" customHeight="1">
      <c r="A249" s="23" t="s">
        <v>274</v>
      </c>
      <c r="B249" s="25"/>
      <c r="C249" s="25"/>
      <c r="D249" s="25"/>
      <c r="E249" s="25"/>
      <c r="F249" s="25" t="s">
        <v>1403</v>
      </c>
      <c r="G249" s="25" t="s">
        <v>1404</v>
      </c>
      <c r="H249" s="25" t="s">
        <v>1404</v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9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40"/>
      <c r="AP249" s="40"/>
    </row>
    <row r="250" ht="15.0" customHeight="1">
      <c r="A250" s="23" t="s">
        <v>275</v>
      </c>
      <c r="B250" s="25"/>
      <c r="C250" s="25"/>
      <c r="D250" s="25"/>
      <c r="E250" s="25"/>
      <c r="F250" s="25" t="s">
        <v>1403</v>
      </c>
      <c r="G250" s="25" t="s">
        <v>1404</v>
      </c>
      <c r="H250" s="25" t="s">
        <v>1404</v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9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40"/>
      <c r="AP250" s="40"/>
    </row>
    <row r="251" ht="15.0" customHeight="1">
      <c r="A251" s="23" t="s">
        <v>276</v>
      </c>
      <c r="B251" s="25"/>
      <c r="C251" s="25"/>
      <c r="D251" s="25"/>
      <c r="E251" s="25"/>
      <c r="F251" s="25" t="s">
        <v>1403</v>
      </c>
      <c r="G251" s="25" t="s">
        <v>1404</v>
      </c>
      <c r="H251" s="25" t="s">
        <v>1404</v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9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40"/>
      <c r="AP251" s="40"/>
    </row>
    <row r="252" ht="15.0" customHeight="1">
      <c r="A252" s="23" t="s">
        <v>277</v>
      </c>
      <c r="B252" s="25"/>
      <c r="C252" s="25"/>
      <c r="D252" s="25"/>
      <c r="E252" s="25"/>
      <c r="F252" s="25" t="s">
        <v>1403</v>
      </c>
      <c r="G252" s="25" t="s">
        <v>1404</v>
      </c>
      <c r="H252" s="25" t="s">
        <v>1404</v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9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40"/>
      <c r="AP252" s="40"/>
    </row>
    <row r="253" ht="15.0" customHeight="1">
      <c r="A253" s="23" t="s">
        <v>278</v>
      </c>
      <c r="B253" s="25"/>
      <c r="C253" s="25"/>
      <c r="D253" s="25"/>
      <c r="E253" s="25"/>
      <c r="F253" s="25" t="s">
        <v>1403</v>
      </c>
      <c r="G253" s="25" t="s">
        <v>1404</v>
      </c>
      <c r="H253" s="25" t="s">
        <v>1404</v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9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40"/>
      <c r="AP253" s="40"/>
    </row>
    <row r="254" ht="15.0" customHeight="1">
      <c r="A254" s="23" t="s">
        <v>279</v>
      </c>
      <c r="B254" s="25"/>
      <c r="C254" s="25"/>
      <c r="D254" s="25"/>
      <c r="E254" s="25"/>
      <c r="F254" s="25" t="s">
        <v>1403</v>
      </c>
      <c r="G254" s="25" t="s">
        <v>1404</v>
      </c>
      <c r="H254" s="25" t="s">
        <v>1404</v>
      </c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9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40"/>
      <c r="AP254" s="40"/>
    </row>
    <row r="255" ht="15.0" customHeight="1">
      <c r="A255" s="23" t="s">
        <v>280</v>
      </c>
      <c r="B255" s="25"/>
      <c r="C255" s="25"/>
      <c r="D255" s="25"/>
      <c r="E255" s="25"/>
      <c r="F255" s="25" t="s">
        <v>1403</v>
      </c>
      <c r="G255" s="25" t="s">
        <v>1404</v>
      </c>
      <c r="H255" s="25" t="s">
        <v>1404</v>
      </c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9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40"/>
      <c r="AP255" s="40"/>
    </row>
    <row r="256" ht="15.0" customHeight="1">
      <c r="A256" s="23" t="s">
        <v>281</v>
      </c>
      <c r="B256" s="25"/>
      <c r="C256" s="25"/>
      <c r="D256" s="25"/>
      <c r="E256" s="25"/>
      <c r="F256" s="25" t="s">
        <v>1403</v>
      </c>
      <c r="G256" s="25" t="s">
        <v>1404</v>
      </c>
      <c r="H256" s="25" t="s">
        <v>1404</v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9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40"/>
      <c r="AP256" s="40"/>
    </row>
    <row r="257" ht="15.0" customHeight="1">
      <c r="A257" s="23" t="s">
        <v>282</v>
      </c>
      <c r="B257" s="25"/>
      <c r="C257" s="25"/>
      <c r="D257" s="25"/>
      <c r="E257" s="25"/>
      <c r="F257" s="25" t="s">
        <v>1403</v>
      </c>
      <c r="G257" s="25" t="s">
        <v>1404</v>
      </c>
      <c r="H257" s="25" t="s">
        <v>1404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9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40"/>
      <c r="AP257" s="40"/>
    </row>
    <row r="258" ht="15.0" customHeight="1">
      <c r="A258" s="23" t="s">
        <v>283</v>
      </c>
      <c r="B258" s="25"/>
      <c r="C258" s="25"/>
      <c r="D258" s="25"/>
      <c r="E258" s="25"/>
      <c r="F258" s="25" t="s">
        <v>1403</v>
      </c>
      <c r="G258" s="25" t="s">
        <v>1404</v>
      </c>
      <c r="H258" s="25" t="s">
        <v>1404</v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9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40"/>
      <c r="AP258" s="40"/>
    </row>
    <row r="259" ht="15.0" customHeight="1">
      <c r="A259" s="23" t="s">
        <v>284</v>
      </c>
      <c r="B259" s="25"/>
      <c r="C259" s="25"/>
      <c r="D259" s="25"/>
      <c r="E259" s="25"/>
      <c r="F259" s="25" t="s">
        <v>1403</v>
      </c>
      <c r="G259" s="25" t="s">
        <v>1404</v>
      </c>
      <c r="H259" s="25" t="s">
        <v>1404</v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9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40"/>
      <c r="AP259" s="40"/>
    </row>
    <row r="260" ht="15.0" customHeight="1">
      <c r="A260" s="23" t="s">
        <v>285</v>
      </c>
      <c r="B260" s="25"/>
      <c r="C260" s="25"/>
      <c r="D260" s="25"/>
      <c r="E260" s="25"/>
      <c r="F260" s="25" t="s">
        <v>1403</v>
      </c>
      <c r="G260" s="25" t="s">
        <v>1404</v>
      </c>
      <c r="H260" s="25" t="s">
        <v>1404</v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9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40"/>
      <c r="AP260" s="40"/>
    </row>
    <row r="261" ht="15.0" customHeight="1">
      <c r="A261" s="23" t="s">
        <v>286</v>
      </c>
      <c r="B261" s="25"/>
      <c r="C261" s="25"/>
      <c r="D261" s="25"/>
      <c r="E261" s="25"/>
      <c r="F261" s="25" t="s">
        <v>1403</v>
      </c>
      <c r="G261" s="25" t="s">
        <v>1404</v>
      </c>
      <c r="H261" s="25" t="s">
        <v>1404</v>
      </c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9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40"/>
      <c r="AP261" s="40"/>
    </row>
    <row r="262" ht="15.0" customHeight="1">
      <c r="A262" s="23" t="s">
        <v>287</v>
      </c>
      <c r="B262" s="25"/>
      <c r="C262" s="25"/>
      <c r="D262" s="25"/>
      <c r="E262" s="25"/>
      <c r="F262" s="25" t="s">
        <v>1403</v>
      </c>
      <c r="G262" s="25" t="s">
        <v>1404</v>
      </c>
      <c r="H262" s="25" t="s">
        <v>1404</v>
      </c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9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40"/>
      <c r="AP262" s="40"/>
    </row>
    <row r="263" ht="15.0" customHeight="1">
      <c r="A263" s="23" t="s">
        <v>288</v>
      </c>
      <c r="B263" s="25"/>
      <c r="C263" s="25"/>
      <c r="D263" s="25"/>
      <c r="E263" s="25"/>
      <c r="F263" s="25" t="s">
        <v>1403</v>
      </c>
      <c r="G263" s="25" t="s">
        <v>1404</v>
      </c>
      <c r="H263" s="25" t="s">
        <v>1404</v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9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40"/>
      <c r="AP263" s="40"/>
    </row>
    <row r="264" ht="15.0" customHeight="1">
      <c r="A264" s="23" t="s">
        <v>289</v>
      </c>
      <c r="B264" s="25"/>
      <c r="C264" s="25"/>
      <c r="D264" s="25"/>
      <c r="E264" s="25"/>
      <c r="F264" s="25" t="s">
        <v>1403</v>
      </c>
      <c r="G264" s="25" t="s">
        <v>1404</v>
      </c>
      <c r="H264" s="25" t="s">
        <v>1404</v>
      </c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9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40"/>
      <c r="AP264" s="40"/>
    </row>
    <row r="265" ht="15.0" customHeight="1">
      <c r="A265" s="23" t="s">
        <v>290</v>
      </c>
      <c r="B265" s="25"/>
      <c r="C265" s="25"/>
      <c r="D265" s="25"/>
      <c r="E265" s="25"/>
      <c r="F265" s="25" t="s">
        <v>1403</v>
      </c>
      <c r="G265" s="25" t="s">
        <v>1404</v>
      </c>
      <c r="H265" s="25" t="s">
        <v>1404</v>
      </c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9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40"/>
      <c r="AP265" s="40"/>
    </row>
    <row r="266" ht="15.0" customHeight="1">
      <c r="A266" s="23" t="s">
        <v>291</v>
      </c>
      <c r="B266" s="25"/>
      <c r="C266" s="25"/>
      <c r="D266" s="25"/>
      <c r="E266" s="25"/>
      <c r="F266" s="25" t="s">
        <v>1403</v>
      </c>
      <c r="G266" s="25" t="s">
        <v>1404</v>
      </c>
      <c r="H266" s="25" t="s">
        <v>1404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9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40"/>
      <c r="AP266" s="40"/>
    </row>
    <row r="267" ht="15.0" customHeight="1">
      <c r="A267" s="23" t="s">
        <v>292</v>
      </c>
      <c r="B267" s="25"/>
      <c r="C267" s="25"/>
      <c r="D267" s="25"/>
      <c r="E267" s="25"/>
      <c r="F267" s="25" t="s">
        <v>1403</v>
      </c>
      <c r="G267" s="25" t="s">
        <v>1404</v>
      </c>
      <c r="H267" s="25" t="s">
        <v>1404</v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9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40"/>
      <c r="AP267" s="40"/>
    </row>
    <row r="268" ht="15.0" customHeight="1">
      <c r="A268" s="23" t="s">
        <v>293</v>
      </c>
      <c r="B268" s="25"/>
      <c r="C268" s="25"/>
      <c r="D268" s="25"/>
      <c r="E268" s="25"/>
      <c r="F268" s="25" t="s">
        <v>1403</v>
      </c>
      <c r="G268" s="25" t="s">
        <v>1404</v>
      </c>
      <c r="H268" s="25" t="s">
        <v>1404</v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9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40"/>
      <c r="AP268" s="40"/>
    </row>
    <row r="269" ht="15.0" customHeight="1">
      <c r="A269" s="23" t="s">
        <v>294</v>
      </c>
      <c r="B269" s="25"/>
      <c r="C269" s="25"/>
      <c r="D269" s="25"/>
      <c r="E269" s="25"/>
      <c r="F269" s="25" t="s">
        <v>1403</v>
      </c>
      <c r="G269" s="25" t="s">
        <v>1404</v>
      </c>
      <c r="H269" s="25" t="s">
        <v>1404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9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40"/>
      <c r="AP269" s="40"/>
    </row>
    <row r="270" ht="15.0" customHeight="1">
      <c r="A270" s="23" t="s">
        <v>295</v>
      </c>
      <c r="B270" s="25"/>
      <c r="C270" s="25"/>
      <c r="D270" s="25"/>
      <c r="E270" s="25"/>
      <c r="F270" s="25" t="s">
        <v>1403</v>
      </c>
      <c r="G270" s="25" t="s">
        <v>1404</v>
      </c>
      <c r="H270" s="25" t="s">
        <v>1404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9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40"/>
      <c r="AP270" s="40"/>
    </row>
    <row r="271" ht="15.0" customHeight="1">
      <c r="A271" s="23" t="s">
        <v>296</v>
      </c>
      <c r="B271" s="25"/>
      <c r="C271" s="25"/>
      <c r="D271" s="25"/>
      <c r="E271" s="25"/>
      <c r="F271" s="25" t="s">
        <v>1403</v>
      </c>
      <c r="G271" s="25" t="s">
        <v>1404</v>
      </c>
      <c r="H271" s="25" t="s">
        <v>1404</v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9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40"/>
      <c r="AP271" s="40"/>
    </row>
    <row r="272" ht="15.0" customHeight="1">
      <c r="A272" s="23" t="s">
        <v>297</v>
      </c>
      <c r="B272" s="25"/>
      <c r="C272" s="25"/>
      <c r="D272" s="25"/>
      <c r="E272" s="25"/>
      <c r="F272" s="25" t="s">
        <v>1403</v>
      </c>
      <c r="G272" s="25" t="s">
        <v>1404</v>
      </c>
      <c r="H272" s="25" t="s">
        <v>1404</v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9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40"/>
      <c r="AP272" s="40"/>
    </row>
    <row r="273" ht="15.0" customHeight="1">
      <c r="A273" s="23" t="s">
        <v>298</v>
      </c>
      <c r="B273" s="25"/>
      <c r="C273" s="25"/>
      <c r="D273" s="25"/>
      <c r="E273" s="25"/>
      <c r="F273" s="25" t="s">
        <v>1403</v>
      </c>
      <c r="G273" s="25" t="s">
        <v>1404</v>
      </c>
      <c r="H273" s="25" t="s">
        <v>1404</v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9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40"/>
      <c r="AP273" s="40"/>
    </row>
    <row r="274" ht="15.0" customHeight="1">
      <c r="A274" s="23" t="s">
        <v>299</v>
      </c>
      <c r="B274" s="25"/>
      <c r="C274" s="25"/>
      <c r="D274" s="25"/>
      <c r="E274" s="25"/>
      <c r="F274" s="25" t="s">
        <v>1403</v>
      </c>
      <c r="G274" s="25" t="s">
        <v>1404</v>
      </c>
      <c r="H274" s="25" t="s">
        <v>1404</v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9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40"/>
      <c r="AP274" s="40"/>
    </row>
    <row r="275" ht="15.0" customHeight="1">
      <c r="A275" s="23" t="s">
        <v>300</v>
      </c>
      <c r="B275" s="25"/>
      <c r="C275" s="25"/>
      <c r="D275" s="25"/>
      <c r="E275" s="25"/>
      <c r="F275" s="25" t="s">
        <v>1403</v>
      </c>
      <c r="G275" s="25" t="s">
        <v>1404</v>
      </c>
      <c r="H275" s="25" t="s">
        <v>1404</v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9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40"/>
      <c r="AP275" s="40"/>
    </row>
    <row r="276" ht="15.0" customHeight="1">
      <c r="A276" s="23" t="s">
        <v>301</v>
      </c>
      <c r="B276" s="25"/>
      <c r="C276" s="25"/>
      <c r="D276" s="25"/>
      <c r="E276" s="25"/>
      <c r="F276" s="25" t="s">
        <v>1403</v>
      </c>
      <c r="G276" s="25" t="s">
        <v>1404</v>
      </c>
      <c r="H276" s="25" t="s">
        <v>1404</v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9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40"/>
      <c r="AP276" s="40"/>
    </row>
    <row r="277" ht="15.0" customHeight="1">
      <c r="A277" s="23" t="s">
        <v>302</v>
      </c>
      <c r="B277" s="25"/>
      <c r="C277" s="25"/>
      <c r="D277" s="25"/>
      <c r="E277" s="25"/>
      <c r="F277" s="25" t="s">
        <v>1403</v>
      </c>
      <c r="G277" s="25" t="s">
        <v>1404</v>
      </c>
      <c r="H277" s="25" t="s">
        <v>1404</v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9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40"/>
      <c r="AP277" s="40"/>
    </row>
    <row r="278" ht="15.0" customHeight="1">
      <c r="A278" s="23" t="s">
        <v>303</v>
      </c>
      <c r="B278" s="25"/>
      <c r="C278" s="25"/>
      <c r="D278" s="25"/>
      <c r="E278" s="25"/>
      <c r="F278" s="25" t="s">
        <v>1403</v>
      </c>
      <c r="G278" s="25" t="s">
        <v>1404</v>
      </c>
      <c r="H278" s="25" t="s">
        <v>1404</v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9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40"/>
      <c r="AP278" s="40"/>
    </row>
    <row r="279" ht="15.0" customHeight="1">
      <c r="A279" s="23" t="s">
        <v>304</v>
      </c>
      <c r="B279" s="25"/>
      <c r="C279" s="25"/>
      <c r="D279" s="25"/>
      <c r="E279" s="25"/>
      <c r="F279" s="25" t="s">
        <v>1403</v>
      </c>
      <c r="G279" s="25" t="s">
        <v>1404</v>
      </c>
      <c r="H279" s="25" t="s">
        <v>1404</v>
      </c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9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40"/>
      <c r="AP279" s="40"/>
    </row>
    <row r="280" ht="15.0" customHeight="1">
      <c r="A280" s="23" t="s">
        <v>305</v>
      </c>
      <c r="B280" s="25"/>
      <c r="C280" s="25"/>
      <c r="D280" s="25"/>
      <c r="E280" s="25"/>
      <c r="F280" s="25" t="s">
        <v>1403</v>
      </c>
      <c r="G280" s="25" t="s">
        <v>1404</v>
      </c>
      <c r="H280" s="25" t="s">
        <v>1404</v>
      </c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9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40"/>
      <c r="AP280" s="40"/>
    </row>
    <row r="281" ht="15.0" customHeight="1">
      <c r="A281" s="23" t="s">
        <v>306</v>
      </c>
      <c r="B281" s="25"/>
      <c r="C281" s="25"/>
      <c r="D281" s="25"/>
      <c r="E281" s="25"/>
      <c r="F281" s="25" t="s">
        <v>1403</v>
      </c>
      <c r="G281" s="25" t="s">
        <v>1404</v>
      </c>
      <c r="H281" s="25" t="s">
        <v>1404</v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9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40"/>
      <c r="AP281" s="40"/>
    </row>
    <row r="282" ht="15.0" customHeight="1">
      <c r="A282" s="23" t="s">
        <v>307</v>
      </c>
      <c r="B282" s="25"/>
      <c r="C282" s="25"/>
      <c r="D282" s="25"/>
      <c r="E282" s="25"/>
      <c r="F282" s="25" t="s">
        <v>1403</v>
      </c>
      <c r="G282" s="25" t="s">
        <v>1404</v>
      </c>
      <c r="H282" s="25" t="s">
        <v>1404</v>
      </c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9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40"/>
      <c r="AP282" s="40"/>
    </row>
    <row r="283" ht="15.0" customHeight="1">
      <c r="A283" s="23" t="s">
        <v>308</v>
      </c>
      <c r="B283" s="25"/>
      <c r="C283" s="25"/>
      <c r="D283" s="25"/>
      <c r="E283" s="25"/>
      <c r="F283" s="25" t="s">
        <v>1403</v>
      </c>
      <c r="G283" s="25" t="s">
        <v>1404</v>
      </c>
      <c r="H283" s="25" t="s">
        <v>1404</v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9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40"/>
      <c r="AP283" s="40"/>
    </row>
    <row r="284" ht="15.0" customHeight="1">
      <c r="A284" s="23" t="s">
        <v>309</v>
      </c>
      <c r="B284" s="25"/>
      <c r="C284" s="25"/>
      <c r="D284" s="25"/>
      <c r="E284" s="25"/>
      <c r="F284" s="25" t="s">
        <v>1403</v>
      </c>
      <c r="G284" s="25" t="s">
        <v>1404</v>
      </c>
      <c r="H284" s="25" t="s">
        <v>1404</v>
      </c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9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40"/>
      <c r="AP284" s="40"/>
    </row>
    <row r="285" ht="15.0" customHeight="1">
      <c r="A285" s="23" t="s">
        <v>310</v>
      </c>
      <c r="B285" s="25"/>
      <c r="C285" s="25"/>
      <c r="D285" s="25"/>
      <c r="E285" s="25"/>
      <c r="F285" s="25" t="s">
        <v>1403</v>
      </c>
      <c r="G285" s="25" t="s">
        <v>1404</v>
      </c>
      <c r="H285" s="25" t="s">
        <v>1404</v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9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40"/>
      <c r="AP285" s="40"/>
    </row>
    <row r="286" ht="15.0" customHeight="1">
      <c r="A286" s="23" t="s">
        <v>311</v>
      </c>
      <c r="B286" s="25"/>
      <c r="C286" s="25"/>
      <c r="D286" s="25"/>
      <c r="E286" s="25"/>
      <c r="F286" s="25" t="s">
        <v>1403</v>
      </c>
      <c r="G286" s="25" t="s">
        <v>1404</v>
      </c>
      <c r="H286" s="25" t="s">
        <v>1404</v>
      </c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9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40"/>
      <c r="AP286" s="40"/>
    </row>
    <row r="287" ht="15.0" customHeight="1">
      <c r="A287" s="23" t="s">
        <v>312</v>
      </c>
      <c r="B287" s="25"/>
      <c r="C287" s="25"/>
      <c r="D287" s="25"/>
      <c r="E287" s="25"/>
      <c r="F287" s="25" t="s">
        <v>1403</v>
      </c>
      <c r="G287" s="25" t="s">
        <v>1404</v>
      </c>
      <c r="H287" s="25" t="s">
        <v>1404</v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9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40"/>
      <c r="AP287" s="40"/>
    </row>
    <row r="288" ht="15.0" customHeight="1">
      <c r="A288" s="23" t="s">
        <v>313</v>
      </c>
      <c r="B288" s="25"/>
      <c r="C288" s="25"/>
      <c r="D288" s="25"/>
      <c r="E288" s="25"/>
      <c r="F288" s="25" t="s">
        <v>1403</v>
      </c>
      <c r="G288" s="25" t="s">
        <v>1404</v>
      </c>
      <c r="H288" s="25" t="s">
        <v>1404</v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9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40"/>
      <c r="AP288" s="40"/>
    </row>
    <row r="289" ht="15.0" customHeight="1">
      <c r="A289" s="23" t="s">
        <v>314</v>
      </c>
      <c r="B289" s="25"/>
      <c r="C289" s="25"/>
      <c r="D289" s="25"/>
      <c r="E289" s="25"/>
      <c r="F289" s="25" t="s">
        <v>1403</v>
      </c>
      <c r="G289" s="25" t="s">
        <v>1404</v>
      </c>
      <c r="H289" s="25" t="s">
        <v>1404</v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9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40"/>
      <c r="AP289" s="40"/>
    </row>
    <row r="290" ht="15.0" customHeight="1">
      <c r="A290" s="23" t="s">
        <v>315</v>
      </c>
      <c r="B290" s="25"/>
      <c r="C290" s="25"/>
      <c r="D290" s="25"/>
      <c r="E290" s="25"/>
      <c r="F290" s="25" t="s">
        <v>1403</v>
      </c>
      <c r="G290" s="25" t="s">
        <v>1404</v>
      </c>
      <c r="H290" s="25" t="s">
        <v>1404</v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9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40"/>
      <c r="AP290" s="40"/>
    </row>
    <row r="291" ht="15.0" customHeight="1">
      <c r="A291" s="23" t="s">
        <v>316</v>
      </c>
      <c r="B291" s="25"/>
      <c r="C291" s="25"/>
      <c r="D291" s="25"/>
      <c r="E291" s="25"/>
      <c r="F291" s="25" t="s">
        <v>1403</v>
      </c>
      <c r="G291" s="25" t="s">
        <v>1404</v>
      </c>
      <c r="H291" s="25" t="s">
        <v>1404</v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9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40"/>
      <c r="AP291" s="40"/>
    </row>
    <row r="292" ht="15.0" customHeight="1">
      <c r="A292" s="23" t="s">
        <v>317</v>
      </c>
      <c r="B292" s="25"/>
      <c r="C292" s="25"/>
      <c r="D292" s="25"/>
      <c r="E292" s="25"/>
      <c r="F292" s="25" t="s">
        <v>1403</v>
      </c>
      <c r="G292" s="25" t="s">
        <v>1404</v>
      </c>
      <c r="H292" s="25" t="s">
        <v>1404</v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9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40"/>
      <c r="AP292" s="40"/>
    </row>
    <row r="293" ht="15.0" customHeight="1">
      <c r="A293" s="23" t="s">
        <v>318</v>
      </c>
      <c r="B293" s="25"/>
      <c r="C293" s="25"/>
      <c r="D293" s="25"/>
      <c r="E293" s="25"/>
      <c r="F293" s="25" t="s">
        <v>1403</v>
      </c>
      <c r="G293" s="25" t="s">
        <v>1404</v>
      </c>
      <c r="H293" s="25" t="s">
        <v>1404</v>
      </c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9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40"/>
      <c r="AP293" s="40"/>
    </row>
    <row r="294" ht="15.0" customHeight="1">
      <c r="A294" s="23" t="s">
        <v>319</v>
      </c>
      <c r="B294" s="25"/>
      <c r="C294" s="25"/>
      <c r="D294" s="25"/>
      <c r="E294" s="25"/>
      <c r="F294" s="25" t="s">
        <v>1403</v>
      </c>
      <c r="G294" s="25" t="s">
        <v>1404</v>
      </c>
      <c r="H294" s="25" t="s">
        <v>1404</v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37"/>
      <c r="AJ294" s="25"/>
      <c r="AK294" s="25"/>
      <c r="AL294" s="38"/>
      <c r="AM294" s="39"/>
      <c r="AN294" s="25"/>
      <c r="AO294" s="40"/>
      <c r="AP294" s="40"/>
    </row>
    <row r="295" ht="15.0" customHeight="1">
      <c r="A295" s="23" t="s">
        <v>320</v>
      </c>
      <c r="B295" s="25"/>
      <c r="C295" s="25"/>
      <c r="D295" s="25"/>
      <c r="E295" s="25"/>
      <c r="F295" s="25" t="s">
        <v>1403</v>
      </c>
      <c r="G295" s="25" t="s">
        <v>1404</v>
      </c>
      <c r="H295" s="25" t="s">
        <v>1404</v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37"/>
      <c r="AJ295" s="25"/>
      <c r="AK295" s="25"/>
      <c r="AL295" s="38"/>
      <c r="AM295" s="39"/>
      <c r="AN295" s="25"/>
      <c r="AO295" s="40"/>
      <c r="AP295" s="40"/>
    </row>
    <row r="296" ht="15.0" customHeight="1">
      <c r="A296" s="23" t="s">
        <v>321</v>
      </c>
      <c r="B296" s="25"/>
      <c r="C296" s="25"/>
      <c r="D296" s="25"/>
      <c r="E296" s="25"/>
      <c r="F296" s="25" t="s">
        <v>1403</v>
      </c>
      <c r="G296" s="25" t="s">
        <v>1404</v>
      </c>
      <c r="H296" s="25" t="s">
        <v>1404</v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37"/>
      <c r="AJ296" s="25"/>
      <c r="AK296" s="25"/>
      <c r="AL296" s="38"/>
      <c r="AM296" s="39"/>
      <c r="AN296" s="25"/>
      <c r="AO296" s="40"/>
      <c r="AP296" s="40"/>
    </row>
    <row r="297" ht="15.0" customHeight="1">
      <c r="A297" s="23" t="s">
        <v>322</v>
      </c>
      <c r="B297" s="25"/>
      <c r="C297" s="25"/>
      <c r="D297" s="25"/>
      <c r="E297" s="25"/>
      <c r="F297" s="25" t="s">
        <v>1403</v>
      </c>
      <c r="G297" s="25" t="s">
        <v>1404</v>
      </c>
      <c r="H297" s="25" t="s">
        <v>1404</v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37"/>
      <c r="AJ297" s="25"/>
      <c r="AK297" s="25"/>
      <c r="AL297" s="38"/>
      <c r="AM297" s="39"/>
      <c r="AN297" s="25"/>
      <c r="AO297" s="40"/>
      <c r="AP297" s="40"/>
    </row>
    <row r="298" ht="15.0" customHeight="1">
      <c r="A298" s="23" t="s">
        <v>323</v>
      </c>
      <c r="B298" s="25"/>
      <c r="C298" s="25"/>
      <c r="D298" s="25"/>
      <c r="E298" s="25"/>
      <c r="F298" s="25" t="s">
        <v>1403</v>
      </c>
      <c r="G298" s="25" t="s">
        <v>1404</v>
      </c>
      <c r="H298" s="25" t="s">
        <v>1404</v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37"/>
      <c r="AJ298" s="25"/>
      <c r="AK298" s="25"/>
      <c r="AL298" s="38"/>
      <c r="AM298" s="39"/>
      <c r="AN298" s="25"/>
      <c r="AO298" s="40"/>
      <c r="AP298" s="40"/>
    </row>
    <row r="299" ht="15.0" customHeight="1">
      <c r="A299" s="23" t="s">
        <v>324</v>
      </c>
      <c r="B299" s="25"/>
      <c r="C299" s="25"/>
      <c r="D299" s="25"/>
      <c r="E299" s="25"/>
      <c r="F299" s="25" t="s">
        <v>1403</v>
      </c>
      <c r="G299" s="25" t="s">
        <v>1404</v>
      </c>
      <c r="H299" s="25" t="s">
        <v>1404</v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37"/>
      <c r="AJ299" s="25"/>
      <c r="AK299" s="25"/>
      <c r="AL299" s="38"/>
      <c r="AM299" s="39"/>
      <c r="AN299" s="25"/>
      <c r="AO299" s="40"/>
      <c r="AP299" s="40"/>
    </row>
    <row r="300" ht="15.0" customHeight="1">
      <c r="A300" s="23" t="s">
        <v>325</v>
      </c>
      <c r="B300" s="25"/>
      <c r="C300" s="25"/>
      <c r="D300" s="25"/>
      <c r="E300" s="25"/>
      <c r="F300" s="25" t="s">
        <v>1403</v>
      </c>
      <c r="G300" s="25" t="s">
        <v>1404</v>
      </c>
      <c r="H300" s="25" t="s">
        <v>1404</v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37"/>
      <c r="AJ300" s="25"/>
      <c r="AK300" s="25"/>
      <c r="AL300" s="38"/>
      <c r="AM300" s="39"/>
      <c r="AN300" s="25"/>
      <c r="AO300" s="40"/>
      <c r="AP300" s="40"/>
    </row>
    <row r="301" ht="15.0" customHeight="1">
      <c r="A301" s="23" t="s">
        <v>326</v>
      </c>
      <c r="B301" s="25"/>
      <c r="C301" s="25"/>
      <c r="D301" s="25"/>
      <c r="E301" s="25"/>
      <c r="F301" s="25" t="s">
        <v>1403</v>
      </c>
      <c r="G301" s="25" t="s">
        <v>1404</v>
      </c>
      <c r="H301" s="25" t="s">
        <v>1404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37"/>
      <c r="AJ301" s="25"/>
      <c r="AK301" s="25"/>
      <c r="AL301" s="38"/>
      <c r="AM301" s="39"/>
      <c r="AN301" s="25"/>
      <c r="AO301" s="40"/>
      <c r="AP301" s="40"/>
    </row>
    <row r="302" ht="15.0" customHeight="1">
      <c r="A302" s="23" t="s">
        <v>327</v>
      </c>
      <c r="B302" s="25"/>
      <c r="C302" s="25"/>
      <c r="D302" s="25"/>
      <c r="E302" s="25"/>
      <c r="F302" s="25" t="s">
        <v>1403</v>
      </c>
      <c r="G302" s="25" t="s">
        <v>1404</v>
      </c>
      <c r="H302" s="25" t="s">
        <v>1404</v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37"/>
      <c r="AJ302" s="25"/>
      <c r="AK302" s="25"/>
      <c r="AL302" s="38"/>
      <c r="AM302" s="39"/>
      <c r="AN302" s="25"/>
      <c r="AO302" s="40"/>
      <c r="AP302" s="40"/>
    </row>
    <row r="303" ht="15.0" customHeight="1">
      <c r="A303" s="23" t="s">
        <v>328</v>
      </c>
      <c r="B303" s="25"/>
      <c r="C303" s="25"/>
      <c r="D303" s="25"/>
      <c r="E303" s="25"/>
      <c r="F303" s="25" t="s">
        <v>1403</v>
      </c>
      <c r="G303" s="25" t="s">
        <v>1404</v>
      </c>
      <c r="H303" s="25" t="s">
        <v>1404</v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37"/>
      <c r="AJ303" s="25"/>
      <c r="AK303" s="25"/>
      <c r="AL303" s="38"/>
      <c r="AM303" s="39"/>
      <c r="AN303" s="25"/>
      <c r="AO303" s="40"/>
      <c r="AP303" s="40"/>
    </row>
    <row r="304" ht="15.0" customHeight="1">
      <c r="A304" s="23" t="s">
        <v>329</v>
      </c>
      <c r="B304" s="25"/>
      <c r="C304" s="25"/>
      <c r="D304" s="25"/>
      <c r="E304" s="25"/>
      <c r="F304" s="25" t="s">
        <v>1403</v>
      </c>
      <c r="G304" s="25" t="s">
        <v>1404</v>
      </c>
      <c r="H304" s="25" t="s">
        <v>1404</v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37"/>
      <c r="AJ304" s="25"/>
      <c r="AK304" s="25"/>
      <c r="AL304" s="38"/>
      <c r="AM304" s="39"/>
      <c r="AN304" s="25"/>
      <c r="AO304" s="40"/>
      <c r="AP304" s="40"/>
    </row>
    <row r="305" ht="15.0" customHeight="1">
      <c r="A305" s="32" t="s">
        <v>330</v>
      </c>
      <c r="B305" s="25" t="s">
        <v>1404</v>
      </c>
      <c r="C305" s="25" t="s">
        <v>1403</v>
      </c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37"/>
      <c r="AJ305" s="25"/>
      <c r="AK305" s="25"/>
      <c r="AL305" s="38"/>
      <c r="AM305" s="39"/>
      <c r="AN305" s="25"/>
      <c r="AO305" s="40"/>
      <c r="AP305" s="40"/>
    </row>
    <row r="306" ht="15.0" customHeight="1">
      <c r="A306" s="32" t="s">
        <v>331</v>
      </c>
      <c r="B306" s="25" t="s">
        <v>1404</v>
      </c>
      <c r="C306" s="25" t="s">
        <v>1403</v>
      </c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37"/>
      <c r="AJ306" s="25"/>
      <c r="AK306" s="25"/>
      <c r="AL306" s="38"/>
      <c r="AM306" s="39"/>
      <c r="AN306" s="25"/>
      <c r="AO306" s="40"/>
      <c r="AP306" s="40"/>
    </row>
    <row r="307" ht="15.0" customHeight="1">
      <c r="A307" s="32" t="s">
        <v>332</v>
      </c>
      <c r="B307" s="25" t="s">
        <v>1404</v>
      </c>
      <c r="C307" s="25" t="s">
        <v>1403</v>
      </c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37"/>
      <c r="AJ307" s="25"/>
      <c r="AK307" s="25"/>
      <c r="AL307" s="38"/>
      <c r="AM307" s="39"/>
      <c r="AN307" s="25"/>
      <c r="AO307" s="40"/>
      <c r="AP307" s="40"/>
    </row>
    <row r="308" ht="15.0" customHeight="1">
      <c r="A308" s="32" t="s">
        <v>333</v>
      </c>
      <c r="B308" s="25" t="s">
        <v>1404</v>
      </c>
      <c r="C308" s="25" t="s">
        <v>1403</v>
      </c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37"/>
      <c r="AJ308" s="25"/>
      <c r="AK308" s="25"/>
      <c r="AL308" s="38"/>
      <c r="AM308" s="39"/>
      <c r="AN308" s="25"/>
      <c r="AO308" s="40"/>
      <c r="AP308" s="40"/>
    </row>
    <row r="309" ht="15.0" customHeight="1">
      <c r="A309" s="32" t="s">
        <v>334</v>
      </c>
      <c r="B309" s="25" t="s">
        <v>1404</v>
      </c>
      <c r="C309" s="25" t="s">
        <v>1403</v>
      </c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37"/>
      <c r="AJ309" s="25"/>
      <c r="AK309" s="25"/>
      <c r="AL309" s="38"/>
      <c r="AM309" s="39"/>
      <c r="AN309" s="25"/>
      <c r="AO309" s="40"/>
      <c r="AP309" s="40"/>
    </row>
    <row r="310" ht="15.0" customHeight="1">
      <c r="A310" s="32" t="s">
        <v>335</v>
      </c>
      <c r="B310" s="25" t="s">
        <v>1404</v>
      </c>
      <c r="C310" s="25" t="s">
        <v>1403</v>
      </c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37"/>
      <c r="AJ310" s="25"/>
      <c r="AK310" s="25"/>
      <c r="AL310" s="38"/>
      <c r="AM310" s="39"/>
      <c r="AN310" s="25"/>
      <c r="AO310" s="40"/>
      <c r="AP310" s="40"/>
    </row>
    <row r="311" ht="15.0" customHeight="1">
      <c r="A311" s="32" t="s">
        <v>336</v>
      </c>
      <c r="B311" s="25" t="s">
        <v>1404</v>
      </c>
      <c r="C311" s="25" t="s">
        <v>1403</v>
      </c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37"/>
      <c r="AJ311" s="25"/>
      <c r="AK311" s="25"/>
      <c r="AL311" s="38"/>
      <c r="AM311" s="39"/>
      <c r="AN311" s="25"/>
      <c r="AO311" s="40"/>
      <c r="AP311" s="40"/>
    </row>
    <row r="312" ht="15.0" customHeight="1">
      <c r="A312" s="32" t="s">
        <v>337</v>
      </c>
      <c r="B312" s="25" t="s">
        <v>1404</v>
      </c>
      <c r="C312" s="25" t="s">
        <v>1403</v>
      </c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37"/>
      <c r="AJ312" s="25"/>
      <c r="AK312" s="25"/>
      <c r="AL312" s="38"/>
      <c r="AM312" s="39"/>
      <c r="AN312" s="25"/>
      <c r="AO312" s="40"/>
      <c r="AP312" s="40"/>
    </row>
    <row r="313" ht="15.0" customHeight="1">
      <c r="A313" s="32" t="s">
        <v>338</v>
      </c>
      <c r="B313" s="25" t="s">
        <v>1404</v>
      </c>
      <c r="C313" s="25" t="s">
        <v>1403</v>
      </c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37"/>
      <c r="AJ313" s="25"/>
      <c r="AK313" s="25"/>
      <c r="AL313" s="38"/>
      <c r="AM313" s="39"/>
      <c r="AN313" s="25"/>
      <c r="AO313" s="40"/>
      <c r="AP313" s="40"/>
    </row>
    <row r="314" ht="15.0" customHeight="1">
      <c r="A314" s="32" t="s">
        <v>339</v>
      </c>
      <c r="B314" s="25" t="s">
        <v>1404</v>
      </c>
      <c r="C314" s="25" t="s">
        <v>1403</v>
      </c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37"/>
      <c r="AJ314" s="25"/>
      <c r="AK314" s="25"/>
      <c r="AL314" s="38"/>
      <c r="AM314" s="39"/>
      <c r="AN314" s="25"/>
      <c r="AO314" s="40"/>
      <c r="AP314" s="40"/>
    </row>
    <row r="315" ht="15.0" customHeight="1">
      <c r="A315" s="32" t="s">
        <v>340</v>
      </c>
      <c r="B315" s="25" t="s">
        <v>1404</v>
      </c>
      <c r="C315" s="25" t="s">
        <v>1403</v>
      </c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37"/>
      <c r="AJ315" s="25"/>
      <c r="AK315" s="25"/>
      <c r="AL315" s="38"/>
      <c r="AM315" s="39"/>
      <c r="AN315" s="25"/>
      <c r="AO315" s="40"/>
      <c r="AP315" s="40"/>
    </row>
    <row r="316" ht="15.0" customHeight="1">
      <c r="A316" s="32" t="s">
        <v>341</v>
      </c>
      <c r="B316" s="25" t="s">
        <v>1404</v>
      </c>
      <c r="C316" s="25" t="s">
        <v>1403</v>
      </c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37"/>
      <c r="AJ316" s="25"/>
      <c r="AK316" s="25"/>
      <c r="AL316" s="38"/>
      <c r="AM316" s="39"/>
      <c r="AN316" s="25"/>
      <c r="AO316" s="40"/>
      <c r="AP316" s="40"/>
    </row>
    <row r="317" ht="15.0" customHeight="1">
      <c r="A317" s="32" t="s">
        <v>342</v>
      </c>
      <c r="B317" s="25" t="s">
        <v>1404</v>
      </c>
      <c r="C317" s="25" t="s">
        <v>1403</v>
      </c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37"/>
      <c r="AJ317" s="25"/>
      <c r="AK317" s="25"/>
      <c r="AL317" s="38"/>
      <c r="AM317" s="39"/>
      <c r="AN317" s="25"/>
      <c r="AO317" s="40"/>
      <c r="AP317" s="40"/>
    </row>
    <row r="318" ht="15.0" customHeight="1">
      <c r="A318" s="32" t="s">
        <v>343</v>
      </c>
      <c r="B318" s="25" t="s">
        <v>1404</v>
      </c>
      <c r="C318" s="25" t="s">
        <v>1403</v>
      </c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37"/>
      <c r="AJ318" s="25"/>
      <c r="AK318" s="25"/>
      <c r="AL318" s="38"/>
      <c r="AM318" s="39"/>
      <c r="AN318" s="25"/>
      <c r="AO318" s="40"/>
      <c r="AP318" s="40"/>
    </row>
    <row r="319" ht="15.0" customHeight="1">
      <c r="A319" s="32" t="s">
        <v>344</v>
      </c>
      <c r="B319" s="25" t="s">
        <v>1404</v>
      </c>
      <c r="C319" s="25" t="s">
        <v>1403</v>
      </c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37"/>
      <c r="AJ319" s="25"/>
      <c r="AK319" s="25"/>
      <c r="AL319" s="38"/>
      <c r="AM319" s="39"/>
      <c r="AN319" s="25"/>
      <c r="AO319" s="40"/>
      <c r="AP319" s="40"/>
    </row>
    <row r="320" ht="15.0" customHeight="1">
      <c r="A320" s="32" t="s">
        <v>345</v>
      </c>
      <c r="B320" s="25" t="s">
        <v>1404</v>
      </c>
      <c r="C320" s="25" t="s">
        <v>1403</v>
      </c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37"/>
      <c r="AJ320" s="25"/>
      <c r="AK320" s="25"/>
      <c r="AL320" s="38"/>
      <c r="AM320" s="39"/>
      <c r="AN320" s="25"/>
      <c r="AO320" s="40"/>
      <c r="AP320" s="40"/>
    </row>
    <row r="321" ht="15.0" customHeight="1">
      <c r="A321" s="32" t="s">
        <v>346</v>
      </c>
      <c r="B321" s="25" t="s">
        <v>1404</v>
      </c>
      <c r="C321" s="25" t="s">
        <v>1403</v>
      </c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37"/>
      <c r="AJ321" s="25"/>
      <c r="AK321" s="25"/>
      <c r="AL321" s="38"/>
      <c r="AM321" s="39"/>
      <c r="AN321" s="25"/>
      <c r="AO321" s="40"/>
      <c r="AP321" s="40"/>
    </row>
    <row r="322" ht="15.0" customHeight="1">
      <c r="A322" s="32" t="s">
        <v>347</v>
      </c>
      <c r="B322" s="25" t="s">
        <v>1404</v>
      </c>
      <c r="C322" s="25" t="s">
        <v>1403</v>
      </c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37"/>
      <c r="AJ322" s="25"/>
      <c r="AK322" s="25"/>
      <c r="AL322" s="38"/>
      <c r="AM322" s="39"/>
      <c r="AN322" s="25"/>
      <c r="AO322" s="40"/>
      <c r="AP322" s="40"/>
    </row>
    <row r="323" ht="15.0" customHeight="1">
      <c r="A323" s="32" t="s">
        <v>348</v>
      </c>
      <c r="B323" s="25" t="s">
        <v>1404</v>
      </c>
      <c r="C323" s="25" t="s">
        <v>1403</v>
      </c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37"/>
      <c r="AJ323" s="25"/>
      <c r="AK323" s="25"/>
      <c r="AL323" s="38"/>
      <c r="AM323" s="39"/>
      <c r="AN323" s="25"/>
      <c r="AO323" s="40"/>
      <c r="AP323" s="40"/>
    </row>
    <row r="324" ht="15.0" customHeight="1">
      <c r="A324" s="32" t="s">
        <v>349</v>
      </c>
      <c r="B324" s="25" t="s">
        <v>1404</v>
      </c>
      <c r="C324" s="25" t="s">
        <v>1403</v>
      </c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37"/>
      <c r="AJ324" s="25"/>
      <c r="AK324" s="25"/>
      <c r="AL324" s="38"/>
      <c r="AM324" s="39"/>
      <c r="AN324" s="25"/>
      <c r="AO324" s="40"/>
      <c r="AP324" s="40"/>
    </row>
    <row r="325" ht="15.0" customHeight="1">
      <c r="A325" s="32" t="s">
        <v>350</v>
      </c>
      <c r="B325" s="25" t="s">
        <v>1404</v>
      </c>
      <c r="C325" s="25" t="s">
        <v>1403</v>
      </c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37"/>
      <c r="AJ325" s="25"/>
      <c r="AK325" s="25"/>
      <c r="AL325" s="38"/>
      <c r="AM325" s="39"/>
      <c r="AN325" s="25"/>
      <c r="AO325" s="40"/>
      <c r="AP325" s="40"/>
    </row>
    <row r="326" ht="15.0" customHeight="1">
      <c r="A326" s="32" t="s">
        <v>351</v>
      </c>
      <c r="B326" s="25" t="s">
        <v>1404</v>
      </c>
      <c r="C326" s="25" t="s">
        <v>1403</v>
      </c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37"/>
      <c r="AJ326" s="25"/>
      <c r="AK326" s="25"/>
      <c r="AL326" s="38"/>
      <c r="AM326" s="39"/>
      <c r="AN326" s="25"/>
      <c r="AO326" s="40"/>
      <c r="AP326" s="40"/>
    </row>
    <row r="327" ht="15.0" customHeight="1">
      <c r="A327" s="32" t="s">
        <v>352</v>
      </c>
      <c r="B327" s="25" t="s">
        <v>1404</v>
      </c>
      <c r="C327" s="25" t="s">
        <v>1403</v>
      </c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37"/>
      <c r="AJ327" s="25"/>
      <c r="AK327" s="25"/>
      <c r="AL327" s="38"/>
      <c r="AM327" s="39"/>
      <c r="AN327" s="25"/>
      <c r="AO327" s="40"/>
      <c r="AP327" s="40"/>
    </row>
    <row r="328" ht="15.0" customHeight="1">
      <c r="A328" s="32" t="s">
        <v>353</v>
      </c>
      <c r="B328" s="25" t="s">
        <v>1404</v>
      </c>
      <c r="C328" s="25" t="s">
        <v>1403</v>
      </c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37"/>
      <c r="AJ328" s="25"/>
      <c r="AK328" s="25"/>
      <c r="AL328" s="38"/>
      <c r="AM328" s="39"/>
      <c r="AN328" s="25"/>
      <c r="AO328" s="40"/>
      <c r="AP328" s="40"/>
    </row>
    <row r="329" ht="15.0" customHeight="1">
      <c r="A329" s="32" t="s">
        <v>354</v>
      </c>
      <c r="B329" s="25" t="s">
        <v>1404</v>
      </c>
      <c r="C329" s="25" t="s">
        <v>1403</v>
      </c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37"/>
      <c r="AJ329" s="25"/>
      <c r="AK329" s="25"/>
      <c r="AL329" s="38"/>
      <c r="AM329" s="39"/>
      <c r="AN329" s="25"/>
      <c r="AO329" s="40"/>
      <c r="AP329" s="40"/>
    </row>
    <row r="330" ht="15.0" customHeight="1">
      <c r="A330" s="32" t="s">
        <v>355</v>
      </c>
      <c r="B330" s="25" t="s">
        <v>1404</v>
      </c>
      <c r="C330" s="25" t="s">
        <v>1403</v>
      </c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37"/>
      <c r="AJ330" s="25"/>
      <c r="AK330" s="25"/>
      <c r="AL330" s="38"/>
      <c r="AM330" s="39"/>
      <c r="AN330" s="25"/>
      <c r="AO330" s="40"/>
      <c r="AP330" s="40"/>
    </row>
    <row r="331" ht="15.0" customHeight="1">
      <c r="A331" s="32" t="s">
        <v>356</v>
      </c>
      <c r="B331" s="25" t="s">
        <v>1404</v>
      </c>
      <c r="C331" s="25" t="s">
        <v>1403</v>
      </c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37"/>
      <c r="AJ331" s="25"/>
      <c r="AK331" s="25"/>
      <c r="AL331" s="38"/>
      <c r="AM331" s="39"/>
      <c r="AN331" s="25"/>
      <c r="AO331" s="40"/>
      <c r="AP331" s="40"/>
    </row>
    <row r="332" ht="15.0" customHeight="1">
      <c r="A332" s="32" t="s">
        <v>357</v>
      </c>
      <c r="B332" s="25" t="s">
        <v>1404</v>
      </c>
      <c r="C332" s="25" t="s">
        <v>1403</v>
      </c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37"/>
      <c r="AJ332" s="25"/>
      <c r="AK332" s="25"/>
      <c r="AL332" s="38"/>
      <c r="AM332" s="39"/>
      <c r="AN332" s="25"/>
      <c r="AO332" s="40"/>
      <c r="AP332" s="40"/>
    </row>
    <row r="333" ht="15.0" customHeight="1">
      <c r="A333" s="32" t="s">
        <v>358</v>
      </c>
      <c r="B333" s="25" t="s">
        <v>1404</v>
      </c>
      <c r="C333" s="25" t="s">
        <v>1403</v>
      </c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37"/>
      <c r="AJ333" s="25"/>
      <c r="AK333" s="25"/>
      <c r="AL333" s="38"/>
      <c r="AM333" s="39"/>
      <c r="AN333" s="25"/>
      <c r="AO333" s="40"/>
      <c r="AP333" s="40"/>
    </row>
    <row r="334" ht="15.0" customHeight="1">
      <c r="A334" s="32" t="s">
        <v>359</v>
      </c>
      <c r="B334" s="25" t="s">
        <v>1404</v>
      </c>
      <c r="C334" s="25" t="s">
        <v>1403</v>
      </c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37"/>
      <c r="AJ334" s="25"/>
      <c r="AK334" s="25"/>
      <c r="AL334" s="38"/>
      <c r="AM334" s="39"/>
      <c r="AN334" s="25"/>
      <c r="AO334" s="40"/>
      <c r="AP334" s="40"/>
    </row>
    <row r="335" ht="15.0" customHeight="1">
      <c r="A335" s="32" t="s">
        <v>360</v>
      </c>
      <c r="B335" s="25" t="s">
        <v>1404</v>
      </c>
      <c r="C335" s="25" t="s">
        <v>1403</v>
      </c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37"/>
      <c r="AJ335" s="25"/>
      <c r="AK335" s="25"/>
      <c r="AL335" s="38"/>
      <c r="AM335" s="39"/>
      <c r="AN335" s="25"/>
      <c r="AO335" s="40"/>
      <c r="AP335" s="40"/>
    </row>
    <row r="336" ht="15.0" customHeight="1">
      <c r="A336" s="32" t="s">
        <v>361</v>
      </c>
      <c r="B336" s="25" t="s">
        <v>1404</v>
      </c>
      <c r="C336" s="25" t="s">
        <v>1403</v>
      </c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37"/>
      <c r="AJ336" s="25"/>
      <c r="AK336" s="25"/>
      <c r="AL336" s="38"/>
      <c r="AM336" s="39"/>
      <c r="AN336" s="25"/>
      <c r="AO336" s="40"/>
      <c r="AP336" s="40"/>
    </row>
    <row r="337" ht="15.0" customHeight="1">
      <c r="A337" s="32" t="s">
        <v>362</v>
      </c>
      <c r="B337" s="25" t="s">
        <v>1404</v>
      </c>
      <c r="C337" s="25" t="s">
        <v>1403</v>
      </c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37"/>
      <c r="AJ337" s="25"/>
      <c r="AK337" s="25"/>
      <c r="AL337" s="38"/>
      <c r="AM337" s="39"/>
      <c r="AN337" s="25"/>
      <c r="AO337" s="40"/>
      <c r="AP337" s="40"/>
    </row>
    <row r="338" ht="15.0" customHeight="1">
      <c r="A338" s="32" t="s">
        <v>363</v>
      </c>
      <c r="B338" s="25" t="s">
        <v>1404</v>
      </c>
      <c r="C338" s="25" t="s">
        <v>1403</v>
      </c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37"/>
      <c r="AJ338" s="25"/>
      <c r="AK338" s="25"/>
      <c r="AL338" s="38"/>
      <c r="AM338" s="39"/>
      <c r="AN338" s="25"/>
      <c r="AO338" s="40"/>
      <c r="AP338" s="40"/>
    </row>
    <row r="339" ht="15.0" customHeight="1">
      <c r="A339" s="32" t="s">
        <v>364</v>
      </c>
      <c r="B339" s="25" t="s">
        <v>1404</v>
      </c>
      <c r="C339" s="25" t="s">
        <v>1403</v>
      </c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37"/>
      <c r="AJ339" s="25"/>
      <c r="AK339" s="25"/>
      <c r="AL339" s="38"/>
      <c r="AM339" s="39"/>
      <c r="AN339" s="25"/>
      <c r="AO339" s="40"/>
      <c r="AP339" s="40"/>
    </row>
    <row r="340" ht="15.0" customHeight="1">
      <c r="A340" s="32" t="s">
        <v>365</v>
      </c>
      <c r="B340" s="25" t="s">
        <v>1404</v>
      </c>
      <c r="C340" s="25" t="s">
        <v>1403</v>
      </c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37"/>
      <c r="AJ340" s="25"/>
      <c r="AK340" s="25"/>
      <c r="AL340" s="38"/>
      <c r="AM340" s="39"/>
      <c r="AN340" s="25"/>
      <c r="AO340" s="40"/>
      <c r="AP340" s="40"/>
    </row>
    <row r="341" ht="15.0" customHeight="1">
      <c r="A341" s="32" t="s">
        <v>366</v>
      </c>
      <c r="B341" s="25" t="s">
        <v>1404</v>
      </c>
      <c r="C341" s="25" t="s">
        <v>1403</v>
      </c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37"/>
      <c r="AJ341" s="25"/>
      <c r="AK341" s="25"/>
      <c r="AL341" s="38"/>
      <c r="AM341" s="39"/>
      <c r="AN341" s="25"/>
      <c r="AO341" s="40"/>
      <c r="AP341" s="40"/>
    </row>
    <row r="342" ht="15.0" customHeight="1">
      <c r="A342" s="32" t="s">
        <v>367</v>
      </c>
      <c r="B342" s="25" t="s">
        <v>1404</v>
      </c>
      <c r="C342" s="25" t="s">
        <v>1403</v>
      </c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37"/>
      <c r="AJ342" s="25"/>
      <c r="AK342" s="25"/>
      <c r="AL342" s="38"/>
      <c r="AM342" s="39"/>
      <c r="AN342" s="25"/>
      <c r="AO342" s="40"/>
      <c r="AP342" s="40"/>
    </row>
    <row r="343" ht="15.0" customHeight="1">
      <c r="A343" s="32" t="s">
        <v>368</v>
      </c>
      <c r="B343" s="25" t="s">
        <v>1404</v>
      </c>
      <c r="C343" s="25" t="s">
        <v>1403</v>
      </c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37"/>
      <c r="AJ343" s="25"/>
      <c r="AK343" s="25"/>
      <c r="AL343" s="38"/>
      <c r="AM343" s="39"/>
      <c r="AN343" s="25"/>
      <c r="AO343" s="40"/>
      <c r="AP343" s="40"/>
    </row>
    <row r="344" ht="15.0" customHeight="1">
      <c r="A344" s="32" t="s">
        <v>369</v>
      </c>
      <c r="B344" s="25" t="s">
        <v>1404</v>
      </c>
      <c r="C344" s="25" t="s">
        <v>1403</v>
      </c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37"/>
      <c r="AJ344" s="25"/>
      <c r="AK344" s="25"/>
      <c r="AL344" s="38"/>
      <c r="AM344" s="39"/>
      <c r="AN344" s="25"/>
      <c r="AO344" s="40"/>
      <c r="AP344" s="40"/>
    </row>
    <row r="345" ht="15.0" customHeight="1">
      <c r="A345" s="32" t="s">
        <v>370</v>
      </c>
      <c r="B345" s="25" t="s">
        <v>1404</v>
      </c>
      <c r="C345" s="25" t="s">
        <v>1403</v>
      </c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37"/>
      <c r="AJ345" s="25"/>
      <c r="AK345" s="25"/>
      <c r="AL345" s="38"/>
      <c r="AM345" s="39"/>
      <c r="AN345" s="25"/>
      <c r="AO345" s="40"/>
      <c r="AP345" s="40"/>
    </row>
    <row r="346" ht="15.0" customHeight="1">
      <c r="A346" s="32" t="s">
        <v>371</v>
      </c>
      <c r="B346" s="25" t="s">
        <v>1404</v>
      </c>
      <c r="C346" s="25" t="s">
        <v>1403</v>
      </c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37"/>
      <c r="AJ346" s="25"/>
      <c r="AK346" s="25"/>
      <c r="AL346" s="38"/>
      <c r="AM346" s="39"/>
      <c r="AN346" s="25"/>
      <c r="AO346" s="40"/>
      <c r="AP346" s="40"/>
    </row>
    <row r="347" ht="15.0" customHeight="1">
      <c r="A347" s="32" t="s">
        <v>372</v>
      </c>
      <c r="B347" s="25" t="s">
        <v>1404</v>
      </c>
      <c r="C347" s="25" t="s">
        <v>1403</v>
      </c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37"/>
      <c r="AJ347" s="25"/>
      <c r="AK347" s="25"/>
      <c r="AL347" s="38"/>
      <c r="AM347" s="39"/>
      <c r="AN347" s="25"/>
      <c r="AO347" s="40"/>
      <c r="AP347" s="40"/>
    </row>
    <row r="348" ht="15.0" customHeight="1">
      <c r="A348" s="32" t="s">
        <v>373</v>
      </c>
      <c r="B348" s="25" t="s">
        <v>1404</v>
      </c>
      <c r="C348" s="25" t="s">
        <v>1403</v>
      </c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37"/>
      <c r="AJ348" s="25"/>
      <c r="AK348" s="25"/>
      <c r="AL348" s="38"/>
      <c r="AM348" s="39"/>
      <c r="AN348" s="25"/>
      <c r="AO348" s="40"/>
      <c r="AP348" s="40"/>
    </row>
    <row r="349" ht="15.0" customHeight="1">
      <c r="A349" s="32" t="s">
        <v>374</v>
      </c>
      <c r="B349" s="25" t="s">
        <v>1404</v>
      </c>
      <c r="C349" s="25" t="s">
        <v>1403</v>
      </c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37"/>
      <c r="AJ349" s="25"/>
      <c r="AK349" s="25"/>
      <c r="AL349" s="38"/>
      <c r="AM349" s="39"/>
      <c r="AN349" s="25"/>
      <c r="AO349" s="40"/>
      <c r="AP349" s="40"/>
    </row>
    <row r="350" ht="15.0" customHeight="1">
      <c r="A350" s="32" t="s">
        <v>375</v>
      </c>
      <c r="B350" s="25" t="s">
        <v>1404</v>
      </c>
      <c r="C350" s="25" t="s">
        <v>1403</v>
      </c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37"/>
      <c r="AJ350" s="25"/>
      <c r="AK350" s="25"/>
      <c r="AL350" s="38"/>
      <c r="AM350" s="39"/>
      <c r="AN350" s="25"/>
      <c r="AO350" s="40"/>
      <c r="AP350" s="40"/>
    </row>
    <row r="351" ht="15.0" customHeight="1">
      <c r="A351" s="32" t="s">
        <v>376</v>
      </c>
      <c r="B351" s="25" t="s">
        <v>1404</v>
      </c>
      <c r="C351" s="25" t="s">
        <v>1403</v>
      </c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37"/>
      <c r="AJ351" s="25"/>
      <c r="AK351" s="25"/>
      <c r="AL351" s="38"/>
      <c r="AM351" s="39"/>
      <c r="AN351" s="25"/>
      <c r="AO351" s="40"/>
      <c r="AP351" s="40"/>
    </row>
    <row r="352" ht="15.0" customHeight="1">
      <c r="A352" s="32" t="s">
        <v>377</v>
      </c>
      <c r="B352" s="25" t="s">
        <v>1404</v>
      </c>
      <c r="C352" s="25" t="s">
        <v>1403</v>
      </c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37"/>
      <c r="AJ352" s="25"/>
      <c r="AK352" s="25"/>
      <c r="AL352" s="38"/>
      <c r="AM352" s="39"/>
      <c r="AN352" s="25"/>
      <c r="AO352" s="40"/>
      <c r="AP352" s="40"/>
    </row>
    <row r="353" ht="15.0" customHeight="1">
      <c r="A353" s="32" t="s">
        <v>378</v>
      </c>
      <c r="B353" s="25" t="s">
        <v>1404</v>
      </c>
      <c r="C353" s="25" t="s">
        <v>1403</v>
      </c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37"/>
      <c r="AJ353" s="25"/>
      <c r="AK353" s="25"/>
      <c r="AL353" s="38"/>
      <c r="AM353" s="39"/>
      <c r="AN353" s="25"/>
      <c r="AO353" s="40"/>
      <c r="AP353" s="40"/>
    </row>
    <row r="354" ht="15.0" customHeight="1">
      <c r="A354" s="32" t="s">
        <v>379</v>
      </c>
      <c r="B354" s="25" t="s">
        <v>1404</v>
      </c>
      <c r="C354" s="25" t="s">
        <v>1403</v>
      </c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37"/>
      <c r="AJ354" s="25"/>
      <c r="AK354" s="25"/>
      <c r="AL354" s="38"/>
      <c r="AM354" s="39"/>
      <c r="AN354" s="25"/>
      <c r="AO354" s="40"/>
      <c r="AP354" s="40"/>
    </row>
    <row r="355" ht="15.0" customHeight="1">
      <c r="A355" s="32" t="s">
        <v>380</v>
      </c>
      <c r="B355" s="25" t="s">
        <v>1404</v>
      </c>
      <c r="C355" s="25" t="s">
        <v>1403</v>
      </c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37"/>
      <c r="AJ355" s="25"/>
      <c r="AK355" s="25"/>
      <c r="AL355" s="38"/>
      <c r="AM355" s="39"/>
      <c r="AN355" s="25"/>
      <c r="AO355" s="40"/>
      <c r="AP355" s="40"/>
    </row>
    <row r="356" ht="15.0" customHeight="1">
      <c r="A356" s="32" t="s">
        <v>381</v>
      </c>
      <c r="B356" s="25" t="s">
        <v>1404</v>
      </c>
      <c r="C356" s="25" t="s">
        <v>1403</v>
      </c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37"/>
      <c r="AJ356" s="25"/>
      <c r="AK356" s="25"/>
      <c r="AL356" s="38"/>
      <c r="AM356" s="39"/>
      <c r="AN356" s="25"/>
      <c r="AO356" s="40"/>
      <c r="AP356" s="40"/>
    </row>
    <row r="357" ht="15.0" customHeight="1">
      <c r="A357" s="32" t="s">
        <v>382</v>
      </c>
      <c r="B357" s="25" t="s">
        <v>1404</v>
      </c>
      <c r="C357" s="25" t="s">
        <v>1403</v>
      </c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37"/>
      <c r="AJ357" s="25"/>
      <c r="AK357" s="25"/>
      <c r="AL357" s="38"/>
      <c r="AM357" s="39"/>
      <c r="AN357" s="25"/>
      <c r="AO357" s="40"/>
      <c r="AP357" s="40"/>
    </row>
    <row r="358" ht="15.0" customHeight="1">
      <c r="A358" s="32" t="s">
        <v>383</v>
      </c>
      <c r="B358" s="25" t="s">
        <v>1404</v>
      </c>
      <c r="C358" s="25" t="s">
        <v>1403</v>
      </c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37"/>
      <c r="AJ358" s="25"/>
      <c r="AK358" s="25"/>
      <c r="AL358" s="38"/>
      <c r="AM358" s="39"/>
      <c r="AN358" s="25"/>
      <c r="AO358" s="40"/>
      <c r="AP358" s="40"/>
    </row>
    <row r="359" ht="15.0" customHeight="1">
      <c r="A359" s="32" t="s">
        <v>384</v>
      </c>
      <c r="B359" s="25" t="s">
        <v>1404</v>
      </c>
      <c r="C359" s="25" t="s">
        <v>1403</v>
      </c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37"/>
      <c r="AJ359" s="25"/>
      <c r="AK359" s="25"/>
      <c r="AL359" s="38"/>
      <c r="AM359" s="39"/>
      <c r="AN359" s="25"/>
      <c r="AO359" s="40"/>
      <c r="AP359" s="40"/>
    </row>
    <row r="360" ht="15.0" customHeight="1">
      <c r="A360" s="32" t="s">
        <v>385</v>
      </c>
      <c r="B360" s="25" t="s">
        <v>1404</v>
      </c>
      <c r="C360" s="25" t="s">
        <v>1403</v>
      </c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37"/>
      <c r="AJ360" s="25"/>
      <c r="AK360" s="25"/>
      <c r="AL360" s="38"/>
      <c r="AM360" s="39"/>
      <c r="AN360" s="25"/>
      <c r="AO360" s="40"/>
      <c r="AP360" s="40"/>
    </row>
    <row r="361" ht="15.0" customHeight="1">
      <c r="A361" s="32" t="s">
        <v>386</v>
      </c>
      <c r="B361" s="25" t="s">
        <v>1404</v>
      </c>
      <c r="C361" s="25" t="s">
        <v>1403</v>
      </c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37"/>
      <c r="AJ361" s="25"/>
      <c r="AK361" s="25"/>
      <c r="AL361" s="38"/>
      <c r="AM361" s="39"/>
      <c r="AN361" s="25"/>
      <c r="AO361" s="40"/>
      <c r="AP361" s="40"/>
    </row>
    <row r="362" ht="15.0" customHeight="1">
      <c r="A362" s="32" t="s">
        <v>387</v>
      </c>
      <c r="B362" s="25" t="s">
        <v>1404</v>
      </c>
      <c r="C362" s="25" t="s">
        <v>1403</v>
      </c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37"/>
      <c r="AJ362" s="25"/>
      <c r="AK362" s="25"/>
      <c r="AL362" s="38"/>
      <c r="AM362" s="39"/>
      <c r="AN362" s="25"/>
      <c r="AO362" s="40"/>
      <c r="AP362" s="40"/>
    </row>
    <row r="363" ht="15.0" customHeight="1">
      <c r="A363" s="32" t="s">
        <v>388</v>
      </c>
      <c r="B363" s="25" t="s">
        <v>1404</v>
      </c>
      <c r="C363" s="25" t="s">
        <v>1403</v>
      </c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37"/>
      <c r="AJ363" s="25"/>
      <c r="AK363" s="25"/>
      <c r="AL363" s="38"/>
      <c r="AM363" s="39"/>
      <c r="AN363" s="25"/>
      <c r="AO363" s="40"/>
      <c r="AP363" s="40"/>
    </row>
    <row r="364" ht="15.0" customHeight="1">
      <c r="A364" s="32" t="s">
        <v>389</v>
      </c>
      <c r="B364" s="25" t="s">
        <v>1404</v>
      </c>
      <c r="C364" s="25" t="s">
        <v>1403</v>
      </c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37"/>
      <c r="AJ364" s="25"/>
      <c r="AK364" s="25"/>
      <c r="AL364" s="38"/>
      <c r="AM364" s="39"/>
      <c r="AN364" s="25"/>
      <c r="AO364" s="40"/>
      <c r="AP364" s="40"/>
    </row>
    <row r="365" ht="15.0" customHeight="1">
      <c r="A365" s="32" t="s">
        <v>390</v>
      </c>
      <c r="B365" s="25" t="s">
        <v>1404</v>
      </c>
      <c r="C365" s="25" t="s">
        <v>1403</v>
      </c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37"/>
      <c r="AJ365" s="25"/>
      <c r="AK365" s="25"/>
      <c r="AL365" s="38"/>
      <c r="AM365" s="39"/>
      <c r="AN365" s="25"/>
      <c r="AO365" s="40"/>
      <c r="AP365" s="40"/>
    </row>
    <row r="366" ht="15.0" customHeight="1">
      <c r="A366" s="32" t="s">
        <v>391</v>
      </c>
      <c r="B366" s="25" t="s">
        <v>1404</v>
      </c>
      <c r="C366" s="25" t="s">
        <v>1403</v>
      </c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37"/>
      <c r="AJ366" s="25"/>
      <c r="AK366" s="25"/>
      <c r="AL366" s="38"/>
      <c r="AM366" s="39"/>
      <c r="AN366" s="25"/>
      <c r="AO366" s="40"/>
      <c r="AP366" s="40"/>
    </row>
    <row r="367" ht="15.0" customHeight="1">
      <c r="A367" s="32" t="s">
        <v>392</v>
      </c>
      <c r="B367" s="25" t="s">
        <v>1404</v>
      </c>
      <c r="C367" s="25" t="s">
        <v>1403</v>
      </c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37"/>
      <c r="AJ367" s="25"/>
      <c r="AK367" s="25"/>
      <c r="AL367" s="38"/>
      <c r="AM367" s="39"/>
      <c r="AN367" s="25"/>
      <c r="AO367" s="40"/>
      <c r="AP367" s="40"/>
    </row>
    <row r="368" ht="15.0" customHeight="1">
      <c r="A368" s="32" t="s">
        <v>393</v>
      </c>
      <c r="B368" s="25" t="s">
        <v>1404</v>
      </c>
      <c r="C368" s="25" t="s">
        <v>1403</v>
      </c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37"/>
      <c r="AJ368" s="25"/>
      <c r="AK368" s="25"/>
      <c r="AL368" s="38"/>
      <c r="AM368" s="39"/>
      <c r="AN368" s="25"/>
      <c r="AO368" s="40"/>
      <c r="AP368" s="40"/>
    </row>
    <row r="369" ht="15.0" customHeight="1">
      <c r="A369" s="32" t="s">
        <v>394</v>
      </c>
      <c r="B369" s="25" t="s">
        <v>1404</v>
      </c>
      <c r="C369" s="25" t="s">
        <v>1403</v>
      </c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37"/>
      <c r="AJ369" s="25"/>
      <c r="AK369" s="25"/>
      <c r="AL369" s="38"/>
      <c r="AM369" s="39"/>
      <c r="AN369" s="25"/>
      <c r="AO369" s="40"/>
      <c r="AP369" s="40"/>
    </row>
    <row r="370" ht="15.0" customHeight="1">
      <c r="A370" s="32" t="s">
        <v>395</v>
      </c>
      <c r="B370" s="25" t="s">
        <v>1404</v>
      </c>
      <c r="C370" s="25" t="s">
        <v>1403</v>
      </c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37"/>
      <c r="AJ370" s="25"/>
      <c r="AK370" s="25"/>
      <c r="AL370" s="38"/>
      <c r="AM370" s="39"/>
      <c r="AN370" s="25"/>
      <c r="AO370" s="40"/>
      <c r="AP370" s="40"/>
    </row>
    <row r="371" ht="15.0" customHeight="1">
      <c r="A371" s="32" t="s">
        <v>396</v>
      </c>
      <c r="B371" s="25" t="s">
        <v>1404</v>
      </c>
      <c r="C371" s="25" t="s">
        <v>1403</v>
      </c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37"/>
      <c r="AJ371" s="25"/>
      <c r="AK371" s="25"/>
      <c r="AL371" s="38"/>
      <c r="AM371" s="39"/>
      <c r="AN371" s="25"/>
      <c r="AO371" s="40"/>
      <c r="AP371" s="40"/>
    </row>
    <row r="372" ht="15.0" customHeight="1">
      <c r="A372" s="32" t="s">
        <v>397</v>
      </c>
      <c r="B372" s="25" t="s">
        <v>1404</v>
      </c>
      <c r="C372" s="25" t="s">
        <v>1403</v>
      </c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37"/>
      <c r="AJ372" s="25"/>
      <c r="AK372" s="25"/>
      <c r="AL372" s="38"/>
      <c r="AM372" s="39"/>
      <c r="AN372" s="25"/>
      <c r="AO372" s="40"/>
      <c r="AP372" s="40"/>
    </row>
    <row r="373" ht="15.0" customHeight="1">
      <c r="A373" s="32" t="s">
        <v>398</v>
      </c>
      <c r="B373" s="25" t="s">
        <v>1404</v>
      </c>
      <c r="C373" s="25" t="s">
        <v>1403</v>
      </c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37"/>
      <c r="AJ373" s="25"/>
      <c r="AK373" s="25"/>
      <c r="AL373" s="38"/>
      <c r="AM373" s="39"/>
      <c r="AN373" s="25"/>
      <c r="AO373" s="40"/>
      <c r="AP373" s="40"/>
    </row>
    <row r="374" ht="15.0" customHeight="1">
      <c r="A374" s="32" t="s">
        <v>399</v>
      </c>
      <c r="B374" s="25" t="s">
        <v>1404</v>
      </c>
      <c r="C374" s="25" t="s">
        <v>1403</v>
      </c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37"/>
      <c r="AJ374" s="25"/>
      <c r="AK374" s="25"/>
      <c r="AL374" s="38"/>
      <c r="AM374" s="39"/>
      <c r="AN374" s="25"/>
      <c r="AO374" s="40"/>
      <c r="AP374" s="40"/>
    </row>
    <row r="375" ht="15.0" customHeight="1">
      <c r="A375" s="32" t="s">
        <v>400</v>
      </c>
      <c r="B375" s="25" t="s">
        <v>1404</v>
      </c>
      <c r="C375" s="25" t="s">
        <v>1403</v>
      </c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37"/>
      <c r="AJ375" s="25"/>
      <c r="AK375" s="25"/>
      <c r="AL375" s="38"/>
      <c r="AM375" s="39"/>
      <c r="AN375" s="25"/>
      <c r="AO375" s="40"/>
      <c r="AP375" s="40"/>
    </row>
    <row r="376" ht="15.0" customHeight="1">
      <c r="A376" s="32" t="s">
        <v>401</v>
      </c>
      <c r="B376" s="25" t="s">
        <v>1404</v>
      </c>
      <c r="C376" s="25" t="s">
        <v>1403</v>
      </c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37"/>
      <c r="AJ376" s="25"/>
      <c r="AK376" s="25"/>
      <c r="AL376" s="38"/>
      <c r="AM376" s="39"/>
      <c r="AN376" s="25"/>
      <c r="AO376" s="40"/>
      <c r="AP376" s="40"/>
    </row>
    <row r="377" ht="15.0" customHeight="1">
      <c r="A377" s="32" t="s">
        <v>402</v>
      </c>
      <c r="B377" s="25" t="s">
        <v>1404</v>
      </c>
      <c r="C377" s="25" t="s">
        <v>1403</v>
      </c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37"/>
      <c r="AJ377" s="25"/>
      <c r="AK377" s="25"/>
      <c r="AL377" s="38"/>
      <c r="AM377" s="39"/>
      <c r="AN377" s="25"/>
      <c r="AO377" s="40"/>
      <c r="AP377" s="40"/>
    </row>
    <row r="378" ht="15.0" customHeight="1">
      <c r="A378" s="32" t="s">
        <v>403</v>
      </c>
      <c r="B378" s="25" t="s">
        <v>1404</v>
      </c>
      <c r="C378" s="25" t="s">
        <v>1403</v>
      </c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37"/>
      <c r="AJ378" s="25"/>
      <c r="AK378" s="25"/>
      <c r="AL378" s="38"/>
      <c r="AM378" s="39"/>
      <c r="AN378" s="25"/>
      <c r="AO378" s="40"/>
      <c r="AP378" s="40"/>
    </row>
    <row r="379" ht="15.0" customHeight="1">
      <c r="A379" s="32" t="s">
        <v>404</v>
      </c>
      <c r="B379" s="25" t="s">
        <v>1404</v>
      </c>
      <c r="C379" s="25" t="s">
        <v>1403</v>
      </c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37"/>
      <c r="AJ379" s="25"/>
      <c r="AK379" s="25"/>
      <c r="AL379" s="38"/>
      <c r="AM379" s="39"/>
      <c r="AN379" s="25"/>
      <c r="AO379" s="40"/>
      <c r="AP379" s="40"/>
    </row>
    <row r="380" ht="15.0" customHeight="1">
      <c r="A380" s="32" t="s">
        <v>405</v>
      </c>
      <c r="B380" s="25" t="s">
        <v>1404</v>
      </c>
      <c r="C380" s="25" t="s">
        <v>1403</v>
      </c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37"/>
      <c r="AJ380" s="25"/>
      <c r="AK380" s="25"/>
      <c r="AL380" s="38"/>
      <c r="AM380" s="39"/>
      <c r="AN380" s="25"/>
      <c r="AO380" s="40"/>
      <c r="AP380" s="40"/>
    </row>
    <row r="381" ht="15.0" customHeight="1">
      <c r="A381" s="32" t="s">
        <v>406</v>
      </c>
      <c r="B381" s="25" t="s">
        <v>1404</v>
      </c>
      <c r="C381" s="25" t="s">
        <v>1403</v>
      </c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37"/>
      <c r="AJ381" s="25"/>
      <c r="AK381" s="25"/>
      <c r="AL381" s="38"/>
      <c r="AM381" s="39"/>
      <c r="AN381" s="25"/>
      <c r="AO381" s="40"/>
      <c r="AP381" s="40"/>
    </row>
    <row r="382" ht="15.0" customHeight="1">
      <c r="A382" s="32" t="s">
        <v>407</v>
      </c>
      <c r="B382" s="25" t="s">
        <v>1404</v>
      </c>
      <c r="C382" s="25" t="s">
        <v>1403</v>
      </c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37"/>
      <c r="AJ382" s="25"/>
      <c r="AK382" s="25"/>
      <c r="AL382" s="38"/>
      <c r="AM382" s="39"/>
      <c r="AN382" s="25"/>
      <c r="AO382" s="40"/>
      <c r="AP382" s="40"/>
    </row>
    <row r="383" ht="15.0" customHeight="1">
      <c r="A383" s="32" t="s">
        <v>408</v>
      </c>
      <c r="B383" s="25" t="s">
        <v>1404</v>
      </c>
      <c r="C383" s="25" t="s">
        <v>1403</v>
      </c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37"/>
      <c r="AJ383" s="25"/>
      <c r="AK383" s="25"/>
      <c r="AL383" s="38"/>
      <c r="AM383" s="39"/>
      <c r="AN383" s="25"/>
      <c r="AO383" s="40"/>
      <c r="AP383" s="40"/>
    </row>
    <row r="384" ht="15.0" customHeight="1">
      <c r="A384" s="32" t="s">
        <v>409</v>
      </c>
      <c r="B384" s="25" t="s">
        <v>1404</v>
      </c>
      <c r="C384" s="25" t="s">
        <v>1403</v>
      </c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37"/>
      <c r="AJ384" s="25"/>
      <c r="AK384" s="25"/>
      <c r="AL384" s="38"/>
      <c r="AM384" s="39"/>
      <c r="AN384" s="25"/>
      <c r="AO384" s="40"/>
      <c r="AP384" s="40"/>
    </row>
    <row r="385" ht="15.0" customHeight="1">
      <c r="A385" s="32" t="s">
        <v>410</v>
      </c>
      <c r="B385" s="25" t="s">
        <v>1404</v>
      </c>
      <c r="C385" s="25" t="s">
        <v>1403</v>
      </c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37"/>
      <c r="AJ385" s="25"/>
      <c r="AK385" s="25"/>
      <c r="AL385" s="38"/>
      <c r="AM385" s="39"/>
      <c r="AN385" s="25"/>
      <c r="AO385" s="40"/>
      <c r="AP385" s="40"/>
    </row>
    <row r="386" ht="15.0" customHeight="1">
      <c r="A386" s="32" t="s">
        <v>411</v>
      </c>
      <c r="B386" s="25" t="s">
        <v>1404</v>
      </c>
      <c r="C386" s="25" t="s">
        <v>1403</v>
      </c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37"/>
      <c r="AJ386" s="25"/>
      <c r="AK386" s="25"/>
      <c r="AL386" s="38"/>
      <c r="AM386" s="39"/>
      <c r="AN386" s="25"/>
      <c r="AO386" s="40"/>
      <c r="AP386" s="40"/>
    </row>
    <row r="387" ht="15.0" customHeight="1">
      <c r="A387" s="32" t="s">
        <v>412</v>
      </c>
      <c r="B387" s="25" t="s">
        <v>1404</v>
      </c>
      <c r="C387" s="25" t="s">
        <v>1403</v>
      </c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37"/>
      <c r="AJ387" s="25"/>
      <c r="AK387" s="25"/>
      <c r="AL387" s="38"/>
      <c r="AM387" s="39"/>
      <c r="AN387" s="25"/>
      <c r="AO387" s="40"/>
      <c r="AP387" s="40"/>
    </row>
    <row r="388" ht="15.0" customHeight="1">
      <c r="A388" s="32" t="s">
        <v>413</v>
      </c>
      <c r="B388" s="25" t="s">
        <v>1404</v>
      </c>
      <c r="C388" s="25" t="s">
        <v>1403</v>
      </c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37"/>
      <c r="AJ388" s="25"/>
      <c r="AK388" s="25"/>
      <c r="AL388" s="38"/>
      <c r="AM388" s="39"/>
      <c r="AN388" s="25"/>
      <c r="AO388" s="40"/>
      <c r="AP388" s="40"/>
    </row>
    <row r="389" ht="15.0" customHeight="1">
      <c r="A389" s="32" t="s">
        <v>414</v>
      </c>
      <c r="B389" s="25" t="s">
        <v>1404</v>
      </c>
      <c r="C389" s="25" t="s">
        <v>1403</v>
      </c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37"/>
      <c r="AJ389" s="25"/>
      <c r="AK389" s="25"/>
      <c r="AL389" s="38"/>
      <c r="AM389" s="39"/>
      <c r="AN389" s="25"/>
      <c r="AO389" s="40"/>
      <c r="AP389" s="40"/>
    </row>
    <row r="390" ht="15.0" customHeight="1">
      <c r="A390" s="32" t="s">
        <v>415</v>
      </c>
      <c r="B390" s="25" t="s">
        <v>1404</v>
      </c>
      <c r="C390" s="25" t="s">
        <v>1403</v>
      </c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37"/>
      <c r="AJ390" s="25"/>
      <c r="AK390" s="25"/>
      <c r="AL390" s="38"/>
      <c r="AM390" s="39"/>
      <c r="AN390" s="25"/>
      <c r="AO390" s="40"/>
      <c r="AP390" s="40"/>
    </row>
    <row r="391" ht="15.0" customHeight="1">
      <c r="A391" s="32" t="s">
        <v>416</v>
      </c>
      <c r="B391" s="25" t="s">
        <v>1404</v>
      </c>
      <c r="C391" s="25" t="s">
        <v>1403</v>
      </c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37"/>
      <c r="AJ391" s="25"/>
      <c r="AK391" s="25"/>
      <c r="AL391" s="38"/>
      <c r="AM391" s="39"/>
      <c r="AN391" s="25"/>
      <c r="AO391" s="40"/>
      <c r="AP391" s="40"/>
    </row>
    <row r="392" ht="15.0" customHeight="1">
      <c r="A392" s="32" t="s">
        <v>417</v>
      </c>
      <c r="B392" s="25" t="s">
        <v>1404</v>
      </c>
      <c r="C392" s="25" t="s">
        <v>1403</v>
      </c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37"/>
      <c r="AJ392" s="25"/>
      <c r="AK392" s="25"/>
      <c r="AL392" s="38"/>
      <c r="AM392" s="39"/>
      <c r="AN392" s="25"/>
      <c r="AO392" s="40"/>
      <c r="AP392" s="40"/>
    </row>
    <row r="393" ht="15.0" customHeight="1">
      <c r="A393" s="32" t="s">
        <v>418</v>
      </c>
      <c r="B393" s="25" t="s">
        <v>1404</v>
      </c>
      <c r="C393" s="25" t="s">
        <v>1403</v>
      </c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37"/>
      <c r="AJ393" s="25"/>
      <c r="AK393" s="25"/>
      <c r="AL393" s="38"/>
      <c r="AM393" s="39"/>
      <c r="AN393" s="25"/>
      <c r="AO393" s="40"/>
      <c r="AP393" s="40"/>
    </row>
    <row r="394" ht="15.0" customHeight="1">
      <c r="A394" s="32" t="s">
        <v>419</v>
      </c>
      <c r="B394" s="25" t="s">
        <v>1404</v>
      </c>
      <c r="C394" s="25" t="s">
        <v>1403</v>
      </c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37"/>
      <c r="AJ394" s="25"/>
      <c r="AK394" s="25"/>
      <c r="AL394" s="38"/>
      <c r="AM394" s="39"/>
      <c r="AN394" s="25"/>
      <c r="AO394" s="40"/>
      <c r="AP394" s="40"/>
    </row>
    <row r="395" ht="15.0" customHeight="1">
      <c r="A395" s="32" t="s">
        <v>420</v>
      </c>
      <c r="B395" s="25" t="s">
        <v>1404</v>
      </c>
      <c r="C395" s="25" t="s">
        <v>1403</v>
      </c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37"/>
      <c r="AJ395" s="25"/>
      <c r="AK395" s="25"/>
      <c r="AL395" s="38"/>
      <c r="AM395" s="39"/>
      <c r="AN395" s="25"/>
      <c r="AO395" s="40"/>
      <c r="AP395" s="40"/>
    </row>
    <row r="396" ht="15.0" customHeight="1">
      <c r="A396" s="32" t="s">
        <v>421</v>
      </c>
      <c r="B396" s="25" t="s">
        <v>1404</v>
      </c>
      <c r="C396" s="25" t="s">
        <v>1403</v>
      </c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37"/>
      <c r="AJ396" s="25"/>
      <c r="AK396" s="25"/>
      <c r="AL396" s="38"/>
      <c r="AM396" s="39"/>
      <c r="AN396" s="25"/>
      <c r="AO396" s="40"/>
      <c r="AP396" s="40"/>
    </row>
    <row r="397" ht="15.0" customHeight="1">
      <c r="A397" s="32" t="s">
        <v>422</v>
      </c>
      <c r="B397" s="25" t="s">
        <v>1404</v>
      </c>
      <c r="C397" s="25" t="s">
        <v>1403</v>
      </c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37"/>
      <c r="AJ397" s="25"/>
      <c r="AK397" s="25"/>
      <c r="AL397" s="38"/>
      <c r="AM397" s="39"/>
      <c r="AN397" s="25"/>
      <c r="AO397" s="40"/>
      <c r="AP397" s="40"/>
    </row>
    <row r="398" ht="15.0" customHeight="1">
      <c r="A398" s="32" t="s">
        <v>423</v>
      </c>
      <c r="B398" s="25" t="s">
        <v>1404</v>
      </c>
      <c r="C398" s="25" t="s">
        <v>1403</v>
      </c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37"/>
      <c r="AJ398" s="25"/>
      <c r="AK398" s="25"/>
      <c r="AL398" s="38"/>
      <c r="AM398" s="39"/>
      <c r="AN398" s="25"/>
      <c r="AO398" s="40"/>
      <c r="AP398" s="40"/>
    </row>
    <row r="399" ht="15.0" customHeight="1">
      <c r="A399" s="32" t="s">
        <v>424</v>
      </c>
      <c r="B399" s="25" t="s">
        <v>1404</v>
      </c>
      <c r="C399" s="25" t="s">
        <v>1403</v>
      </c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37"/>
      <c r="AJ399" s="25"/>
      <c r="AK399" s="25"/>
      <c r="AL399" s="38"/>
      <c r="AM399" s="39"/>
      <c r="AN399" s="25"/>
      <c r="AO399" s="40"/>
      <c r="AP399" s="40"/>
    </row>
    <row r="400" ht="15.0" customHeight="1">
      <c r="A400" s="32" t="s">
        <v>425</v>
      </c>
      <c r="B400" s="25" t="s">
        <v>1404</v>
      </c>
      <c r="C400" s="25" t="s">
        <v>1403</v>
      </c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37"/>
      <c r="AJ400" s="25"/>
      <c r="AK400" s="25"/>
      <c r="AL400" s="38"/>
      <c r="AM400" s="39"/>
      <c r="AN400" s="25"/>
      <c r="AO400" s="40"/>
      <c r="AP400" s="40"/>
    </row>
    <row r="401" ht="15.0" customHeight="1">
      <c r="A401" s="32" t="s">
        <v>426</v>
      </c>
      <c r="B401" s="25" t="s">
        <v>1404</v>
      </c>
      <c r="C401" s="25" t="s">
        <v>1403</v>
      </c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37"/>
      <c r="AJ401" s="25"/>
      <c r="AK401" s="25"/>
      <c r="AL401" s="38"/>
      <c r="AM401" s="39"/>
      <c r="AN401" s="25"/>
      <c r="AO401" s="40"/>
      <c r="AP401" s="40"/>
    </row>
    <row r="402" ht="15.0" customHeight="1">
      <c r="A402" s="32" t="s">
        <v>427</v>
      </c>
      <c r="B402" s="25" t="s">
        <v>1404</v>
      </c>
      <c r="C402" s="25" t="s">
        <v>1403</v>
      </c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37"/>
      <c r="AJ402" s="25"/>
      <c r="AK402" s="25"/>
      <c r="AL402" s="38"/>
      <c r="AM402" s="39"/>
      <c r="AN402" s="25"/>
      <c r="AO402" s="40"/>
      <c r="AP402" s="40"/>
    </row>
    <row r="403" ht="15.0" customHeight="1">
      <c r="A403" s="32" t="s">
        <v>428</v>
      </c>
      <c r="B403" s="25" t="s">
        <v>1404</v>
      </c>
      <c r="C403" s="25" t="s">
        <v>1403</v>
      </c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37"/>
      <c r="AJ403" s="25"/>
      <c r="AK403" s="25"/>
      <c r="AL403" s="38"/>
      <c r="AM403" s="39"/>
      <c r="AN403" s="25"/>
      <c r="AO403" s="40"/>
      <c r="AP403" s="40"/>
    </row>
    <row r="404" ht="15.0" customHeight="1">
      <c r="A404" s="32" t="s">
        <v>429</v>
      </c>
      <c r="B404" s="25" t="s">
        <v>1404</v>
      </c>
      <c r="C404" s="25" t="s">
        <v>1403</v>
      </c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37"/>
      <c r="AJ404" s="25"/>
      <c r="AK404" s="25"/>
      <c r="AL404" s="38"/>
      <c r="AM404" s="39"/>
      <c r="AN404" s="25"/>
      <c r="AO404" s="40"/>
      <c r="AP404" s="40"/>
    </row>
    <row r="405" ht="15.0" customHeight="1">
      <c r="A405" s="32" t="s">
        <v>430</v>
      </c>
      <c r="B405" s="25" t="s">
        <v>1404</v>
      </c>
      <c r="C405" s="25" t="s">
        <v>1403</v>
      </c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37"/>
      <c r="AJ405" s="25"/>
      <c r="AK405" s="25"/>
      <c r="AL405" s="38"/>
      <c r="AM405" s="39"/>
      <c r="AN405" s="25"/>
      <c r="AO405" s="40"/>
      <c r="AP405" s="40"/>
    </row>
    <row r="406" ht="15.0" customHeight="1">
      <c r="A406" s="32" t="s">
        <v>431</v>
      </c>
      <c r="B406" s="25" t="s">
        <v>1404</v>
      </c>
      <c r="C406" s="25" t="s">
        <v>1403</v>
      </c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37"/>
      <c r="AJ406" s="25"/>
      <c r="AK406" s="25"/>
      <c r="AL406" s="38"/>
      <c r="AM406" s="39"/>
      <c r="AN406" s="25"/>
      <c r="AO406" s="40"/>
      <c r="AP406" s="40"/>
    </row>
    <row r="407" ht="15.0" customHeight="1">
      <c r="A407" s="32" t="s">
        <v>432</v>
      </c>
      <c r="B407" s="25" t="s">
        <v>1404</v>
      </c>
      <c r="C407" s="25" t="s">
        <v>1403</v>
      </c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37"/>
      <c r="AJ407" s="25"/>
      <c r="AK407" s="25"/>
      <c r="AL407" s="38"/>
      <c r="AM407" s="39"/>
      <c r="AN407" s="25"/>
      <c r="AO407" s="40"/>
      <c r="AP407" s="40"/>
    </row>
    <row r="408" ht="15.0" customHeight="1">
      <c r="A408" s="32" t="s">
        <v>433</v>
      </c>
      <c r="B408" s="25" t="s">
        <v>1404</v>
      </c>
      <c r="C408" s="25" t="s">
        <v>1403</v>
      </c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37"/>
      <c r="AJ408" s="25"/>
      <c r="AK408" s="25"/>
      <c r="AL408" s="38"/>
      <c r="AM408" s="39"/>
      <c r="AN408" s="25"/>
      <c r="AO408" s="40"/>
      <c r="AP408" s="40"/>
    </row>
    <row r="409" ht="15.0" customHeight="1">
      <c r="A409" s="32" t="s">
        <v>434</v>
      </c>
      <c r="B409" s="25" t="s">
        <v>1404</v>
      </c>
      <c r="C409" s="25" t="s">
        <v>1403</v>
      </c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37"/>
      <c r="AJ409" s="25"/>
      <c r="AK409" s="25"/>
      <c r="AL409" s="38"/>
      <c r="AM409" s="39"/>
      <c r="AN409" s="25"/>
      <c r="AO409" s="40"/>
      <c r="AP409" s="40"/>
    </row>
    <row r="410" ht="15.0" customHeight="1">
      <c r="A410" s="32" t="s">
        <v>435</v>
      </c>
      <c r="B410" s="25" t="s">
        <v>1404</v>
      </c>
      <c r="C410" s="25" t="s">
        <v>1403</v>
      </c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37"/>
      <c r="AJ410" s="25"/>
      <c r="AK410" s="25"/>
      <c r="AL410" s="38"/>
      <c r="AM410" s="39"/>
      <c r="AN410" s="25"/>
      <c r="AO410" s="40"/>
      <c r="AP410" s="40"/>
    </row>
    <row r="411" ht="15.0" customHeight="1">
      <c r="A411" s="32" t="s">
        <v>436</v>
      </c>
      <c r="B411" s="25" t="s">
        <v>1404</v>
      </c>
      <c r="C411" s="25" t="s">
        <v>1403</v>
      </c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37"/>
      <c r="AJ411" s="25"/>
      <c r="AK411" s="25"/>
      <c r="AL411" s="38"/>
      <c r="AM411" s="39"/>
      <c r="AN411" s="25"/>
      <c r="AO411" s="40"/>
      <c r="AP411" s="40"/>
    </row>
    <row r="412" ht="15.0" customHeight="1">
      <c r="A412" s="32" t="s">
        <v>437</v>
      </c>
      <c r="B412" s="25" t="s">
        <v>1404</v>
      </c>
      <c r="C412" s="25" t="s">
        <v>1403</v>
      </c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37"/>
      <c r="AJ412" s="25"/>
      <c r="AK412" s="25"/>
      <c r="AL412" s="38"/>
      <c r="AM412" s="39"/>
      <c r="AN412" s="25"/>
      <c r="AO412" s="40"/>
      <c r="AP412" s="40"/>
    </row>
    <row r="413" ht="15.0" customHeight="1">
      <c r="A413" s="32" t="s">
        <v>438</v>
      </c>
      <c r="B413" s="25" t="s">
        <v>1404</v>
      </c>
      <c r="C413" s="25" t="s">
        <v>1403</v>
      </c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37"/>
      <c r="AJ413" s="25"/>
      <c r="AK413" s="25"/>
      <c r="AL413" s="38"/>
      <c r="AM413" s="39"/>
      <c r="AN413" s="25"/>
      <c r="AO413" s="40"/>
      <c r="AP413" s="40"/>
    </row>
    <row r="414" ht="15.0" customHeight="1">
      <c r="A414" s="32" t="s">
        <v>439</v>
      </c>
      <c r="B414" s="25" t="s">
        <v>1404</v>
      </c>
      <c r="C414" s="25" t="s">
        <v>1403</v>
      </c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37"/>
      <c r="AJ414" s="25"/>
      <c r="AK414" s="25"/>
      <c r="AL414" s="38"/>
      <c r="AM414" s="39"/>
      <c r="AN414" s="25"/>
      <c r="AO414" s="40"/>
      <c r="AP414" s="40"/>
    </row>
    <row r="415" ht="15.0" customHeight="1">
      <c r="A415" s="32" t="s">
        <v>440</v>
      </c>
      <c r="B415" s="25" t="s">
        <v>1404</v>
      </c>
      <c r="C415" s="25" t="s">
        <v>1403</v>
      </c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37"/>
      <c r="AJ415" s="25"/>
      <c r="AK415" s="25"/>
      <c r="AL415" s="38"/>
      <c r="AM415" s="39"/>
      <c r="AN415" s="25"/>
      <c r="AO415" s="40"/>
      <c r="AP415" s="40"/>
    </row>
    <row r="416" ht="15.0" customHeight="1">
      <c r="A416" s="32" t="s">
        <v>441</v>
      </c>
      <c r="B416" s="25" t="s">
        <v>1404</v>
      </c>
      <c r="C416" s="25" t="s">
        <v>1403</v>
      </c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37"/>
      <c r="AJ416" s="25"/>
      <c r="AK416" s="25"/>
      <c r="AL416" s="38"/>
      <c r="AM416" s="39"/>
      <c r="AN416" s="25"/>
      <c r="AO416" s="40"/>
      <c r="AP416" s="40"/>
    </row>
    <row r="417" ht="15.0" customHeight="1">
      <c r="A417" s="32" t="s">
        <v>442</v>
      </c>
      <c r="B417" s="25" t="s">
        <v>1404</v>
      </c>
      <c r="C417" s="25" t="s">
        <v>1403</v>
      </c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37"/>
      <c r="AJ417" s="25"/>
      <c r="AK417" s="25"/>
      <c r="AL417" s="38"/>
      <c r="AM417" s="39"/>
      <c r="AN417" s="25"/>
      <c r="AO417" s="40"/>
      <c r="AP417" s="40"/>
    </row>
    <row r="418" ht="15.0" customHeight="1">
      <c r="A418" s="32" t="s">
        <v>443</v>
      </c>
      <c r="B418" s="25" t="s">
        <v>1404</v>
      </c>
      <c r="C418" s="25" t="s">
        <v>1403</v>
      </c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37"/>
      <c r="AJ418" s="25"/>
      <c r="AK418" s="25"/>
      <c r="AL418" s="38"/>
      <c r="AM418" s="39"/>
      <c r="AN418" s="25"/>
      <c r="AO418" s="40"/>
      <c r="AP418" s="40"/>
    </row>
    <row r="419" ht="15.0" customHeight="1">
      <c r="A419" s="32" t="s">
        <v>444</v>
      </c>
      <c r="B419" s="25" t="s">
        <v>1404</v>
      </c>
      <c r="C419" s="25" t="s">
        <v>1403</v>
      </c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37"/>
      <c r="AJ419" s="25"/>
      <c r="AK419" s="25"/>
      <c r="AL419" s="38"/>
      <c r="AM419" s="39"/>
      <c r="AN419" s="25"/>
      <c r="AO419" s="40"/>
      <c r="AP419" s="40"/>
    </row>
    <row r="420" ht="15.0" customHeight="1">
      <c r="A420" s="32" t="s">
        <v>445</v>
      </c>
      <c r="B420" s="25" t="s">
        <v>1404</v>
      </c>
      <c r="C420" s="25" t="s">
        <v>1403</v>
      </c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37"/>
      <c r="AJ420" s="25"/>
      <c r="AK420" s="25"/>
      <c r="AL420" s="38"/>
      <c r="AM420" s="39"/>
      <c r="AN420" s="25"/>
      <c r="AO420" s="40"/>
      <c r="AP420" s="40"/>
    </row>
    <row r="421" ht="15.0" customHeight="1">
      <c r="A421" s="32" t="s">
        <v>446</v>
      </c>
      <c r="B421" s="25" t="s">
        <v>1404</v>
      </c>
      <c r="C421" s="25" t="s">
        <v>1403</v>
      </c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37"/>
      <c r="AJ421" s="25"/>
      <c r="AK421" s="25"/>
      <c r="AL421" s="38"/>
      <c r="AM421" s="39"/>
      <c r="AN421" s="25"/>
      <c r="AO421" s="40"/>
      <c r="AP421" s="40"/>
    </row>
    <row r="422" ht="15.0" customHeight="1">
      <c r="A422" s="32" t="s">
        <v>447</v>
      </c>
      <c r="B422" s="25" t="s">
        <v>1404</v>
      </c>
      <c r="C422" s="25" t="s">
        <v>1403</v>
      </c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37"/>
      <c r="AJ422" s="25"/>
      <c r="AK422" s="25"/>
      <c r="AL422" s="38"/>
      <c r="AM422" s="39"/>
      <c r="AN422" s="25"/>
      <c r="AO422" s="40"/>
      <c r="AP422" s="40"/>
    </row>
    <row r="423" ht="15.0" customHeight="1">
      <c r="A423" s="32" t="s">
        <v>448</v>
      </c>
      <c r="B423" s="25" t="s">
        <v>1404</v>
      </c>
      <c r="C423" s="25" t="s">
        <v>1403</v>
      </c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37"/>
      <c r="AJ423" s="25"/>
      <c r="AK423" s="25"/>
      <c r="AL423" s="38"/>
      <c r="AM423" s="39"/>
      <c r="AN423" s="25"/>
      <c r="AO423" s="40"/>
      <c r="AP423" s="40"/>
    </row>
    <row r="424" ht="15.0" customHeight="1">
      <c r="A424" s="32" t="s">
        <v>449</v>
      </c>
      <c r="B424" s="25" t="s">
        <v>1404</v>
      </c>
      <c r="C424" s="25" t="s">
        <v>1403</v>
      </c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37"/>
      <c r="AJ424" s="25"/>
      <c r="AK424" s="25"/>
      <c r="AL424" s="38"/>
      <c r="AM424" s="39"/>
      <c r="AN424" s="25"/>
      <c r="AO424" s="40"/>
      <c r="AP424" s="40"/>
    </row>
    <row r="425" ht="15.0" customHeight="1">
      <c r="A425" s="32" t="s">
        <v>450</v>
      </c>
      <c r="B425" s="25" t="s">
        <v>1404</v>
      </c>
      <c r="C425" s="25" t="s">
        <v>1403</v>
      </c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37"/>
      <c r="AJ425" s="25"/>
      <c r="AK425" s="25"/>
      <c r="AL425" s="38"/>
      <c r="AM425" s="39"/>
      <c r="AN425" s="25"/>
      <c r="AO425" s="40"/>
      <c r="AP425" s="40"/>
    </row>
    <row r="426" ht="15.0" customHeight="1">
      <c r="A426" s="32" t="s">
        <v>451</v>
      </c>
      <c r="B426" s="25" t="s">
        <v>1404</v>
      </c>
      <c r="C426" s="25" t="s">
        <v>1403</v>
      </c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37"/>
      <c r="AJ426" s="25"/>
      <c r="AK426" s="25"/>
      <c r="AL426" s="38"/>
      <c r="AM426" s="39"/>
      <c r="AN426" s="25"/>
      <c r="AO426" s="40"/>
      <c r="AP426" s="40"/>
    </row>
    <row r="427" ht="15.0" customHeight="1">
      <c r="A427" s="32" t="s">
        <v>452</v>
      </c>
      <c r="B427" s="25" t="s">
        <v>1404</v>
      </c>
      <c r="C427" s="25" t="s">
        <v>1403</v>
      </c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37"/>
      <c r="AJ427" s="25"/>
      <c r="AK427" s="25"/>
      <c r="AL427" s="38"/>
      <c r="AM427" s="39"/>
      <c r="AN427" s="25"/>
      <c r="AO427" s="40"/>
      <c r="AP427" s="40"/>
    </row>
    <row r="428" ht="15.0" customHeight="1">
      <c r="A428" s="32" t="s">
        <v>453</v>
      </c>
      <c r="B428" s="25" t="s">
        <v>1404</v>
      </c>
      <c r="C428" s="25" t="s">
        <v>1403</v>
      </c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37"/>
      <c r="AJ428" s="25"/>
      <c r="AK428" s="25"/>
      <c r="AL428" s="38"/>
      <c r="AM428" s="39"/>
      <c r="AN428" s="25"/>
      <c r="AO428" s="40"/>
      <c r="AP428" s="40"/>
    </row>
    <row r="429" ht="15.0" customHeight="1">
      <c r="A429" s="32" t="s">
        <v>454</v>
      </c>
      <c r="B429" s="25" t="s">
        <v>1404</v>
      </c>
      <c r="C429" s="25" t="s">
        <v>1403</v>
      </c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37"/>
      <c r="AJ429" s="25"/>
      <c r="AK429" s="25"/>
      <c r="AL429" s="38"/>
      <c r="AM429" s="39"/>
      <c r="AN429" s="25"/>
      <c r="AO429" s="40"/>
      <c r="AP429" s="40"/>
    </row>
    <row r="430" ht="15.0" customHeight="1">
      <c r="A430" s="32" t="s">
        <v>455</v>
      </c>
      <c r="B430" s="25" t="s">
        <v>1404</v>
      </c>
      <c r="C430" s="25" t="s">
        <v>1403</v>
      </c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37"/>
      <c r="AJ430" s="25"/>
      <c r="AK430" s="25"/>
      <c r="AL430" s="38"/>
      <c r="AM430" s="39"/>
      <c r="AN430" s="25"/>
      <c r="AO430" s="40"/>
      <c r="AP430" s="40"/>
    </row>
    <row r="431" ht="15.0" customHeight="1">
      <c r="A431" s="32" t="s">
        <v>456</v>
      </c>
      <c r="B431" s="25" t="s">
        <v>1404</v>
      </c>
      <c r="C431" s="25" t="s">
        <v>1403</v>
      </c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37"/>
      <c r="AJ431" s="25"/>
      <c r="AK431" s="25"/>
      <c r="AL431" s="38"/>
      <c r="AM431" s="39"/>
      <c r="AN431" s="25"/>
      <c r="AO431" s="40"/>
      <c r="AP431" s="40"/>
    </row>
    <row r="432" ht="15.0" customHeight="1">
      <c r="A432" s="32" t="s">
        <v>457</v>
      </c>
      <c r="B432" s="25" t="s">
        <v>1404</v>
      </c>
      <c r="C432" s="25" t="s">
        <v>1403</v>
      </c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37"/>
      <c r="AJ432" s="25"/>
      <c r="AK432" s="25"/>
      <c r="AL432" s="38"/>
      <c r="AM432" s="39"/>
      <c r="AN432" s="25"/>
      <c r="AO432" s="40"/>
      <c r="AP432" s="40"/>
    </row>
    <row r="433" ht="15.0" customHeight="1">
      <c r="A433" s="32" t="s">
        <v>458</v>
      </c>
      <c r="B433" s="25" t="s">
        <v>1404</v>
      </c>
      <c r="C433" s="25" t="s">
        <v>1403</v>
      </c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37"/>
      <c r="AJ433" s="25"/>
      <c r="AK433" s="25"/>
      <c r="AL433" s="38"/>
      <c r="AM433" s="39"/>
      <c r="AN433" s="25"/>
      <c r="AO433" s="40"/>
      <c r="AP433" s="40"/>
    </row>
    <row r="434" ht="15.0" customHeight="1">
      <c r="A434" s="32" t="s">
        <v>459</v>
      </c>
      <c r="B434" s="25" t="s">
        <v>1404</v>
      </c>
      <c r="C434" s="25" t="s">
        <v>1403</v>
      </c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37"/>
      <c r="AJ434" s="25"/>
      <c r="AK434" s="25"/>
      <c r="AL434" s="38"/>
      <c r="AM434" s="39"/>
      <c r="AN434" s="25"/>
      <c r="AO434" s="40"/>
      <c r="AP434" s="40"/>
    </row>
    <row r="435" ht="15.0" customHeight="1">
      <c r="A435" s="32" t="s">
        <v>460</v>
      </c>
      <c r="B435" s="25" t="s">
        <v>1404</v>
      </c>
      <c r="C435" s="25" t="s">
        <v>1403</v>
      </c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37"/>
      <c r="AJ435" s="25"/>
      <c r="AK435" s="25"/>
      <c r="AL435" s="38"/>
      <c r="AM435" s="39"/>
      <c r="AN435" s="25"/>
      <c r="AO435" s="40"/>
      <c r="AP435" s="40"/>
    </row>
    <row r="436" ht="15.0" customHeight="1">
      <c r="A436" s="32" t="s">
        <v>461</v>
      </c>
      <c r="B436" s="25" t="s">
        <v>1404</v>
      </c>
      <c r="C436" s="25" t="s">
        <v>1403</v>
      </c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37"/>
      <c r="AJ436" s="25"/>
      <c r="AK436" s="25"/>
      <c r="AL436" s="38"/>
      <c r="AM436" s="39"/>
      <c r="AN436" s="25"/>
      <c r="AO436" s="40"/>
      <c r="AP436" s="40"/>
    </row>
    <row r="437" ht="15.0" customHeight="1">
      <c r="A437" s="32" t="s">
        <v>462</v>
      </c>
      <c r="B437" s="25" t="s">
        <v>1404</v>
      </c>
      <c r="C437" s="25" t="s">
        <v>1403</v>
      </c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37"/>
      <c r="AJ437" s="25"/>
      <c r="AK437" s="25"/>
      <c r="AL437" s="38"/>
      <c r="AM437" s="39"/>
      <c r="AN437" s="25"/>
      <c r="AO437" s="40"/>
      <c r="AP437" s="40"/>
    </row>
    <row r="438" ht="15.0" customHeight="1">
      <c r="A438" s="32" t="s">
        <v>463</v>
      </c>
      <c r="B438" s="25" t="s">
        <v>1404</v>
      </c>
      <c r="C438" s="25" t="s">
        <v>1403</v>
      </c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37"/>
      <c r="AJ438" s="25"/>
      <c r="AK438" s="25"/>
      <c r="AL438" s="38"/>
      <c r="AM438" s="39"/>
      <c r="AN438" s="25"/>
      <c r="AO438" s="40"/>
      <c r="AP438" s="40"/>
    </row>
    <row r="439" ht="15.0" customHeight="1">
      <c r="A439" s="32" t="s">
        <v>464</v>
      </c>
      <c r="B439" s="25" t="s">
        <v>1404</v>
      </c>
      <c r="C439" s="25" t="s">
        <v>1403</v>
      </c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37"/>
      <c r="AJ439" s="25"/>
      <c r="AK439" s="25"/>
      <c r="AL439" s="38"/>
      <c r="AM439" s="39"/>
      <c r="AN439" s="25"/>
      <c r="AO439" s="40"/>
      <c r="AP439" s="40"/>
    </row>
    <row r="440" ht="15.0" customHeight="1">
      <c r="A440" s="32" t="s">
        <v>465</v>
      </c>
      <c r="B440" s="25" t="s">
        <v>1404</v>
      </c>
      <c r="C440" s="25" t="s">
        <v>1403</v>
      </c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37"/>
      <c r="AJ440" s="25"/>
      <c r="AK440" s="25"/>
      <c r="AL440" s="38"/>
      <c r="AM440" s="39"/>
      <c r="AN440" s="25"/>
      <c r="AO440" s="40"/>
      <c r="AP440" s="40"/>
    </row>
    <row r="441" ht="15.0" customHeight="1">
      <c r="A441" s="32" t="s">
        <v>466</v>
      </c>
      <c r="B441" s="25" t="s">
        <v>1404</v>
      </c>
      <c r="C441" s="25" t="s">
        <v>1403</v>
      </c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37"/>
      <c r="AJ441" s="25"/>
      <c r="AK441" s="25"/>
      <c r="AL441" s="38"/>
      <c r="AM441" s="39"/>
      <c r="AN441" s="25"/>
      <c r="AO441" s="40"/>
      <c r="AP441" s="40"/>
    </row>
    <row r="442" ht="15.0" customHeight="1">
      <c r="A442" s="32" t="s">
        <v>467</v>
      </c>
      <c r="B442" s="25" t="s">
        <v>1404</v>
      </c>
      <c r="C442" s="25" t="s">
        <v>1403</v>
      </c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37"/>
      <c r="AJ442" s="25"/>
      <c r="AK442" s="25"/>
      <c r="AL442" s="38"/>
      <c r="AM442" s="39"/>
      <c r="AN442" s="25"/>
      <c r="AO442" s="40"/>
      <c r="AP442" s="40"/>
    </row>
    <row r="443" ht="15.0" customHeight="1">
      <c r="A443" s="32" t="s">
        <v>468</v>
      </c>
      <c r="B443" s="25" t="s">
        <v>1404</v>
      </c>
      <c r="C443" s="25" t="s">
        <v>1403</v>
      </c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37"/>
      <c r="AJ443" s="25"/>
      <c r="AK443" s="25"/>
      <c r="AL443" s="38"/>
      <c r="AM443" s="39"/>
      <c r="AN443" s="25"/>
      <c r="AO443" s="40"/>
      <c r="AP443" s="40"/>
    </row>
    <row r="444" ht="15.0" customHeight="1">
      <c r="A444" s="32" t="s">
        <v>469</v>
      </c>
      <c r="B444" s="25" t="s">
        <v>1404</v>
      </c>
      <c r="C444" s="25" t="s">
        <v>1403</v>
      </c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37"/>
      <c r="AJ444" s="25"/>
      <c r="AK444" s="25"/>
      <c r="AL444" s="38"/>
      <c r="AM444" s="39"/>
      <c r="AN444" s="25"/>
      <c r="AO444" s="40"/>
      <c r="AP444" s="40"/>
    </row>
    <row r="445" ht="15.0" customHeight="1">
      <c r="A445" s="32" t="s">
        <v>470</v>
      </c>
      <c r="B445" s="25" t="s">
        <v>1404</v>
      </c>
      <c r="C445" s="25" t="s">
        <v>1403</v>
      </c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37"/>
      <c r="AJ445" s="25"/>
      <c r="AK445" s="25"/>
      <c r="AL445" s="38"/>
      <c r="AM445" s="39"/>
      <c r="AN445" s="25"/>
      <c r="AO445" s="40"/>
      <c r="AP445" s="40"/>
    </row>
    <row r="446" ht="15.0" customHeight="1">
      <c r="A446" s="32" t="s">
        <v>471</v>
      </c>
      <c r="B446" s="25" t="s">
        <v>1404</v>
      </c>
      <c r="C446" s="25" t="s">
        <v>1403</v>
      </c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37"/>
      <c r="AJ446" s="25"/>
      <c r="AK446" s="25"/>
      <c r="AL446" s="38"/>
      <c r="AM446" s="39"/>
      <c r="AN446" s="25"/>
      <c r="AO446" s="40"/>
      <c r="AP446" s="40"/>
    </row>
    <row r="447" ht="15.0" customHeight="1">
      <c r="A447" s="32" t="s">
        <v>472</v>
      </c>
      <c r="B447" s="25" t="s">
        <v>1404</v>
      </c>
      <c r="C447" s="25" t="s">
        <v>1403</v>
      </c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37"/>
      <c r="AJ447" s="25"/>
      <c r="AK447" s="25"/>
      <c r="AL447" s="38"/>
      <c r="AM447" s="39"/>
      <c r="AN447" s="25"/>
      <c r="AO447" s="40"/>
      <c r="AP447" s="40"/>
    </row>
    <row r="448" ht="15.0" customHeight="1">
      <c r="A448" s="32" t="s">
        <v>473</v>
      </c>
      <c r="B448" s="25" t="s">
        <v>1404</v>
      </c>
      <c r="C448" s="25" t="s">
        <v>1403</v>
      </c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37"/>
      <c r="AJ448" s="25"/>
      <c r="AK448" s="25"/>
      <c r="AL448" s="38"/>
      <c r="AM448" s="39"/>
      <c r="AN448" s="25"/>
      <c r="AO448" s="40"/>
      <c r="AP448" s="40"/>
    </row>
    <row r="449" ht="15.0" customHeight="1">
      <c r="A449" s="32" t="s">
        <v>474</v>
      </c>
      <c r="B449" s="25" t="s">
        <v>1404</v>
      </c>
      <c r="C449" s="25" t="s">
        <v>1403</v>
      </c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37"/>
      <c r="AJ449" s="25"/>
      <c r="AK449" s="25"/>
      <c r="AL449" s="38"/>
      <c r="AM449" s="39"/>
      <c r="AN449" s="25"/>
      <c r="AO449" s="40"/>
      <c r="AP449" s="40"/>
    </row>
    <row r="450" ht="15.0" customHeight="1">
      <c r="A450" s="32" t="s">
        <v>475</v>
      </c>
      <c r="B450" s="25" t="s">
        <v>1404</v>
      </c>
      <c r="C450" s="25" t="s">
        <v>1403</v>
      </c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37"/>
      <c r="AJ450" s="25"/>
      <c r="AK450" s="25"/>
      <c r="AL450" s="38"/>
      <c r="AM450" s="39"/>
      <c r="AN450" s="25"/>
      <c r="AO450" s="40"/>
      <c r="AP450" s="40"/>
    </row>
    <row r="451" ht="15.0" customHeight="1">
      <c r="A451" s="32" t="s">
        <v>476</v>
      </c>
      <c r="B451" s="25" t="s">
        <v>1404</v>
      </c>
      <c r="C451" s="25" t="s">
        <v>1403</v>
      </c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37"/>
      <c r="AJ451" s="25"/>
      <c r="AK451" s="25"/>
      <c r="AL451" s="38"/>
      <c r="AM451" s="39"/>
      <c r="AN451" s="25"/>
      <c r="AO451" s="40"/>
      <c r="AP451" s="40"/>
    </row>
    <row r="452" ht="15.0" customHeight="1">
      <c r="A452" s="32" t="s">
        <v>477</v>
      </c>
      <c r="B452" s="25" t="s">
        <v>1404</v>
      </c>
      <c r="C452" s="25" t="s">
        <v>1403</v>
      </c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37"/>
      <c r="AJ452" s="25"/>
      <c r="AK452" s="25"/>
      <c r="AL452" s="38"/>
      <c r="AM452" s="39"/>
      <c r="AN452" s="25"/>
      <c r="AO452" s="40"/>
      <c r="AP452" s="40"/>
    </row>
    <row r="453" ht="15.0" customHeight="1">
      <c r="A453" s="32" t="s">
        <v>478</v>
      </c>
      <c r="B453" s="25" t="s">
        <v>1404</v>
      </c>
      <c r="C453" s="25" t="s">
        <v>1403</v>
      </c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37"/>
      <c r="AJ453" s="25"/>
      <c r="AK453" s="25"/>
      <c r="AL453" s="38"/>
      <c r="AM453" s="39"/>
      <c r="AN453" s="25"/>
      <c r="AO453" s="40"/>
      <c r="AP453" s="40"/>
    </row>
    <row r="454" ht="15.0" customHeight="1">
      <c r="A454" s="32" t="s">
        <v>479</v>
      </c>
      <c r="B454" s="25" t="s">
        <v>1404</v>
      </c>
      <c r="C454" s="25" t="s">
        <v>1403</v>
      </c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37"/>
      <c r="AJ454" s="25"/>
      <c r="AK454" s="25"/>
      <c r="AL454" s="38"/>
      <c r="AM454" s="39"/>
      <c r="AN454" s="25"/>
      <c r="AO454" s="40"/>
      <c r="AP454" s="40"/>
    </row>
    <row r="455" ht="15.0" customHeight="1">
      <c r="A455" s="32" t="s">
        <v>480</v>
      </c>
      <c r="B455" s="25" t="s">
        <v>1404</v>
      </c>
      <c r="C455" s="25" t="s">
        <v>1403</v>
      </c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37"/>
      <c r="AJ455" s="25"/>
      <c r="AK455" s="25"/>
      <c r="AL455" s="38"/>
      <c r="AM455" s="39"/>
      <c r="AN455" s="25"/>
      <c r="AO455" s="40"/>
      <c r="AP455" s="40"/>
    </row>
    <row r="456" ht="15.0" customHeight="1">
      <c r="A456" s="32" t="s">
        <v>481</v>
      </c>
      <c r="B456" s="25" t="s">
        <v>1404</v>
      </c>
      <c r="C456" s="25" t="s">
        <v>1403</v>
      </c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37"/>
      <c r="AJ456" s="25"/>
      <c r="AK456" s="25"/>
      <c r="AL456" s="38"/>
      <c r="AM456" s="39"/>
      <c r="AN456" s="25"/>
      <c r="AO456" s="40"/>
      <c r="AP456" s="40"/>
    </row>
    <row r="457" ht="15.0" customHeight="1">
      <c r="A457" s="32" t="s">
        <v>482</v>
      </c>
      <c r="B457" s="25" t="s">
        <v>1404</v>
      </c>
      <c r="C457" s="25" t="s">
        <v>1403</v>
      </c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37"/>
      <c r="AJ457" s="25"/>
      <c r="AK457" s="25"/>
      <c r="AL457" s="38"/>
      <c r="AM457" s="39"/>
      <c r="AN457" s="25"/>
      <c r="AO457" s="40"/>
      <c r="AP457" s="40"/>
    </row>
    <row r="458" ht="15.0" customHeight="1">
      <c r="A458" s="32" t="s">
        <v>483</v>
      </c>
      <c r="B458" s="25" t="s">
        <v>1404</v>
      </c>
      <c r="C458" s="25" t="s">
        <v>1403</v>
      </c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37"/>
      <c r="AJ458" s="25"/>
      <c r="AK458" s="25"/>
      <c r="AL458" s="38"/>
      <c r="AM458" s="39"/>
      <c r="AN458" s="25"/>
      <c r="AO458" s="40"/>
      <c r="AP458" s="40"/>
    </row>
    <row r="459" ht="15.0" customHeight="1">
      <c r="A459" s="32" t="s">
        <v>484</v>
      </c>
      <c r="B459" s="25" t="s">
        <v>1404</v>
      </c>
      <c r="C459" s="25" t="s">
        <v>1403</v>
      </c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37"/>
      <c r="AJ459" s="25"/>
      <c r="AK459" s="25"/>
      <c r="AL459" s="38"/>
      <c r="AM459" s="39"/>
      <c r="AN459" s="25"/>
      <c r="AO459" s="40"/>
      <c r="AP459" s="40"/>
    </row>
    <row r="460" ht="15.0" customHeight="1">
      <c r="A460" s="32" t="s">
        <v>485</v>
      </c>
      <c r="B460" s="25" t="s">
        <v>1404</v>
      </c>
      <c r="C460" s="25" t="s">
        <v>1403</v>
      </c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37"/>
      <c r="AJ460" s="25"/>
      <c r="AK460" s="25"/>
      <c r="AL460" s="38"/>
      <c r="AM460" s="39"/>
      <c r="AN460" s="25"/>
      <c r="AO460" s="40"/>
      <c r="AP460" s="40"/>
    </row>
    <row r="461" ht="15.0" customHeight="1">
      <c r="A461" s="32" t="s">
        <v>486</v>
      </c>
      <c r="B461" s="25" t="s">
        <v>1404</v>
      </c>
      <c r="C461" s="25" t="s">
        <v>1403</v>
      </c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37"/>
      <c r="AJ461" s="25"/>
      <c r="AK461" s="25"/>
      <c r="AL461" s="38"/>
      <c r="AM461" s="39"/>
      <c r="AN461" s="25"/>
      <c r="AO461" s="40"/>
      <c r="AP461" s="40"/>
    </row>
    <row r="462" ht="15.0" customHeight="1">
      <c r="A462" s="32" t="s">
        <v>487</v>
      </c>
      <c r="B462" s="25" t="s">
        <v>1404</v>
      </c>
      <c r="C462" s="25" t="s">
        <v>1403</v>
      </c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37"/>
      <c r="AJ462" s="25"/>
      <c r="AK462" s="25"/>
      <c r="AL462" s="38"/>
      <c r="AM462" s="39"/>
      <c r="AN462" s="25"/>
      <c r="AO462" s="40"/>
      <c r="AP462" s="40"/>
    </row>
    <row r="463" ht="15.0" customHeight="1">
      <c r="A463" s="32" t="s">
        <v>488</v>
      </c>
      <c r="B463" s="25" t="s">
        <v>1404</v>
      </c>
      <c r="C463" s="25" t="s">
        <v>1403</v>
      </c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37"/>
      <c r="AJ463" s="25"/>
      <c r="AK463" s="25"/>
      <c r="AL463" s="38"/>
      <c r="AM463" s="39"/>
      <c r="AN463" s="25"/>
      <c r="AO463" s="40"/>
      <c r="AP463" s="40"/>
    </row>
    <row r="464" ht="15.0" customHeight="1">
      <c r="A464" s="32" t="s">
        <v>489</v>
      </c>
      <c r="B464" s="25" t="s">
        <v>1404</v>
      </c>
      <c r="C464" s="25" t="s">
        <v>1403</v>
      </c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37"/>
      <c r="AJ464" s="25"/>
      <c r="AK464" s="25"/>
      <c r="AL464" s="38"/>
      <c r="AM464" s="39"/>
      <c r="AN464" s="25"/>
      <c r="AO464" s="40"/>
      <c r="AP464" s="40"/>
    </row>
    <row r="465" ht="15.0" customHeight="1">
      <c r="A465" s="32" t="s">
        <v>490</v>
      </c>
      <c r="B465" s="25" t="s">
        <v>1404</v>
      </c>
      <c r="C465" s="25" t="s">
        <v>1403</v>
      </c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37"/>
      <c r="AJ465" s="25"/>
      <c r="AK465" s="25"/>
      <c r="AL465" s="38"/>
      <c r="AM465" s="39"/>
      <c r="AN465" s="25"/>
      <c r="AO465" s="40"/>
      <c r="AP465" s="40"/>
    </row>
    <row r="466" ht="15.0" customHeight="1">
      <c r="A466" s="32" t="s">
        <v>491</v>
      </c>
      <c r="B466" s="25" t="s">
        <v>1404</v>
      </c>
      <c r="C466" s="25" t="s">
        <v>1403</v>
      </c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37"/>
      <c r="AJ466" s="25"/>
      <c r="AK466" s="25"/>
      <c r="AL466" s="38"/>
      <c r="AM466" s="39"/>
      <c r="AN466" s="25"/>
      <c r="AO466" s="40"/>
      <c r="AP466" s="40"/>
    </row>
    <row r="467" ht="15.0" customHeight="1">
      <c r="A467" s="32" t="s">
        <v>492</v>
      </c>
      <c r="B467" s="25" t="s">
        <v>1404</v>
      </c>
      <c r="C467" s="25" t="s">
        <v>1403</v>
      </c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37"/>
      <c r="AJ467" s="25"/>
      <c r="AK467" s="25"/>
      <c r="AL467" s="38"/>
      <c r="AM467" s="39"/>
      <c r="AN467" s="25"/>
      <c r="AO467" s="40"/>
      <c r="AP467" s="40"/>
    </row>
    <row r="468" ht="15.0" customHeight="1">
      <c r="A468" s="32" t="s">
        <v>493</v>
      </c>
      <c r="B468" s="25" t="s">
        <v>1404</v>
      </c>
      <c r="C468" s="25" t="s">
        <v>1403</v>
      </c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37"/>
      <c r="AJ468" s="25"/>
      <c r="AK468" s="25"/>
      <c r="AL468" s="38"/>
      <c r="AM468" s="39"/>
      <c r="AN468" s="25"/>
      <c r="AO468" s="40"/>
      <c r="AP468" s="40"/>
    </row>
    <row r="469" ht="15.0" customHeight="1">
      <c r="A469" s="32" t="s">
        <v>494</v>
      </c>
      <c r="B469" s="25" t="s">
        <v>1404</v>
      </c>
      <c r="C469" s="25" t="s">
        <v>1403</v>
      </c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37"/>
      <c r="AJ469" s="25"/>
      <c r="AK469" s="25"/>
      <c r="AL469" s="38"/>
      <c r="AM469" s="39"/>
      <c r="AN469" s="25"/>
      <c r="AO469" s="40"/>
      <c r="AP469" s="40"/>
    </row>
    <row r="470" ht="15.0" customHeight="1">
      <c r="A470" s="32" t="s">
        <v>495</v>
      </c>
      <c r="B470" s="25" t="s">
        <v>1404</v>
      </c>
      <c r="C470" s="25" t="s">
        <v>1403</v>
      </c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37"/>
      <c r="AJ470" s="25"/>
      <c r="AK470" s="25"/>
      <c r="AL470" s="38"/>
      <c r="AM470" s="39"/>
      <c r="AN470" s="25"/>
      <c r="AO470" s="40"/>
      <c r="AP470" s="40"/>
    </row>
    <row r="471" ht="15.0" customHeight="1">
      <c r="A471" s="32" t="s">
        <v>496</v>
      </c>
      <c r="B471" s="25" t="s">
        <v>1404</v>
      </c>
      <c r="C471" s="25" t="s">
        <v>1403</v>
      </c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37"/>
      <c r="AJ471" s="25"/>
      <c r="AK471" s="25"/>
      <c r="AL471" s="38"/>
      <c r="AM471" s="39"/>
      <c r="AN471" s="25"/>
      <c r="AO471" s="40"/>
      <c r="AP471" s="40"/>
    </row>
    <row r="472" ht="15.0" customHeight="1">
      <c r="A472" s="32" t="s">
        <v>497</v>
      </c>
      <c r="B472" s="25" t="s">
        <v>1404</v>
      </c>
      <c r="C472" s="25" t="s">
        <v>1403</v>
      </c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37"/>
      <c r="AJ472" s="25"/>
      <c r="AK472" s="25"/>
      <c r="AL472" s="38"/>
      <c r="AM472" s="39"/>
      <c r="AN472" s="25"/>
      <c r="AO472" s="40"/>
      <c r="AP472" s="40"/>
    </row>
    <row r="473" ht="15.0" customHeight="1">
      <c r="A473" s="32" t="s">
        <v>498</v>
      </c>
      <c r="B473" s="25" t="s">
        <v>1404</v>
      </c>
      <c r="C473" s="25" t="s">
        <v>1403</v>
      </c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37"/>
      <c r="AJ473" s="25"/>
      <c r="AK473" s="25"/>
      <c r="AL473" s="38"/>
      <c r="AM473" s="39"/>
      <c r="AN473" s="25"/>
      <c r="AO473" s="40"/>
      <c r="AP473" s="40"/>
    </row>
    <row r="474" ht="15.0" customHeight="1">
      <c r="A474" s="32" t="s">
        <v>499</v>
      </c>
      <c r="B474" s="25" t="s">
        <v>1404</v>
      </c>
      <c r="C474" s="25" t="s">
        <v>1403</v>
      </c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37"/>
      <c r="AJ474" s="25"/>
      <c r="AK474" s="25"/>
      <c r="AL474" s="38"/>
      <c r="AM474" s="39"/>
      <c r="AN474" s="25"/>
      <c r="AO474" s="40"/>
      <c r="AP474" s="40"/>
    </row>
    <row r="475" ht="15.0" customHeight="1">
      <c r="A475" s="32" t="s">
        <v>500</v>
      </c>
      <c r="B475" s="25" t="s">
        <v>1404</v>
      </c>
      <c r="C475" s="25" t="s">
        <v>1403</v>
      </c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37"/>
      <c r="AJ475" s="25"/>
      <c r="AK475" s="25"/>
      <c r="AL475" s="38"/>
      <c r="AM475" s="39"/>
      <c r="AN475" s="25"/>
      <c r="AO475" s="40"/>
      <c r="AP475" s="40"/>
    </row>
    <row r="476" ht="15.0" customHeight="1">
      <c r="A476" s="32" t="s">
        <v>501</v>
      </c>
      <c r="B476" s="25" t="s">
        <v>1404</v>
      </c>
      <c r="C476" s="25" t="s">
        <v>1403</v>
      </c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37"/>
      <c r="AJ476" s="25"/>
      <c r="AK476" s="25"/>
      <c r="AL476" s="38"/>
      <c r="AM476" s="39"/>
      <c r="AN476" s="25"/>
      <c r="AO476" s="40"/>
      <c r="AP476" s="40"/>
    </row>
    <row r="477" ht="15.0" customHeight="1">
      <c r="A477" s="32" t="s">
        <v>502</v>
      </c>
      <c r="B477" s="25" t="s">
        <v>1404</v>
      </c>
      <c r="C477" s="25" t="s">
        <v>1403</v>
      </c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37"/>
      <c r="AJ477" s="25"/>
      <c r="AK477" s="25"/>
      <c r="AL477" s="38"/>
      <c r="AM477" s="39"/>
      <c r="AN477" s="25"/>
      <c r="AO477" s="40"/>
      <c r="AP477" s="40"/>
    </row>
    <row r="478" ht="15.0" customHeight="1">
      <c r="A478" s="32" t="s">
        <v>503</v>
      </c>
      <c r="B478" s="25" t="s">
        <v>1404</v>
      </c>
      <c r="C478" s="25" t="s">
        <v>1403</v>
      </c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37"/>
      <c r="AJ478" s="25"/>
      <c r="AK478" s="25"/>
      <c r="AL478" s="38"/>
      <c r="AM478" s="39"/>
      <c r="AN478" s="25"/>
      <c r="AO478" s="40"/>
      <c r="AP478" s="40"/>
    </row>
    <row r="479" ht="15.0" customHeight="1">
      <c r="A479" s="32" t="s">
        <v>504</v>
      </c>
      <c r="B479" s="25" t="s">
        <v>1404</v>
      </c>
      <c r="C479" s="25" t="s">
        <v>1403</v>
      </c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37"/>
      <c r="AJ479" s="25"/>
      <c r="AK479" s="25"/>
      <c r="AL479" s="38"/>
      <c r="AM479" s="39"/>
      <c r="AN479" s="25"/>
      <c r="AO479" s="40"/>
      <c r="AP479" s="40"/>
    </row>
    <row r="480" ht="15.0" customHeight="1">
      <c r="A480" s="32" t="s">
        <v>505</v>
      </c>
      <c r="B480" s="25" t="s">
        <v>1404</v>
      </c>
      <c r="C480" s="25" t="s">
        <v>1403</v>
      </c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37"/>
      <c r="AJ480" s="25"/>
      <c r="AK480" s="25"/>
      <c r="AL480" s="38"/>
      <c r="AM480" s="39"/>
      <c r="AN480" s="25"/>
      <c r="AO480" s="40"/>
      <c r="AP480" s="40"/>
    </row>
    <row r="481" ht="15.0" customHeight="1">
      <c r="A481" s="32" t="s">
        <v>506</v>
      </c>
      <c r="B481" s="25" t="s">
        <v>1404</v>
      </c>
      <c r="C481" s="25" t="s">
        <v>1403</v>
      </c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37"/>
      <c r="AJ481" s="25"/>
      <c r="AK481" s="25"/>
      <c r="AL481" s="38"/>
      <c r="AM481" s="39"/>
      <c r="AN481" s="25"/>
      <c r="AO481" s="40"/>
      <c r="AP481" s="40"/>
    </row>
    <row r="482" ht="15.0" customHeight="1">
      <c r="A482" s="32" t="s">
        <v>507</v>
      </c>
      <c r="B482" s="25" t="s">
        <v>1404</v>
      </c>
      <c r="C482" s="25" t="s">
        <v>1403</v>
      </c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37"/>
      <c r="AJ482" s="25"/>
      <c r="AK482" s="25"/>
      <c r="AL482" s="38"/>
      <c r="AM482" s="39"/>
      <c r="AN482" s="25"/>
      <c r="AO482" s="40"/>
      <c r="AP482" s="40"/>
    </row>
    <row r="483" ht="15.0" customHeight="1">
      <c r="A483" s="32" t="s">
        <v>508</v>
      </c>
      <c r="B483" s="25" t="s">
        <v>1404</v>
      </c>
      <c r="C483" s="25" t="s">
        <v>1403</v>
      </c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37"/>
      <c r="AJ483" s="25"/>
      <c r="AK483" s="25"/>
      <c r="AL483" s="38"/>
      <c r="AM483" s="39"/>
      <c r="AN483" s="25"/>
      <c r="AO483" s="40"/>
      <c r="AP483" s="40"/>
    </row>
    <row r="484" ht="15.0" customHeight="1">
      <c r="A484" s="32" t="s">
        <v>509</v>
      </c>
      <c r="B484" s="25" t="s">
        <v>1404</v>
      </c>
      <c r="C484" s="25" t="s">
        <v>1403</v>
      </c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37"/>
      <c r="AJ484" s="25"/>
      <c r="AK484" s="25"/>
      <c r="AL484" s="38"/>
      <c r="AM484" s="39"/>
      <c r="AN484" s="25"/>
      <c r="AO484" s="40"/>
      <c r="AP484" s="40"/>
    </row>
    <row r="485" ht="15.0" customHeight="1">
      <c r="A485" s="32" t="s">
        <v>510</v>
      </c>
      <c r="B485" s="25" t="s">
        <v>1404</v>
      </c>
      <c r="C485" s="25" t="s">
        <v>1403</v>
      </c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37"/>
      <c r="AJ485" s="25"/>
      <c r="AK485" s="25"/>
      <c r="AL485" s="38"/>
      <c r="AM485" s="39"/>
      <c r="AN485" s="25"/>
      <c r="AO485" s="40"/>
      <c r="AP485" s="40"/>
    </row>
    <row r="486" ht="15.0" customHeight="1">
      <c r="A486" s="32" t="s">
        <v>511</v>
      </c>
      <c r="B486" s="25" t="s">
        <v>1404</v>
      </c>
      <c r="C486" s="25" t="s">
        <v>1403</v>
      </c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37"/>
      <c r="AJ486" s="25"/>
      <c r="AK486" s="25"/>
      <c r="AL486" s="38"/>
      <c r="AM486" s="39"/>
      <c r="AN486" s="25"/>
      <c r="AO486" s="40"/>
      <c r="AP486" s="40"/>
    </row>
    <row r="487" ht="15.0" customHeight="1">
      <c r="A487" s="32" t="s">
        <v>512</v>
      </c>
      <c r="B487" s="25" t="s">
        <v>1404</v>
      </c>
      <c r="C487" s="25" t="s">
        <v>1403</v>
      </c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37"/>
      <c r="AJ487" s="25"/>
      <c r="AK487" s="25"/>
      <c r="AL487" s="38"/>
      <c r="AM487" s="39"/>
      <c r="AN487" s="25"/>
      <c r="AO487" s="40"/>
      <c r="AP487" s="40"/>
    </row>
    <row r="488" ht="15.0" customHeight="1">
      <c r="A488" s="32" t="s">
        <v>513</v>
      </c>
      <c r="B488" s="25" t="s">
        <v>1404</v>
      </c>
      <c r="C488" s="25" t="s">
        <v>1403</v>
      </c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37"/>
      <c r="AJ488" s="25"/>
      <c r="AK488" s="25"/>
      <c r="AL488" s="38"/>
      <c r="AM488" s="39"/>
      <c r="AN488" s="25"/>
      <c r="AO488" s="40"/>
      <c r="AP488" s="40"/>
    </row>
    <row r="489" ht="15.0" customHeight="1">
      <c r="A489" s="32" t="s">
        <v>514</v>
      </c>
      <c r="B489" s="25" t="s">
        <v>1404</v>
      </c>
      <c r="C489" s="25" t="s">
        <v>1403</v>
      </c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37"/>
      <c r="AJ489" s="25"/>
      <c r="AK489" s="25"/>
      <c r="AL489" s="38"/>
      <c r="AM489" s="39"/>
      <c r="AN489" s="25"/>
      <c r="AO489" s="40"/>
      <c r="AP489" s="40"/>
    </row>
    <row r="490" ht="15.0" customHeight="1">
      <c r="A490" s="32" t="s">
        <v>515</v>
      </c>
      <c r="B490" s="25" t="s">
        <v>1404</v>
      </c>
      <c r="C490" s="25" t="s">
        <v>1403</v>
      </c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37"/>
      <c r="AJ490" s="25"/>
      <c r="AK490" s="25"/>
      <c r="AL490" s="38"/>
      <c r="AM490" s="39"/>
      <c r="AN490" s="25"/>
      <c r="AO490" s="40"/>
      <c r="AP490" s="40"/>
    </row>
    <row r="491" ht="15.0" customHeight="1">
      <c r="A491" s="32" t="s">
        <v>516</v>
      </c>
      <c r="B491" s="25" t="s">
        <v>1404</v>
      </c>
      <c r="C491" s="25" t="s">
        <v>1403</v>
      </c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37"/>
      <c r="AJ491" s="25"/>
      <c r="AK491" s="25"/>
      <c r="AL491" s="38"/>
      <c r="AM491" s="39"/>
      <c r="AN491" s="25"/>
      <c r="AO491" s="40"/>
      <c r="AP491" s="40"/>
    </row>
    <row r="492" ht="15.0" customHeight="1">
      <c r="A492" s="32" t="s">
        <v>517</v>
      </c>
      <c r="B492" s="25" t="s">
        <v>1404</v>
      </c>
      <c r="C492" s="25" t="s">
        <v>1403</v>
      </c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37"/>
      <c r="AJ492" s="25"/>
      <c r="AK492" s="25"/>
      <c r="AL492" s="38"/>
      <c r="AM492" s="39"/>
      <c r="AN492" s="25"/>
      <c r="AO492" s="40"/>
      <c r="AP492" s="40"/>
    </row>
    <row r="493" ht="15.0" customHeight="1">
      <c r="A493" s="32" t="s">
        <v>518</v>
      </c>
      <c r="B493" s="25" t="s">
        <v>1404</v>
      </c>
      <c r="C493" s="25" t="s">
        <v>1403</v>
      </c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37"/>
      <c r="AJ493" s="25"/>
      <c r="AK493" s="25"/>
      <c r="AL493" s="38"/>
      <c r="AM493" s="39"/>
      <c r="AN493" s="25"/>
      <c r="AO493" s="40"/>
      <c r="AP493" s="40"/>
    </row>
    <row r="494" ht="15.0" customHeight="1">
      <c r="A494" s="32" t="s">
        <v>519</v>
      </c>
      <c r="B494" s="25" t="s">
        <v>1404</v>
      </c>
      <c r="C494" s="25" t="s">
        <v>1403</v>
      </c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37"/>
      <c r="AJ494" s="25"/>
      <c r="AK494" s="25"/>
      <c r="AL494" s="38"/>
      <c r="AM494" s="39"/>
      <c r="AN494" s="25"/>
      <c r="AO494" s="40"/>
      <c r="AP494" s="40"/>
    </row>
    <row r="495" ht="15.0" customHeight="1">
      <c r="A495" s="32" t="s">
        <v>520</v>
      </c>
      <c r="B495" s="25" t="s">
        <v>1404</v>
      </c>
      <c r="C495" s="25" t="s">
        <v>1403</v>
      </c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37"/>
      <c r="AJ495" s="25"/>
      <c r="AK495" s="25"/>
      <c r="AL495" s="38"/>
      <c r="AM495" s="39"/>
      <c r="AN495" s="25"/>
      <c r="AO495" s="40"/>
      <c r="AP495" s="40"/>
    </row>
    <row r="496" ht="15.0" customHeight="1">
      <c r="A496" s="32" t="s">
        <v>521</v>
      </c>
      <c r="B496" s="25" t="s">
        <v>1404</v>
      </c>
      <c r="C496" s="25" t="s">
        <v>1403</v>
      </c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37"/>
      <c r="AJ496" s="25"/>
      <c r="AK496" s="25"/>
      <c r="AL496" s="38"/>
      <c r="AM496" s="39"/>
      <c r="AN496" s="25"/>
      <c r="AO496" s="40"/>
      <c r="AP496" s="40"/>
    </row>
    <row r="497" ht="15.0" customHeight="1">
      <c r="A497" s="32" t="s">
        <v>522</v>
      </c>
      <c r="B497" s="25" t="s">
        <v>1404</v>
      </c>
      <c r="C497" s="25" t="s">
        <v>1403</v>
      </c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37"/>
      <c r="AJ497" s="25"/>
      <c r="AK497" s="25"/>
      <c r="AL497" s="38"/>
      <c r="AM497" s="39"/>
      <c r="AN497" s="25"/>
      <c r="AO497" s="40"/>
      <c r="AP497" s="40"/>
    </row>
    <row r="498" ht="15.0" customHeight="1">
      <c r="A498" s="32" t="s">
        <v>523</v>
      </c>
      <c r="B498" s="25" t="s">
        <v>1404</v>
      </c>
      <c r="C498" s="25" t="s">
        <v>1403</v>
      </c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37"/>
      <c r="AJ498" s="25"/>
      <c r="AK498" s="25"/>
      <c r="AL498" s="38"/>
      <c r="AM498" s="39"/>
      <c r="AN498" s="25"/>
      <c r="AO498" s="40"/>
      <c r="AP498" s="40"/>
    </row>
    <row r="499" ht="15.0" customHeight="1">
      <c r="A499" s="32" t="s">
        <v>524</v>
      </c>
      <c r="B499" s="25" t="s">
        <v>1404</v>
      </c>
      <c r="C499" s="25" t="s">
        <v>1403</v>
      </c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37"/>
      <c r="AJ499" s="25"/>
      <c r="AK499" s="25"/>
      <c r="AL499" s="38"/>
      <c r="AM499" s="39"/>
      <c r="AN499" s="25"/>
      <c r="AO499" s="40"/>
      <c r="AP499" s="40"/>
    </row>
    <row r="500" ht="15.0" customHeight="1">
      <c r="A500" s="32" t="s">
        <v>525</v>
      </c>
      <c r="B500" s="25" t="s">
        <v>1404</v>
      </c>
      <c r="C500" s="25" t="s">
        <v>1403</v>
      </c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37"/>
      <c r="AJ500" s="25"/>
      <c r="AK500" s="25"/>
      <c r="AL500" s="38"/>
      <c r="AM500" s="39"/>
      <c r="AN500" s="25"/>
      <c r="AO500" s="40"/>
      <c r="AP500" s="40"/>
    </row>
    <row r="501" ht="15.0" customHeight="1">
      <c r="A501" s="32" t="s">
        <v>526</v>
      </c>
      <c r="B501" s="25" t="s">
        <v>1404</v>
      </c>
      <c r="C501" s="25" t="s">
        <v>1403</v>
      </c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37"/>
      <c r="AJ501" s="25"/>
      <c r="AK501" s="25"/>
      <c r="AL501" s="38"/>
      <c r="AM501" s="39"/>
      <c r="AN501" s="25"/>
      <c r="AO501" s="40"/>
      <c r="AP501" s="40"/>
    </row>
    <row r="502" ht="15.0" customHeight="1">
      <c r="A502" s="32" t="s">
        <v>527</v>
      </c>
      <c r="B502" s="25" t="s">
        <v>1404</v>
      </c>
      <c r="C502" s="25" t="s">
        <v>1403</v>
      </c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37"/>
      <c r="AJ502" s="25"/>
      <c r="AK502" s="25"/>
      <c r="AL502" s="38"/>
      <c r="AM502" s="39"/>
      <c r="AN502" s="25"/>
      <c r="AO502" s="40"/>
      <c r="AP502" s="40"/>
    </row>
    <row r="503" ht="15.0" customHeight="1">
      <c r="A503" s="32" t="s">
        <v>528</v>
      </c>
      <c r="B503" s="25" t="s">
        <v>1404</v>
      </c>
      <c r="C503" s="25" t="s">
        <v>1403</v>
      </c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37"/>
      <c r="AJ503" s="25"/>
      <c r="AK503" s="25"/>
      <c r="AL503" s="38"/>
      <c r="AM503" s="39"/>
      <c r="AN503" s="25"/>
      <c r="AO503" s="40"/>
      <c r="AP503" s="40"/>
    </row>
    <row r="504" ht="15.0" customHeight="1">
      <c r="A504" s="32" t="s">
        <v>529</v>
      </c>
      <c r="B504" s="25" t="s">
        <v>1404</v>
      </c>
      <c r="C504" s="25" t="s">
        <v>1403</v>
      </c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37"/>
      <c r="AJ504" s="25"/>
      <c r="AK504" s="25"/>
      <c r="AL504" s="38"/>
      <c r="AM504" s="39"/>
      <c r="AN504" s="25"/>
      <c r="AO504" s="40"/>
      <c r="AP504" s="40"/>
    </row>
    <row r="505" ht="15.0" customHeight="1">
      <c r="A505" s="32" t="s">
        <v>530</v>
      </c>
      <c r="B505" s="25" t="s">
        <v>1404</v>
      </c>
      <c r="C505" s="25" t="s">
        <v>1403</v>
      </c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37"/>
      <c r="AJ505" s="25"/>
      <c r="AK505" s="25"/>
      <c r="AL505" s="38"/>
      <c r="AM505" s="39"/>
      <c r="AN505" s="25"/>
      <c r="AO505" s="40"/>
      <c r="AP505" s="40"/>
    </row>
    <row r="506" ht="15.0" customHeight="1">
      <c r="A506" s="32" t="s">
        <v>531</v>
      </c>
      <c r="B506" s="25" t="s">
        <v>1404</v>
      </c>
      <c r="C506" s="25" t="s">
        <v>1403</v>
      </c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37"/>
      <c r="AJ506" s="25"/>
      <c r="AK506" s="25"/>
      <c r="AL506" s="38"/>
      <c r="AM506" s="39"/>
      <c r="AN506" s="25"/>
      <c r="AO506" s="40"/>
      <c r="AP506" s="40"/>
    </row>
    <row r="507" ht="15.0" customHeight="1">
      <c r="A507" s="32" t="s">
        <v>532</v>
      </c>
      <c r="B507" s="25" t="s">
        <v>1404</v>
      </c>
      <c r="C507" s="25" t="s">
        <v>1403</v>
      </c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37"/>
      <c r="AJ507" s="25"/>
      <c r="AK507" s="25"/>
      <c r="AL507" s="38"/>
      <c r="AM507" s="39"/>
      <c r="AN507" s="25"/>
      <c r="AO507" s="40"/>
      <c r="AP507" s="40"/>
    </row>
    <row r="508" ht="15.0" customHeight="1">
      <c r="A508" s="32" t="s">
        <v>533</v>
      </c>
      <c r="B508" s="25" t="s">
        <v>1404</v>
      </c>
      <c r="C508" s="25" t="s">
        <v>1403</v>
      </c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37"/>
      <c r="AJ508" s="25"/>
      <c r="AK508" s="25"/>
      <c r="AL508" s="38"/>
      <c r="AM508" s="39"/>
      <c r="AN508" s="25"/>
      <c r="AO508" s="40"/>
      <c r="AP508" s="40"/>
    </row>
    <row r="509" ht="15.0" customHeight="1">
      <c r="A509" s="32" t="s">
        <v>534</v>
      </c>
      <c r="B509" s="25" t="s">
        <v>1404</v>
      </c>
      <c r="C509" s="25" t="s">
        <v>1403</v>
      </c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37"/>
      <c r="AJ509" s="25"/>
      <c r="AK509" s="25"/>
      <c r="AL509" s="38"/>
      <c r="AM509" s="39"/>
      <c r="AN509" s="25"/>
      <c r="AO509" s="40"/>
      <c r="AP509" s="40"/>
    </row>
    <row r="510" ht="15.0" customHeight="1">
      <c r="A510" s="32" t="s">
        <v>535</v>
      </c>
      <c r="B510" s="25" t="s">
        <v>1404</v>
      </c>
      <c r="C510" s="25" t="s">
        <v>1403</v>
      </c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37"/>
      <c r="AJ510" s="25"/>
      <c r="AK510" s="25"/>
      <c r="AL510" s="38"/>
      <c r="AM510" s="39"/>
      <c r="AN510" s="25"/>
      <c r="AO510" s="40"/>
      <c r="AP510" s="40"/>
    </row>
    <row r="511" ht="15.0" customHeight="1">
      <c r="A511" s="32" t="s">
        <v>536</v>
      </c>
      <c r="B511" s="25" t="s">
        <v>1404</v>
      </c>
      <c r="C511" s="25" t="s">
        <v>1403</v>
      </c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37"/>
      <c r="AJ511" s="25"/>
      <c r="AK511" s="25"/>
      <c r="AL511" s="38"/>
      <c r="AM511" s="39"/>
      <c r="AN511" s="25"/>
      <c r="AO511" s="40"/>
      <c r="AP511" s="40"/>
    </row>
    <row r="512" ht="15.0" customHeight="1">
      <c r="A512" s="32" t="s">
        <v>537</v>
      </c>
      <c r="B512" s="25" t="s">
        <v>1404</v>
      </c>
      <c r="C512" s="25" t="s">
        <v>1403</v>
      </c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37"/>
      <c r="AJ512" s="25"/>
      <c r="AK512" s="25"/>
      <c r="AL512" s="38"/>
      <c r="AM512" s="39"/>
      <c r="AN512" s="25"/>
      <c r="AO512" s="40"/>
      <c r="AP512" s="40"/>
    </row>
    <row r="513" ht="15.0" customHeight="1">
      <c r="A513" s="32" t="s">
        <v>538</v>
      </c>
      <c r="B513" s="25" t="s">
        <v>1404</v>
      </c>
      <c r="C513" s="25" t="s">
        <v>1403</v>
      </c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37"/>
      <c r="AJ513" s="25"/>
      <c r="AK513" s="25"/>
      <c r="AL513" s="38"/>
      <c r="AM513" s="39"/>
      <c r="AN513" s="25"/>
      <c r="AO513" s="40"/>
      <c r="AP513" s="40"/>
    </row>
    <row r="514" ht="15.0" customHeight="1">
      <c r="A514" s="32" t="s">
        <v>539</v>
      </c>
      <c r="B514" s="25" t="s">
        <v>1404</v>
      </c>
      <c r="C514" s="25" t="s">
        <v>1403</v>
      </c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37"/>
      <c r="AJ514" s="25"/>
      <c r="AK514" s="25"/>
      <c r="AL514" s="38"/>
      <c r="AM514" s="39"/>
      <c r="AN514" s="25"/>
      <c r="AO514" s="40"/>
      <c r="AP514" s="40"/>
    </row>
    <row r="515" ht="15.0" customHeight="1">
      <c r="A515" s="32" t="s">
        <v>540</v>
      </c>
      <c r="B515" s="25" t="s">
        <v>1404</v>
      </c>
      <c r="C515" s="25" t="s">
        <v>1403</v>
      </c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37"/>
      <c r="AJ515" s="25"/>
      <c r="AK515" s="25"/>
      <c r="AL515" s="38"/>
      <c r="AM515" s="39"/>
      <c r="AN515" s="25"/>
      <c r="AO515" s="40"/>
      <c r="AP515" s="40"/>
    </row>
    <row r="516" ht="15.0" customHeight="1">
      <c r="A516" s="32" t="s">
        <v>541</v>
      </c>
      <c r="B516" s="25" t="s">
        <v>1404</v>
      </c>
      <c r="C516" s="25" t="s">
        <v>1403</v>
      </c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37"/>
      <c r="AJ516" s="25"/>
      <c r="AK516" s="25"/>
      <c r="AL516" s="38"/>
      <c r="AM516" s="39"/>
      <c r="AN516" s="25"/>
      <c r="AO516" s="40"/>
      <c r="AP516" s="40"/>
    </row>
    <row r="517" ht="15.0" customHeight="1">
      <c r="A517" s="32" t="s">
        <v>542</v>
      </c>
      <c r="B517" s="25" t="s">
        <v>1404</v>
      </c>
      <c r="C517" s="25" t="s">
        <v>1403</v>
      </c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37"/>
      <c r="AJ517" s="25"/>
      <c r="AK517" s="25"/>
      <c r="AL517" s="38"/>
      <c r="AM517" s="39"/>
      <c r="AN517" s="25"/>
      <c r="AO517" s="40"/>
      <c r="AP517" s="40"/>
    </row>
    <row r="518" ht="15.0" customHeight="1">
      <c r="A518" s="32" t="s">
        <v>543</v>
      </c>
      <c r="B518" s="25" t="s">
        <v>1404</v>
      </c>
      <c r="C518" s="25" t="s">
        <v>1403</v>
      </c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37"/>
      <c r="AJ518" s="25"/>
      <c r="AK518" s="25"/>
      <c r="AL518" s="38"/>
      <c r="AM518" s="39"/>
      <c r="AN518" s="25"/>
      <c r="AO518" s="40"/>
      <c r="AP518" s="40"/>
    </row>
    <row r="519" ht="15.0" customHeight="1">
      <c r="A519" s="32" t="s">
        <v>544</v>
      </c>
      <c r="B519" s="25" t="s">
        <v>1404</v>
      </c>
      <c r="C519" s="25" t="s">
        <v>1403</v>
      </c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37"/>
      <c r="AJ519" s="25"/>
      <c r="AK519" s="25"/>
      <c r="AL519" s="38"/>
      <c r="AM519" s="39"/>
      <c r="AN519" s="25"/>
      <c r="AO519" s="40"/>
      <c r="AP519" s="40"/>
    </row>
    <row r="520" ht="15.0" customHeight="1">
      <c r="A520" s="32" t="s">
        <v>545</v>
      </c>
      <c r="B520" s="25" t="s">
        <v>1404</v>
      </c>
      <c r="C520" s="25" t="s">
        <v>1403</v>
      </c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37"/>
      <c r="AJ520" s="25"/>
      <c r="AK520" s="25"/>
      <c r="AL520" s="38"/>
      <c r="AM520" s="39"/>
      <c r="AN520" s="25"/>
      <c r="AO520" s="40"/>
      <c r="AP520" s="40"/>
    </row>
    <row r="521" ht="15.0" customHeight="1">
      <c r="A521" s="32" t="s">
        <v>546</v>
      </c>
      <c r="B521" s="25" t="s">
        <v>1404</v>
      </c>
      <c r="C521" s="25" t="s">
        <v>1403</v>
      </c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37"/>
      <c r="AJ521" s="25"/>
      <c r="AK521" s="25"/>
      <c r="AL521" s="38"/>
      <c r="AM521" s="39"/>
      <c r="AN521" s="25"/>
      <c r="AO521" s="40"/>
      <c r="AP521" s="40"/>
    </row>
    <row r="522" ht="15.0" customHeight="1">
      <c r="A522" s="32" t="s">
        <v>547</v>
      </c>
      <c r="B522" s="25" t="s">
        <v>1404</v>
      </c>
      <c r="C522" s="25" t="s">
        <v>1403</v>
      </c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37"/>
      <c r="AJ522" s="25"/>
      <c r="AK522" s="25"/>
      <c r="AL522" s="38"/>
      <c r="AM522" s="39"/>
      <c r="AN522" s="25"/>
      <c r="AO522" s="40"/>
      <c r="AP522" s="40"/>
    </row>
    <row r="523" ht="15.0" customHeight="1">
      <c r="A523" s="32" t="s">
        <v>548</v>
      </c>
      <c r="B523" s="25" t="s">
        <v>1404</v>
      </c>
      <c r="C523" s="25" t="s">
        <v>1403</v>
      </c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37"/>
      <c r="AJ523" s="25"/>
      <c r="AK523" s="25"/>
      <c r="AL523" s="38"/>
      <c r="AM523" s="39"/>
      <c r="AN523" s="25"/>
      <c r="AO523" s="40"/>
      <c r="AP523" s="40"/>
    </row>
    <row r="524" ht="15.0" customHeight="1">
      <c r="A524" s="32" t="s">
        <v>549</v>
      </c>
      <c r="B524" s="25" t="s">
        <v>1404</v>
      </c>
      <c r="C524" s="25" t="s">
        <v>1403</v>
      </c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37"/>
      <c r="AJ524" s="25"/>
      <c r="AK524" s="25"/>
      <c r="AL524" s="38"/>
      <c r="AM524" s="39"/>
      <c r="AN524" s="25"/>
      <c r="AO524" s="40"/>
      <c r="AP524" s="40"/>
    </row>
    <row r="525" ht="15.0" customHeight="1">
      <c r="A525" s="32" t="s">
        <v>550</v>
      </c>
      <c r="B525" s="25" t="s">
        <v>1404</v>
      </c>
      <c r="C525" s="25" t="s">
        <v>1403</v>
      </c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37"/>
      <c r="AJ525" s="25"/>
      <c r="AK525" s="25"/>
      <c r="AL525" s="38"/>
      <c r="AM525" s="39"/>
      <c r="AN525" s="25"/>
      <c r="AO525" s="40"/>
      <c r="AP525" s="40"/>
    </row>
    <row r="526" ht="15.0" customHeight="1">
      <c r="A526" s="32" t="s">
        <v>551</v>
      </c>
      <c r="B526" s="25" t="s">
        <v>1404</v>
      </c>
      <c r="C526" s="25" t="s">
        <v>1403</v>
      </c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37"/>
      <c r="AJ526" s="25"/>
      <c r="AK526" s="25"/>
      <c r="AL526" s="38"/>
      <c r="AM526" s="39"/>
      <c r="AN526" s="25"/>
      <c r="AO526" s="40"/>
      <c r="AP526" s="40"/>
    </row>
    <row r="527" ht="15.0" customHeight="1">
      <c r="A527" s="32" t="s">
        <v>552</v>
      </c>
      <c r="B527" s="25" t="s">
        <v>1404</v>
      </c>
      <c r="C527" s="25" t="s">
        <v>1403</v>
      </c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37"/>
      <c r="AJ527" s="25"/>
      <c r="AK527" s="25"/>
      <c r="AL527" s="38"/>
      <c r="AM527" s="39"/>
      <c r="AN527" s="25"/>
      <c r="AO527" s="40"/>
      <c r="AP527" s="40"/>
    </row>
    <row r="528" ht="15.0" customHeight="1">
      <c r="A528" s="32" t="s">
        <v>553</v>
      </c>
      <c r="B528" s="25" t="s">
        <v>1404</v>
      </c>
      <c r="C528" s="25" t="s">
        <v>1403</v>
      </c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37"/>
      <c r="AJ528" s="25"/>
      <c r="AK528" s="25"/>
      <c r="AL528" s="38"/>
      <c r="AM528" s="39"/>
      <c r="AN528" s="25"/>
      <c r="AO528" s="40"/>
      <c r="AP528" s="40"/>
    </row>
    <row r="529" ht="15.0" customHeight="1">
      <c r="A529" s="32" t="s">
        <v>554</v>
      </c>
      <c r="B529" s="25" t="s">
        <v>1404</v>
      </c>
      <c r="C529" s="25" t="s">
        <v>1403</v>
      </c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37"/>
      <c r="AJ529" s="25"/>
      <c r="AK529" s="25"/>
      <c r="AL529" s="38"/>
      <c r="AM529" s="39"/>
      <c r="AN529" s="25"/>
      <c r="AO529" s="40"/>
      <c r="AP529" s="40"/>
    </row>
    <row r="530" ht="15.0" customHeight="1">
      <c r="A530" s="32" t="s">
        <v>555</v>
      </c>
      <c r="B530" s="25" t="s">
        <v>1404</v>
      </c>
      <c r="C530" s="25" t="s">
        <v>1403</v>
      </c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37"/>
      <c r="AJ530" s="25"/>
      <c r="AK530" s="25"/>
      <c r="AL530" s="38"/>
      <c r="AM530" s="39"/>
      <c r="AN530" s="25"/>
      <c r="AO530" s="40"/>
      <c r="AP530" s="40"/>
    </row>
    <row r="531" ht="15.0" customHeight="1">
      <c r="A531" s="32" t="s">
        <v>556</v>
      </c>
      <c r="B531" s="25" t="s">
        <v>1404</v>
      </c>
      <c r="C531" s="25" t="s">
        <v>1403</v>
      </c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37"/>
      <c r="AJ531" s="25"/>
      <c r="AK531" s="25"/>
      <c r="AL531" s="38"/>
      <c r="AM531" s="39"/>
      <c r="AN531" s="25"/>
      <c r="AO531" s="40"/>
      <c r="AP531" s="40"/>
    </row>
    <row r="532" ht="15.0" customHeight="1">
      <c r="A532" s="32" t="s">
        <v>557</v>
      </c>
      <c r="B532" s="25" t="s">
        <v>1404</v>
      </c>
      <c r="C532" s="25" t="s">
        <v>1403</v>
      </c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37"/>
      <c r="AJ532" s="25"/>
      <c r="AK532" s="25"/>
      <c r="AL532" s="38"/>
      <c r="AM532" s="39"/>
      <c r="AN532" s="25"/>
      <c r="AO532" s="40"/>
      <c r="AP532" s="40"/>
    </row>
    <row r="533" ht="15.0" customHeight="1">
      <c r="A533" s="32" t="s">
        <v>558</v>
      </c>
      <c r="B533" s="25" t="s">
        <v>1404</v>
      </c>
      <c r="C533" s="25" t="s">
        <v>1403</v>
      </c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37"/>
      <c r="AJ533" s="25"/>
      <c r="AK533" s="25"/>
      <c r="AL533" s="38"/>
      <c r="AM533" s="39"/>
      <c r="AN533" s="25"/>
      <c r="AO533" s="40"/>
      <c r="AP533" s="40"/>
    </row>
    <row r="534" ht="15.0" customHeight="1">
      <c r="A534" s="32" t="s">
        <v>559</v>
      </c>
      <c r="B534" s="25" t="s">
        <v>1404</v>
      </c>
      <c r="C534" s="25" t="s">
        <v>1403</v>
      </c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37"/>
      <c r="AJ534" s="25"/>
      <c r="AK534" s="25"/>
      <c r="AL534" s="38"/>
      <c r="AM534" s="39"/>
      <c r="AN534" s="25"/>
      <c r="AO534" s="40"/>
      <c r="AP534" s="40"/>
    </row>
    <row r="535" ht="15.0" customHeight="1">
      <c r="A535" s="32" t="s">
        <v>560</v>
      </c>
      <c r="B535" s="25" t="s">
        <v>1404</v>
      </c>
      <c r="C535" s="25" t="s">
        <v>1403</v>
      </c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37"/>
      <c r="AJ535" s="25"/>
      <c r="AK535" s="25"/>
      <c r="AL535" s="38"/>
      <c r="AM535" s="39"/>
      <c r="AN535" s="25"/>
      <c r="AO535" s="40"/>
      <c r="AP535" s="40"/>
    </row>
    <row r="536" ht="15.0" customHeight="1">
      <c r="A536" s="32" t="s">
        <v>561</v>
      </c>
      <c r="B536" s="25" t="s">
        <v>1404</v>
      </c>
      <c r="C536" s="25" t="s">
        <v>1403</v>
      </c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37"/>
      <c r="AJ536" s="25"/>
      <c r="AK536" s="25"/>
      <c r="AL536" s="38"/>
      <c r="AM536" s="39"/>
      <c r="AN536" s="25"/>
      <c r="AO536" s="40"/>
      <c r="AP536" s="40"/>
    </row>
    <row r="537" ht="15.0" customHeight="1">
      <c r="A537" s="32" t="s">
        <v>562</v>
      </c>
      <c r="B537" s="25" t="s">
        <v>1404</v>
      </c>
      <c r="C537" s="25" t="s">
        <v>1403</v>
      </c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37"/>
      <c r="AJ537" s="25"/>
      <c r="AK537" s="25"/>
      <c r="AL537" s="38"/>
      <c r="AM537" s="39"/>
      <c r="AN537" s="25"/>
      <c r="AO537" s="40"/>
      <c r="AP537" s="40"/>
    </row>
    <row r="538" ht="15.0" customHeight="1">
      <c r="A538" s="32" t="s">
        <v>563</v>
      </c>
      <c r="B538" s="25" t="s">
        <v>1404</v>
      </c>
      <c r="C538" s="25" t="s">
        <v>1403</v>
      </c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37"/>
      <c r="AJ538" s="25"/>
      <c r="AK538" s="25"/>
      <c r="AL538" s="38"/>
      <c r="AM538" s="39"/>
      <c r="AN538" s="25"/>
      <c r="AO538" s="40"/>
      <c r="AP538" s="40"/>
    </row>
    <row r="539" ht="15.0" customHeight="1">
      <c r="A539" s="32" t="s">
        <v>564</v>
      </c>
      <c r="B539" s="25" t="s">
        <v>1404</v>
      </c>
      <c r="C539" s="25" t="s">
        <v>1403</v>
      </c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37"/>
      <c r="AJ539" s="25"/>
      <c r="AK539" s="25"/>
      <c r="AL539" s="38"/>
      <c r="AM539" s="39"/>
      <c r="AN539" s="25"/>
      <c r="AO539" s="40"/>
      <c r="AP539" s="40"/>
    </row>
    <row r="540" ht="15.0" customHeight="1">
      <c r="A540" s="32" t="s">
        <v>565</v>
      </c>
      <c r="B540" s="25" t="s">
        <v>1404</v>
      </c>
      <c r="C540" s="25" t="s">
        <v>1403</v>
      </c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37"/>
      <c r="AJ540" s="25"/>
      <c r="AK540" s="25"/>
      <c r="AL540" s="38"/>
      <c r="AM540" s="39"/>
      <c r="AN540" s="25"/>
      <c r="AO540" s="40"/>
      <c r="AP540" s="40"/>
    </row>
    <row r="541" ht="15.0" customHeight="1">
      <c r="A541" s="32" t="s">
        <v>566</v>
      </c>
      <c r="B541" s="25" t="s">
        <v>1404</v>
      </c>
      <c r="C541" s="25" t="s">
        <v>1403</v>
      </c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37"/>
      <c r="AJ541" s="25"/>
      <c r="AK541" s="25"/>
      <c r="AL541" s="38"/>
      <c r="AM541" s="39"/>
      <c r="AN541" s="25"/>
      <c r="AO541" s="40"/>
      <c r="AP541" s="40"/>
    </row>
    <row r="542" ht="15.0" customHeight="1">
      <c r="A542" s="32" t="s">
        <v>567</v>
      </c>
      <c r="B542" s="25" t="s">
        <v>1404</v>
      </c>
      <c r="C542" s="25" t="s">
        <v>1403</v>
      </c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37"/>
      <c r="AJ542" s="25"/>
      <c r="AK542" s="25"/>
      <c r="AL542" s="38"/>
      <c r="AM542" s="39"/>
      <c r="AN542" s="25"/>
      <c r="AO542" s="40"/>
      <c r="AP542" s="40"/>
    </row>
    <row r="543" ht="15.0" customHeight="1">
      <c r="A543" s="32" t="s">
        <v>568</v>
      </c>
      <c r="B543" s="25" t="s">
        <v>1404</v>
      </c>
      <c r="C543" s="25" t="s">
        <v>1403</v>
      </c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37"/>
      <c r="AJ543" s="25"/>
      <c r="AK543" s="25"/>
      <c r="AL543" s="38"/>
      <c r="AM543" s="39"/>
      <c r="AN543" s="25"/>
      <c r="AO543" s="40"/>
      <c r="AP543" s="40"/>
    </row>
    <row r="544" ht="15.0" customHeight="1">
      <c r="A544" s="32" t="s">
        <v>569</v>
      </c>
      <c r="B544" s="25" t="s">
        <v>1404</v>
      </c>
      <c r="C544" s="25" t="s">
        <v>1403</v>
      </c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37"/>
      <c r="AJ544" s="25"/>
      <c r="AK544" s="25"/>
      <c r="AL544" s="38"/>
      <c r="AM544" s="39"/>
      <c r="AN544" s="25"/>
      <c r="AO544" s="40"/>
      <c r="AP544" s="40"/>
    </row>
    <row r="545" ht="15.0" customHeight="1">
      <c r="A545" s="32" t="s">
        <v>570</v>
      </c>
      <c r="B545" s="25" t="s">
        <v>1404</v>
      </c>
      <c r="C545" s="25" t="s">
        <v>1403</v>
      </c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37"/>
      <c r="AJ545" s="25"/>
      <c r="AK545" s="25"/>
      <c r="AL545" s="38"/>
      <c r="AM545" s="39"/>
      <c r="AN545" s="25"/>
      <c r="AO545" s="40"/>
      <c r="AP545" s="40"/>
    </row>
    <row r="546" ht="15.0" customHeight="1">
      <c r="A546" s="32" t="s">
        <v>571</v>
      </c>
      <c r="B546" s="25" t="s">
        <v>1404</v>
      </c>
      <c r="C546" s="25" t="s">
        <v>1403</v>
      </c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37"/>
      <c r="AJ546" s="25"/>
      <c r="AK546" s="25"/>
      <c r="AL546" s="38"/>
      <c r="AM546" s="39"/>
      <c r="AN546" s="25"/>
      <c r="AO546" s="40"/>
      <c r="AP546" s="40"/>
    </row>
    <row r="547" ht="15.0" customHeight="1">
      <c r="A547" s="32" t="s">
        <v>572</v>
      </c>
      <c r="B547" s="25" t="s">
        <v>1404</v>
      </c>
      <c r="C547" s="25" t="s">
        <v>1403</v>
      </c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37"/>
      <c r="AJ547" s="25"/>
      <c r="AK547" s="25"/>
      <c r="AL547" s="38"/>
      <c r="AM547" s="39"/>
      <c r="AN547" s="25"/>
      <c r="AO547" s="40"/>
      <c r="AP547" s="40"/>
    </row>
    <row r="548" ht="15.0" customHeight="1">
      <c r="A548" s="32" t="s">
        <v>573</v>
      </c>
      <c r="B548" s="25" t="s">
        <v>1404</v>
      </c>
      <c r="C548" s="25" t="s">
        <v>1403</v>
      </c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37"/>
      <c r="AJ548" s="25"/>
      <c r="AK548" s="25"/>
      <c r="AL548" s="38"/>
      <c r="AM548" s="39"/>
      <c r="AN548" s="25"/>
      <c r="AO548" s="40"/>
      <c r="AP548" s="40"/>
    </row>
    <row r="549" ht="15.0" customHeight="1">
      <c r="A549" s="32" t="s">
        <v>574</v>
      </c>
      <c r="B549" s="25" t="s">
        <v>1404</v>
      </c>
      <c r="C549" s="25" t="s">
        <v>1403</v>
      </c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37"/>
      <c r="AJ549" s="25"/>
      <c r="AK549" s="25"/>
      <c r="AL549" s="38"/>
      <c r="AM549" s="39"/>
      <c r="AN549" s="25"/>
      <c r="AO549" s="40"/>
      <c r="AP549" s="40"/>
    </row>
    <row r="550" ht="15.0" customHeight="1">
      <c r="A550" s="32" t="s">
        <v>575</v>
      </c>
      <c r="B550" s="25" t="s">
        <v>1404</v>
      </c>
      <c r="C550" s="25" t="s">
        <v>1403</v>
      </c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37"/>
      <c r="AJ550" s="25"/>
      <c r="AK550" s="25"/>
      <c r="AL550" s="38"/>
      <c r="AM550" s="39"/>
      <c r="AN550" s="25"/>
      <c r="AO550" s="40"/>
      <c r="AP550" s="40"/>
    </row>
    <row r="551" ht="15.0" customHeight="1">
      <c r="A551" s="32" t="s">
        <v>576</v>
      </c>
      <c r="B551" s="25" t="s">
        <v>1404</v>
      </c>
      <c r="C551" s="25" t="s">
        <v>1403</v>
      </c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37"/>
      <c r="AJ551" s="25"/>
      <c r="AK551" s="25"/>
      <c r="AL551" s="38"/>
      <c r="AM551" s="39"/>
      <c r="AN551" s="25"/>
      <c r="AO551" s="40"/>
      <c r="AP551" s="40"/>
    </row>
    <row r="552" ht="15.0" customHeight="1">
      <c r="A552" s="32" t="s">
        <v>577</v>
      </c>
      <c r="B552" s="25" t="s">
        <v>1404</v>
      </c>
      <c r="C552" s="25" t="s">
        <v>1403</v>
      </c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37"/>
      <c r="AJ552" s="25"/>
      <c r="AK552" s="25"/>
      <c r="AL552" s="38"/>
      <c r="AM552" s="39"/>
      <c r="AN552" s="25"/>
      <c r="AO552" s="40"/>
      <c r="AP552" s="40"/>
    </row>
    <row r="553" ht="15.0" customHeight="1">
      <c r="A553" s="32" t="s">
        <v>578</v>
      </c>
      <c r="B553" s="25" t="s">
        <v>1404</v>
      </c>
      <c r="C553" s="25" t="s">
        <v>1403</v>
      </c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37"/>
      <c r="AJ553" s="25"/>
      <c r="AK553" s="25"/>
      <c r="AL553" s="38"/>
      <c r="AM553" s="39"/>
      <c r="AN553" s="25"/>
      <c r="AO553" s="40"/>
      <c r="AP553" s="40"/>
    </row>
    <row r="554" ht="15.0" customHeight="1">
      <c r="A554" s="32" t="s">
        <v>579</v>
      </c>
      <c r="B554" s="25" t="s">
        <v>1404</v>
      </c>
      <c r="C554" s="25" t="s">
        <v>1403</v>
      </c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37"/>
      <c r="AJ554" s="25"/>
      <c r="AK554" s="25"/>
      <c r="AL554" s="38"/>
      <c r="AM554" s="39"/>
      <c r="AN554" s="25"/>
      <c r="AO554" s="40"/>
      <c r="AP554" s="40"/>
    </row>
    <row r="555" ht="15.0" customHeight="1">
      <c r="A555" s="32" t="s">
        <v>580</v>
      </c>
      <c r="B555" s="25" t="s">
        <v>1404</v>
      </c>
      <c r="C555" s="25" t="s">
        <v>1403</v>
      </c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37"/>
      <c r="AJ555" s="25"/>
      <c r="AK555" s="25"/>
      <c r="AL555" s="38"/>
      <c r="AM555" s="39"/>
      <c r="AN555" s="25"/>
      <c r="AO555" s="40"/>
      <c r="AP555" s="40"/>
    </row>
    <row r="556" ht="15.0" customHeight="1">
      <c r="A556" s="32" t="s">
        <v>581</v>
      </c>
      <c r="B556" s="25" t="s">
        <v>1404</v>
      </c>
      <c r="C556" s="25" t="s">
        <v>1403</v>
      </c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37"/>
      <c r="AJ556" s="25"/>
      <c r="AK556" s="25"/>
      <c r="AL556" s="38"/>
      <c r="AM556" s="39"/>
      <c r="AN556" s="25"/>
      <c r="AO556" s="40"/>
      <c r="AP556" s="40"/>
    </row>
    <row r="557" ht="15.0" customHeight="1">
      <c r="A557" s="32" t="s">
        <v>582</v>
      </c>
      <c r="B557" s="25" t="s">
        <v>1404</v>
      </c>
      <c r="C557" s="25" t="s">
        <v>1403</v>
      </c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37"/>
      <c r="AJ557" s="25"/>
      <c r="AK557" s="25"/>
      <c r="AL557" s="38"/>
      <c r="AM557" s="39"/>
      <c r="AN557" s="25"/>
      <c r="AO557" s="40"/>
      <c r="AP557" s="40"/>
    </row>
    <row r="558" ht="15.0" customHeight="1">
      <c r="A558" s="32" t="s">
        <v>583</v>
      </c>
      <c r="B558" s="25" t="s">
        <v>1404</v>
      </c>
      <c r="C558" s="25" t="s">
        <v>1403</v>
      </c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37"/>
      <c r="AJ558" s="25"/>
      <c r="AK558" s="25"/>
      <c r="AL558" s="38"/>
      <c r="AM558" s="39"/>
      <c r="AN558" s="25"/>
      <c r="AO558" s="40"/>
      <c r="AP558" s="40"/>
    </row>
    <row r="559" ht="15.0" customHeight="1">
      <c r="A559" s="32" t="s">
        <v>584</v>
      </c>
      <c r="B559" s="25" t="s">
        <v>1404</v>
      </c>
      <c r="C559" s="25" t="s">
        <v>1403</v>
      </c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37"/>
      <c r="AJ559" s="25"/>
      <c r="AK559" s="25"/>
      <c r="AL559" s="38"/>
      <c r="AM559" s="39"/>
      <c r="AN559" s="25"/>
      <c r="AO559" s="40"/>
      <c r="AP559" s="40"/>
    </row>
    <row r="560" ht="15.0" customHeight="1">
      <c r="A560" s="32" t="s">
        <v>585</v>
      </c>
      <c r="B560" s="25" t="s">
        <v>1404</v>
      </c>
      <c r="C560" s="25" t="s">
        <v>1403</v>
      </c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37"/>
      <c r="AJ560" s="25"/>
      <c r="AK560" s="25"/>
      <c r="AL560" s="38"/>
      <c r="AM560" s="39"/>
      <c r="AN560" s="25"/>
      <c r="AO560" s="40"/>
      <c r="AP560" s="40"/>
    </row>
    <row r="561" ht="15.0" customHeight="1">
      <c r="A561" s="32" t="s">
        <v>586</v>
      </c>
      <c r="B561" s="25" t="s">
        <v>1404</v>
      </c>
      <c r="C561" s="25" t="s">
        <v>1403</v>
      </c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37"/>
      <c r="AJ561" s="25"/>
      <c r="AK561" s="25"/>
      <c r="AL561" s="38"/>
      <c r="AM561" s="39"/>
      <c r="AN561" s="25"/>
      <c r="AO561" s="40"/>
      <c r="AP561" s="40"/>
    </row>
    <row r="562" ht="15.0" customHeight="1">
      <c r="A562" s="32" t="s">
        <v>587</v>
      </c>
      <c r="B562" s="25" t="s">
        <v>1404</v>
      </c>
      <c r="C562" s="25" t="s">
        <v>1403</v>
      </c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37"/>
      <c r="AJ562" s="25"/>
      <c r="AK562" s="25"/>
      <c r="AL562" s="38"/>
      <c r="AM562" s="39"/>
      <c r="AN562" s="25"/>
      <c r="AO562" s="40"/>
      <c r="AP562" s="40"/>
    </row>
    <row r="563" ht="15.0" customHeight="1">
      <c r="A563" s="32" t="s">
        <v>588</v>
      </c>
      <c r="B563" s="25" t="s">
        <v>1404</v>
      </c>
      <c r="C563" s="25" t="s">
        <v>1403</v>
      </c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37"/>
      <c r="AJ563" s="25"/>
      <c r="AK563" s="25"/>
      <c r="AL563" s="38"/>
      <c r="AM563" s="39"/>
      <c r="AN563" s="25"/>
      <c r="AO563" s="40"/>
      <c r="AP563" s="40"/>
    </row>
    <row r="564" ht="15.0" customHeight="1">
      <c r="A564" s="32" t="s">
        <v>589</v>
      </c>
      <c r="B564" s="25" t="s">
        <v>1404</v>
      </c>
      <c r="C564" s="25" t="s">
        <v>1403</v>
      </c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37"/>
      <c r="AJ564" s="25"/>
      <c r="AK564" s="25"/>
      <c r="AL564" s="38"/>
      <c r="AM564" s="39"/>
      <c r="AN564" s="25"/>
      <c r="AO564" s="40"/>
      <c r="AP564" s="40"/>
    </row>
    <row r="565" ht="15.0" customHeight="1">
      <c r="A565" s="32" t="s">
        <v>590</v>
      </c>
      <c r="B565" s="25" t="s">
        <v>1404</v>
      </c>
      <c r="C565" s="25" t="s">
        <v>1403</v>
      </c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37"/>
      <c r="AJ565" s="25"/>
      <c r="AK565" s="25"/>
      <c r="AL565" s="38"/>
      <c r="AM565" s="39"/>
      <c r="AN565" s="25"/>
      <c r="AO565" s="40"/>
      <c r="AP565" s="40"/>
    </row>
    <row r="566" ht="15.0" customHeight="1">
      <c r="A566" s="32" t="s">
        <v>591</v>
      </c>
      <c r="B566" s="25" t="s">
        <v>1404</v>
      </c>
      <c r="C566" s="25" t="s">
        <v>1403</v>
      </c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37"/>
      <c r="AJ566" s="25"/>
      <c r="AK566" s="25"/>
      <c r="AL566" s="38"/>
      <c r="AM566" s="39"/>
      <c r="AN566" s="25"/>
      <c r="AO566" s="40"/>
      <c r="AP566" s="40"/>
    </row>
    <row r="567" ht="15.0" customHeight="1">
      <c r="A567" s="32" t="s">
        <v>592</v>
      </c>
      <c r="B567" s="25" t="s">
        <v>1404</v>
      </c>
      <c r="C567" s="25" t="s">
        <v>1403</v>
      </c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37"/>
      <c r="AJ567" s="25"/>
      <c r="AK567" s="25"/>
      <c r="AL567" s="38"/>
      <c r="AM567" s="39"/>
      <c r="AN567" s="25"/>
      <c r="AO567" s="40"/>
      <c r="AP567" s="40"/>
    </row>
    <row r="568" ht="15.0" customHeight="1">
      <c r="A568" s="32" t="s">
        <v>593</v>
      </c>
      <c r="B568" s="25" t="s">
        <v>1404</v>
      </c>
      <c r="C568" s="25" t="s">
        <v>1403</v>
      </c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37"/>
      <c r="AJ568" s="25"/>
      <c r="AK568" s="25"/>
      <c r="AL568" s="38"/>
      <c r="AM568" s="39"/>
      <c r="AN568" s="25"/>
      <c r="AO568" s="40"/>
      <c r="AP568" s="40"/>
    </row>
    <row r="569" ht="15.0" customHeight="1">
      <c r="A569" s="32" t="s">
        <v>594</v>
      </c>
      <c r="B569" s="25" t="s">
        <v>1404</v>
      </c>
      <c r="C569" s="25" t="s">
        <v>1403</v>
      </c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37"/>
      <c r="AJ569" s="25"/>
      <c r="AK569" s="25"/>
      <c r="AL569" s="38"/>
      <c r="AM569" s="39"/>
      <c r="AN569" s="25"/>
      <c r="AO569" s="40"/>
      <c r="AP569" s="40"/>
    </row>
    <row r="570" ht="15.0" customHeight="1">
      <c r="A570" s="32" t="s">
        <v>595</v>
      </c>
      <c r="B570" s="25" t="s">
        <v>1404</v>
      </c>
      <c r="C570" s="25" t="s">
        <v>1403</v>
      </c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37"/>
      <c r="AJ570" s="25"/>
      <c r="AK570" s="25"/>
      <c r="AL570" s="38"/>
      <c r="AM570" s="39"/>
      <c r="AN570" s="25"/>
      <c r="AO570" s="40"/>
      <c r="AP570" s="40"/>
    </row>
    <row r="571" ht="15.0" customHeight="1">
      <c r="A571" s="32" t="s">
        <v>596</v>
      </c>
      <c r="B571" s="25" t="s">
        <v>1404</v>
      </c>
      <c r="C571" s="25" t="s">
        <v>1403</v>
      </c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37"/>
      <c r="AJ571" s="25"/>
      <c r="AK571" s="25"/>
      <c r="AL571" s="38"/>
      <c r="AM571" s="39"/>
      <c r="AN571" s="25"/>
      <c r="AO571" s="40"/>
      <c r="AP571" s="40"/>
    </row>
    <row r="572" ht="15.0" customHeight="1">
      <c r="A572" s="32" t="s">
        <v>597</v>
      </c>
      <c r="B572" s="25" t="s">
        <v>1404</v>
      </c>
      <c r="C572" s="25" t="s">
        <v>1403</v>
      </c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37"/>
      <c r="AJ572" s="25"/>
      <c r="AK572" s="25"/>
      <c r="AL572" s="38"/>
      <c r="AM572" s="39"/>
      <c r="AN572" s="25"/>
      <c r="AO572" s="40"/>
      <c r="AP572" s="40"/>
    </row>
    <row r="573" ht="15.0" customHeight="1">
      <c r="A573" s="32" t="s">
        <v>598</v>
      </c>
      <c r="B573" s="25" t="s">
        <v>1404</v>
      </c>
      <c r="C573" s="25" t="s">
        <v>1403</v>
      </c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37"/>
      <c r="AJ573" s="25"/>
      <c r="AK573" s="25"/>
      <c r="AL573" s="38"/>
      <c r="AM573" s="39"/>
      <c r="AN573" s="25"/>
      <c r="AO573" s="40"/>
      <c r="AP573" s="40"/>
    </row>
    <row r="574" ht="15.0" customHeight="1">
      <c r="A574" s="32" t="s">
        <v>599</v>
      </c>
      <c r="B574" s="25" t="s">
        <v>1404</v>
      </c>
      <c r="C574" s="25" t="s">
        <v>1403</v>
      </c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37"/>
      <c r="AJ574" s="25"/>
      <c r="AK574" s="25"/>
      <c r="AL574" s="38"/>
      <c r="AM574" s="39"/>
      <c r="AN574" s="25"/>
      <c r="AO574" s="40"/>
      <c r="AP574" s="40"/>
    </row>
    <row r="575" ht="15.0" customHeight="1">
      <c r="A575" s="32" t="s">
        <v>600</v>
      </c>
      <c r="B575" s="25" t="s">
        <v>1404</v>
      </c>
      <c r="C575" s="25" t="s">
        <v>1403</v>
      </c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37"/>
      <c r="AJ575" s="25"/>
      <c r="AK575" s="25"/>
      <c r="AL575" s="38"/>
      <c r="AM575" s="39"/>
      <c r="AN575" s="25"/>
      <c r="AO575" s="40"/>
      <c r="AP575" s="40"/>
    </row>
    <row r="576" ht="15.0" customHeight="1">
      <c r="A576" s="32" t="s">
        <v>601</v>
      </c>
      <c r="B576" s="25" t="s">
        <v>1404</v>
      </c>
      <c r="C576" s="25" t="s">
        <v>1403</v>
      </c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37"/>
      <c r="AJ576" s="25"/>
      <c r="AK576" s="25"/>
      <c r="AL576" s="38"/>
      <c r="AM576" s="39"/>
      <c r="AN576" s="25"/>
      <c r="AO576" s="40"/>
      <c r="AP576" s="40"/>
    </row>
    <row r="577" ht="15.0" customHeight="1">
      <c r="A577" s="32" t="s">
        <v>602</v>
      </c>
      <c r="B577" s="25" t="s">
        <v>1404</v>
      </c>
      <c r="C577" s="25" t="s">
        <v>1403</v>
      </c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37"/>
      <c r="AJ577" s="25"/>
      <c r="AK577" s="25"/>
      <c r="AL577" s="38"/>
      <c r="AM577" s="39"/>
      <c r="AN577" s="25"/>
      <c r="AO577" s="40"/>
      <c r="AP577" s="40"/>
    </row>
    <row r="578" ht="15.0" customHeight="1">
      <c r="A578" s="32" t="s">
        <v>603</v>
      </c>
      <c r="B578" s="25" t="s">
        <v>1404</v>
      </c>
      <c r="C578" s="25" t="s">
        <v>1403</v>
      </c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37"/>
      <c r="AJ578" s="25"/>
      <c r="AK578" s="25"/>
      <c r="AL578" s="38"/>
      <c r="AM578" s="39"/>
      <c r="AN578" s="25"/>
      <c r="AO578" s="40"/>
      <c r="AP578" s="40"/>
    </row>
    <row r="579" ht="15.0" customHeight="1">
      <c r="A579" s="32" t="s">
        <v>604</v>
      </c>
      <c r="B579" s="25" t="s">
        <v>1404</v>
      </c>
      <c r="C579" s="25" t="s">
        <v>1403</v>
      </c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37"/>
      <c r="AJ579" s="25"/>
      <c r="AK579" s="25"/>
      <c r="AL579" s="38"/>
      <c r="AM579" s="39"/>
      <c r="AN579" s="25"/>
      <c r="AO579" s="40"/>
      <c r="AP579" s="40"/>
    </row>
    <row r="580" ht="15.0" customHeight="1">
      <c r="A580" s="32" t="s">
        <v>605</v>
      </c>
      <c r="B580" s="25" t="s">
        <v>1404</v>
      </c>
      <c r="C580" s="25" t="s">
        <v>1403</v>
      </c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37"/>
      <c r="AJ580" s="25"/>
      <c r="AK580" s="25"/>
      <c r="AL580" s="38"/>
      <c r="AM580" s="39"/>
      <c r="AN580" s="25"/>
      <c r="AO580" s="40"/>
      <c r="AP580" s="40"/>
    </row>
    <row r="581" ht="15.0" customHeight="1">
      <c r="A581" s="32" t="s">
        <v>606</v>
      </c>
      <c r="B581" s="25" t="s">
        <v>1404</v>
      </c>
      <c r="C581" s="25" t="s">
        <v>1403</v>
      </c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37"/>
      <c r="AJ581" s="25"/>
      <c r="AK581" s="25"/>
      <c r="AL581" s="38"/>
      <c r="AM581" s="39"/>
      <c r="AN581" s="25"/>
      <c r="AO581" s="40"/>
      <c r="AP581" s="40"/>
    </row>
    <row r="582" ht="15.0" customHeight="1">
      <c r="A582" s="32" t="s">
        <v>607</v>
      </c>
      <c r="B582" s="25" t="s">
        <v>1404</v>
      </c>
      <c r="C582" s="25" t="s">
        <v>1403</v>
      </c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37"/>
      <c r="AJ582" s="25"/>
      <c r="AK582" s="25"/>
      <c r="AL582" s="38"/>
      <c r="AM582" s="39"/>
      <c r="AN582" s="25"/>
      <c r="AO582" s="40"/>
      <c r="AP582" s="40"/>
    </row>
    <row r="583" ht="15.0" customHeight="1">
      <c r="A583" s="32" t="s">
        <v>608</v>
      </c>
      <c r="B583" s="25" t="s">
        <v>1404</v>
      </c>
      <c r="C583" s="25" t="s">
        <v>1403</v>
      </c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37"/>
      <c r="AJ583" s="25"/>
      <c r="AK583" s="25"/>
      <c r="AL583" s="38"/>
      <c r="AM583" s="39"/>
      <c r="AN583" s="25"/>
      <c r="AO583" s="40"/>
      <c r="AP583" s="40"/>
    </row>
    <row r="584" ht="15.0" customHeight="1">
      <c r="A584" s="32" t="s">
        <v>609</v>
      </c>
      <c r="B584" s="25" t="s">
        <v>1404</v>
      </c>
      <c r="C584" s="25" t="s">
        <v>1403</v>
      </c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37"/>
      <c r="AJ584" s="25"/>
      <c r="AK584" s="25"/>
      <c r="AL584" s="38"/>
      <c r="AM584" s="39"/>
      <c r="AN584" s="25"/>
      <c r="AO584" s="40"/>
      <c r="AP584" s="40"/>
    </row>
    <row r="585" ht="15.0" customHeight="1">
      <c r="A585" s="32" t="s">
        <v>610</v>
      </c>
      <c r="B585" s="25" t="s">
        <v>1404</v>
      </c>
      <c r="C585" s="25" t="s">
        <v>1403</v>
      </c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37"/>
      <c r="AJ585" s="25"/>
      <c r="AK585" s="25"/>
      <c r="AL585" s="38"/>
      <c r="AM585" s="39"/>
      <c r="AN585" s="25"/>
      <c r="AO585" s="40"/>
      <c r="AP585" s="40"/>
    </row>
    <row r="586" ht="15.0" customHeight="1">
      <c r="A586" s="32" t="s">
        <v>611</v>
      </c>
      <c r="B586" s="25" t="s">
        <v>1404</v>
      </c>
      <c r="C586" s="25" t="s">
        <v>1403</v>
      </c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37"/>
      <c r="AJ586" s="25"/>
      <c r="AK586" s="25"/>
      <c r="AL586" s="38"/>
      <c r="AM586" s="39"/>
      <c r="AN586" s="25"/>
      <c r="AO586" s="40"/>
      <c r="AP586" s="40"/>
    </row>
    <row r="587" ht="15.0" customHeight="1">
      <c r="A587" s="32" t="s">
        <v>612</v>
      </c>
      <c r="B587" s="25" t="s">
        <v>1404</v>
      </c>
      <c r="C587" s="25" t="s">
        <v>1403</v>
      </c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37"/>
      <c r="AJ587" s="25"/>
      <c r="AK587" s="25"/>
      <c r="AL587" s="38"/>
      <c r="AM587" s="39"/>
      <c r="AN587" s="25"/>
      <c r="AO587" s="40"/>
      <c r="AP587" s="40"/>
    </row>
    <row r="588" ht="15.0" customHeight="1">
      <c r="A588" s="32" t="s">
        <v>613</v>
      </c>
      <c r="B588" s="25" t="s">
        <v>1404</v>
      </c>
      <c r="C588" s="25" t="s">
        <v>1403</v>
      </c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37"/>
      <c r="AJ588" s="25"/>
      <c r="AK588" s="25"/>
      <c r="AL588" s="38"/>
      <c r="AM588" s="39"/>
      <c r="AN588" s="25"/>
      <c r="AO588" s="40"/>
      <c r="AP588" s="40"/>
    </row>
    <row r="589" ht="15.0" customHeight="1">
      <c r="A589" s="32" t="s">
        <v>614</v>
      </c>
      <c r="B589" s="25" t="s">
        <v>1404</v>
      </c>
      <c r="C589" s="25" t="s">
        <v>1403</v>
      </c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37"/>
      <c r="AJ589" s="25"/>
      <c r="AK589" s="25"/>
      <c r="AL589" s="38"/>
      <c r="AM589" s="39"/>
      <c r="AN589" s="25"/>
      <c r="AO589" s="40"/>
      <c r="AP589" s="40"/>
    </row>
    <row r="590" ht="15.0" customHeight="1">
      <c r="A590" s="32" t="s">
        <v>615</v>
      </c>
      <c r="B590" s="25" t="s">
        <v>1404</v>
      </c>
      <c r="C590" s="25" t="s">
        <v>1403</v>
      </c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37"/>
      <c r="AJ590" s="25"/>
      <c r="AK590" s="25"/>
      <c r="AL590" s="38"/>
      <c r="AM590" s="39"/>
      <c r="AN590" s="25"/>
      <c r="AO590" s="40"/>
      <c r="AP590" s="40"/>
    </row>
    <row r="591" ht="15.0" customHeight="1">
      <c r="A591" s="32" t="s">
        <v>616</v>
      </c>
      <c r="B591" s="25" t="s">
        <v>1404</v>
      </c>
      <c r="C591" s="25" t="s">
        <v>1403</v>
      </c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37"/>
      <c r="AJ591" s="25"/>
      <c r="AK591" s="25"/>
      <c r="AL591" s="38"/>
      <c r="AM591" s="39"/>
      <c r="AN591" s="25"/>
      <c r="AO591" s="40"/>
      <c r="AP591" s="40"/>
    </row>
    <row r="592" ht="15.0" customHeight="1">
      <c r="A592" s="32" t="s">
        <v>617</v>
      </c>
      <c r="B592" s="25" t="s">
        <v>1404</v>
      </c>
      <c r="C592" s="25" t="s">
        <v>1403</v>
      </c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37"/>
      <c r="AJ592" s="25"/>
      <c r="AK592" s="25"/>
      <c r="AL592" s="38"/>
      <c r="AM592" s="39"/>
      <c r="AN592" s="25"/>
      <c r="AO592" s="40"/>
      <c r="AP592" s="40"/>
    </row>
    <row r="593" ht="15.0" customHeight="1">
      <c r="A593" s="32" t="s">
        <v>618</v>
      </c>
      <c r="B593" s="25" t="s">
        <v>1404</v>
      </c>
      <c r="C593" s="25" t="s">
        <v>1403</v>
      </c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37"/>
      <c r="AJ593" s="25"/>
      <c r="AK593" s="25"/>
      <c r="AL593" s="38"/>
      <c r="AM593" s="39"/>
      <c r="AN593" s="25"/>
      <c r="AO593" s="40"/>
      <c r="AP593" s="40"/>
    </row>
    <row r="594" ht="15.0" customHeight="1">
      <c r="A594" s="32" t="s">
        <v>619</v>
      </c>
      <c r="B594" s="25" t="s">
        <v>1404</v>
      </c>
      <c r="C594" s="25" t="s">
        <v>1403</v>
      </c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37"/>
      <c r="AJ594" s="25"/>
      <c r="AK594" s="25"/>
      <c r="AL594" s="38"/>
      <c r="AM594" s="39"/>
      <c r="AN594" s="25"/>
      <c r="AO594" s="40"/>
      <c r="AP594" s="40"/>
    </row>
    <row r="595" ht="15.0" customHeight="1">
      <c r="A595" s="32" t="s">
        <v>620</v>
      </c>
      <c r="B595" s="25" t="s">
        <v>1404</v>
      </c>
      <c r="C595" s="25" t="s">
        <v>1403</v>
      </c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37"/>
      <c r="AJ595" s="25"/>
      <c r="AK595" s="25"/>
      <c r="AL595" s="38"/>
      <c r="AM595" s="39"/>
      <c r="AN595" s="25"/>
      <c r="AO595" s="40"/>
      <c r="AP595" s="40"/>
    </row>
    <row r="596" ht="15.0" customHeight="1">
      <c r="A596" s="32" t="s">
        <v>621</v>
      </c>
      <c r="B596" s="25" t="s">
        <v>1404</v>
      </c>
      <c r="C596" s="25" t="s">
        <v>1403</v>
      </c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37"/>
      <c r="AJ596" s="25"/>
      <c r="AK596" s="25"/>
      <c r="AL596" s="38"/>
      <c r="AM596" s="39"/>
      <c r="AN596" s="25"/>
      <c r="AO596" s="40"/>
      <c r="AP596" s="40"/>
    </row>
    <row r="597" ht="15.0" customHeight="1">
      <c r="A597" s="32" t="s">
        <v>622</v>
      </c>
      <c r="B597" s="25" t="s">
        <v>1404</v>
      </c>
      <c r="C597" s="25" t="s">
        <v>1403</v>
      </c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37"/>
      <c r="AJ597" s="25"/>
      <c r="AK597" s="25"/>
      <c r="AL597" s="38"/>
      <c r="AM597" s="39"/>
      <c r="AN597" s="25"/>
      <c r="AO597" s="40"/>
      <c r="AP597" s="40"/>
    </row>
    <row r="598" ht="15.0" customHeight="1">
      <c r="A598" s="32" t="s">
        <v>623</v>
      </c>
      <c r="B598" s="25" t="s">
        <v>1404</v>
      </c>
      <c r="C598" s="25" t="s">
        <v>1403</v>
      </c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37"/>
      <c r="AJ598" s="25"/>
      <c r="AK598" s="25"/>
      <c r="AL598" s="38"/>
      <c r="AM598" s="39"/>
      <c r="AN598" s="25"/>
      <c r="AO598" s="40"/>
      <c r="AP598" s="40"/>
    </row>
    <row r="599" ht="15.0" customHeight="1">
      <c r="A599" s="32" t="s">
        <v>624</v>
      </c>
      <c r="B599" s="25" t="s">
        <v>1404</v>
      </c>
      <c r="C599" s="25" t="s">
        <v>1403</v>
      </c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37"/>
      <c r="AJ599" s="25"/>
      <c r="AK599" s="25"/>
      <c r="AL599" s="38"/>
      <c r="AM599" s="39"/>
      <c r="AN599" s="25"/>
      <c r="AO599" s="40"/>
      <c r="AP599" s="40"/>
    </row>
    <row r="600" ht="15.0" customHeight="1">
      <c r="A600" s="32" t="s">
        <v>625</v>
      </c>
      <c r="B600" s="25" t="s">
        <v>1404</v>
      </c>
      <c r="C600" s="25" t="s">
        <v>1403</v>
      </c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37"/>
      <c r="AJ600" s="25"/>
      <c r="AK600" s="25"/>
      <c r="AL600" s="38"/>
      <c r="AM600" s="39"/>
      <c r="AN600" s="25"/>
      <c r="AO600" s="40"/>
      <c r="AP600" s="40"/>
    </row>
    <row r="601" ht="15.0" customHeight="1">
      <c r="A601" s="32" t="s">
        <v>626</v>
      </c>
      <c r="B601" s="25" t="s">
        <v>1404</v>
      </c>
      <c r="C601" s="25" t="s">
        <v>1403</v>
      </c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37"/>
      <c r="AJ601" s="25"/>
      <c r="AK601" s="25"/>
      <c r="AL601" s="38"/>
      <c r="AM601" s="39"/>
      <c r="AN601" s="25"/>
      <c r="AO601" s="40"/>
      <c r="AP601" s="40"/>
    </row>
    <row r="602" ht="15.0" customHeight="1">
      <c r="A602" s="32" t="s">
        <v>627</v>
      </c>
      <c r="B602" s="34" t="s">
        <v>1404</v>
      </c>
      <c r="C602" s="34" t="s">
        <v>1403</v>
      </c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25"/>
      <c r="X602" s="25"/>
      <c r="Y602" s="34"/>
      <c r="Z602" s="34"/>
      <c r="AA602" s="34"/>
      <c r="AB602" s="34"/>
      <c r="AC602" s="34"/>
      <c r="AD602" s="34"/>
      <c r="AE602" s="25"/>
      <c r="AF602" s="25"/>
      <c r="AG602" s="34"/>
      <c r="AH602" s="34"/>
      <c r="AI602" s="37"/>
      <c r="AJ602" s="34"/>
      <c r="AK602" s="25"/>
      <c r="AL602" s="38"/>
      <c r="AM602" s="41"/>
      <c r="AN602" s="25"/>
      <c r="AO602" s="40"/>
      <c r="AP602" s="40"/>
    </row>
    <row r="603" ht="15.0" customHeight="1">
      <c r="A603" s="32" t="s">
        <v>628</v>
      </c>
      <c r="B603" s="34" t="s">
        <v>1404</v>
      </c>
      <c r="C603" s="34" t="s">
        <v>1403</v>
      </c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25"/>
      <c r="X603" s="25"/>
      <c r="Y603" s="34"/>
      <c r="Z603" s="34"/>
      <c r="AA603" s="34"/>
      <c r="AB603" s="34"/>
      <c r="AC603" s="34"/>
      <c r="AD603" s="34"/>
      <c r="AE603" s="25"/>
      <c r="AF603" s="25"/>
      <c r="AG603" s="34"/>
      <c r="AH603" s="34"/>
      <c r="AI603" s="37"/>
      <c r="AJ603" s="34"/>
      <c r="AK603" s="25"/>
      <c r="AL603" s="38"/>
      <c r="AM603" s="41"/>
      <c r="AN603" s="25"/>
      <c r="AO603" s="40"/>
      <c r="AP603" s="40"/>
    </row>
    <row r="604" ht="15.0" customHeight="1">
      <c r="A604" s="32" t="s">
        <v>629</v>
      </c>
      <c r="B604" s="34" t="s">
        <v>1404</v>
      </c>
      <c r="C604" s="34" t="s">
        <v>1403</v>
      </c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25"/>
      <c r="X604" s="25"/>
      <c r="Y604" s="34"/>
      <c r="Z604" s="34"/>
      <c r="AA604" s="34"/>
      <c r="AB604" s="34"/>
      <c r="AC604" s="34"/>
      <c r="AD604" s="34"/>
      <c r="AE604" s="25"/>
      <c r="AF604" s="25"/>
      <c r="AG604" s="34"/>
      <c r="AH604" s="34"/>
      <c r="AI604" s="37"/>
      <c r="AJ604" s="34"/>
      <c r="AK604" s="25"/>
      <c r="AL604" s="38"/>
      <c r="AM604" s="41"/>
      <c r="AN604" s="25"/>
      <c r="AO604" s="40"/>
      <c r="AP604" s="40"/>
    </row>
    <row r="605" ht="15.0" customHeight="1">
      <c r="A605" s="32" t="s">
        <v>630</v>
      </c>
      <c r="B605" s="34" t="s">
        <v>1404</v>
      </c>
      <c r="C605" s="34" t="s">
        <v>1403</v>
      </c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25"/>
      <c r="X605" s="25"/>
      <c r="Y605" s="34"/>
      <c r="Z605" s="34"/>
      <c r="AA605" s="34"/>
      <c r="AB605" s="34"/>
      <c r="AC605" s="34"/>
      <c r="AD605" s="34"/>
      <c r="AE605" s="25"/>
      <c r="AF605" s="25"/>
      <c r="AG605" s="34"/>
      <c r="AH605" s="34"/>
      <c r="AI605" s="37"/>
      <c r="AJ605" s="34"/>
      <c r="AK605" s="25"/>
      <c r="AL605" s="38"/>
      <c r="AM605" s="41"/>
      <c r="AN605" s="25"/>
      <c r="AO605" s="40"/>
      <c r="AP605" s="40"/>
    </row>
    <row r="606" ht="15.0" customHeight="1">
      <c r="A606" s="32" t="s">
        <v>631</v>
      </c>
      <c r="B606" s="34" t="s">
        <v>1404</v>
      </c>
      <c r="C606" s="34" t="s">
        <v>1403</v>
      </c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25"/>
      <c r="X606" s="25"/>
      <c r="Y606" s="34"/>
      <c r="Z606" s="34"/>
      <c r="AA606" s="34"/>
      <c r="AB606" s="34"/>
      <c r="AC606" s="34"/>
      <c r="AD606" s="34"/>
      <c r="AE606" s="25"/>
      <c r="AF606" s="25"/>
      <c r="AG606" s="34"/>
      <c r="AH606" s="34"/>
      <c r="AI606" s="37"/>
      <c r="AJ606" s="34"/>
      <c r="AK606" s="25"/>
      <c r="AL606" s="38"/>
      <c r="AM606" s="41"/>
      <c r="AN606" s="25"/>
      <c r="AO606" s="40"/>
      <c r="AP606" s="40"/>
    </row>
    <row r="607" ht="15.0" customHeight="1">
      <c r="A607" s="32" t="s">
        <v>632</v>
      </c>
      <c r="B607" s="34" t="s">
        <v>1404</v>
      </c>
      <c r="C607" s="34" t="s">
        <v>1403</v>
      </c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25"/>
      <c r="X607" s="25"/>
      <c r="Y607" s="34"/>
      <c r="Z607" s="34"/>
      <c r="AA607" s="34"/>
      <c r="AB607" s="34"/>
      <c r="AC607" s="34"/>
      <c r="AD607" s="34"/>
      <c r="AE607" s="25"/>
      <c r="AF607" s="25"/>
      <c r="AG607" s="34"/>
      <c r="AH607" s="34"/>
      <c r="AI607" s="37"/>
      <c r="AJ607" s="34"/>
      <c r="AK607" s="25"/>
      <c r="AL607" s="38"/>
      <c r="AM607" s="41"/>
      <c r="AN607" s="25"/>
      <c r="AO607" s="40"/>
      <c r="AP607" s="40"/>
    </row>
    <row r="608" ht="15.0" customHeight="1">
      <c r="A608" s="32" t="s">
        <v>633</v>
      </c>
      <c r="B608" s="34" t="s">
        <v>1404</v>
      </c>
      <c r="C608" s="34" t="s">
        <v>1403</v>
      </c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25"/>
      <c r="X608" s="25"/>
      <c r="Y608" s="34"/>
      <c r="Z608" s="34"/>
      <c r="AA608" s="34"/>
      <c r="AB608" s="34"/>
      <c r="AC608" s="34"/>
      <c r="AD608" s="34"/>
      <c r="AE608" s="25"/>
      <c r="AF608" s="25"/>
      <c r="AG608" s="34"/>
      <c r="AH608" s="34"/>
      <c r="AI608" s="37"/>
      <c r="AJ608" s="34"/>
      <c r="AK608" s="25"/>
      <c r="AL608" s="38"/>
      <c r="AM608" s="41"/>
      <c r="AN608" s="25"/>
      <c r="AO608" s="40"/>
      <c r="AP608" s="40"/>
    </row>
    <row r="609" ht="15.0" customHeight="1">
      <c r="A609" s="32" t="s">
        <v>634</v>
      </c>
      <c r="B609" s="34" t="s">
        <v>1404</v>
      </c>
      <c r="C609" s="34" t="s">
        <v>1403</v>
      </c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25"/>
      <c r="X609" s="25"/>
      <c r="Y609" s="34"/>
      <c r="Z609" s="34"/>
      <c r="AA609" s="34"/>
      <c r="AB609" s="34"/>
      <c r="AC609" s="34"/>
      <c r="AD609" s="34"/>
      <c r="AE609" s="25"/>
      <c r="AF609" s="25"/>
      <c r="AG609" s="34"/>
      <c r="AH609" s="34"/>
      <c r="AI609" s="37"/>
      <c r="AJ609" s="34"/>
      <c r="AK609" s="25"/>
      <c r="AL609" s="38"/>
      <c r="AM609" s="41"/>
      <c r="AN609" s="25"/>
      <c r="AO609" s="40"/>
      <c r="AP609" s="40"/>
    </row>
    <row r="610" ht="15.0" customHeight="1">
      <c r="A610" s="32" t="s">
        <v>635</v>
      </c>
      <c r="B610" s="34" t="s">
        <v>1404</v>
      </c>
      <c r="C610" s="34" t="s">
        <v>1403</v>
      </c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25"/>
      <c r="X610" s="25"/>
      <c r="Y610" s="34"/>
      <c r="Z610" s="34"/>
      <c r="AA610" s="34"/>
      <c r="AB610" s="34"/>
      <c r="AC610" s="34"/>
      <c r="AD610" s="34"/>
      <c r="AE610" s="25"/>
      <c r="AF610" s="25"/>
      <c r="AG610" s="34"/>
      <c r="AH610" s="34"/>
      <c r="AI610" s="37"/>
      <c r="AJ610" s="34"/>
      <c r="AK610" s="25"/>
      <c r="AL610" s="38"/>
      <c r="AM610" s="41"/>
      <c r="AN610" s="25"/>
      <c r="AO610" s="40"/>
      <c r="AP610" s="40"/>
    </row>
    <row r="611" ht="15.0" customHeight="1">
      <c r="A611" s="32" t="s">
        <v>636</v>
      </c>
      <c r="B611" s="34" t="s">
        <v>1404</v>
      </c>
      <c r="C611" s="34" t="s">
        <v>1403</v>
      </c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25"/>
      <c r="X611" s="25"/>
      <c r="Y611" s="34"/>
      <c r="Z611" s="34"/>
      <c r="AA611" s="34"/>
      <c r="AB611" s="34"/>
      <c r="AC611" s="34"/>
      <c r="AD611" s="34"/>
      <c r="AE611" s="25"/>
      <c r="AF611" s="25"/>
      <c r="AG611" s="34"/>
      <c r="AH611" s="34"/>
      <c r="AI611" s="37"/>
      <c r="AJ611" s="34"/>
      <c r="AK611" s="25"/>
      <c r="AL611" s="38"/>
      <c r="AM611" s="41"/>
      <c r="AN611" s="25"/>
      <c r="AO611" s="40"/>
      <c r="AP611" s="40"/>
    </row>
    <row r="612" ht="15.0" customHeight="1">
      <c r="A612" s="32" t="s">
        <v>637</v>
      </c>
      <c r="B612" s="34" t="s">
        <v>1404</v>
      </c>
      <c r="C612" s="34" t="s">
        <v>1403</v>
      </c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25"/>
      <c r="X612" s="25"/>
      <c r="Y612" s="34"/>
      <c r="Z612" s="34"/>
      <c r="AA612" s="34"/>
      <c r="AB612" s="34"/>
      <c r="AC612" s="34"/>
      <c r="AD612" s="34"/>
      <c r="AE612" s="25"/>
      <c r="AF612" s="25"/>
      <c r="AG612" s="34"/>
      <c r="AH612" s="34"/>
      <c r="AI612" s="37"/>
      <c r="AJ612" s="34"/>
      <c r="AK612" s="25"/>
      <c r="AL612" s="38"/>
      <c r="AM612" s="41"/>
      <c r="AN612" s="25"/>
      <c r="AO612" s="40"/>
      <c r="AP612" s="40"/>
    </row>
    <row r="613" ht="15.0" customHeight="1">
      <c r="A613" s="32" t="s">
        <v>638</v>
      </c>
      <c r="B613" s="34" t="s">
        <v>1404</v>
      </c>
      <c r="C613" s="34" t="s">
        <v>1403</v>
      </c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25"/>
      <c r="X613" s="25"/>
      <c r="Y613" s="34"/>
      <c r="Z613" s="34"/>
      <c r="AA613" s="34"/>
      <c r="AB613" s="34"/>
      <c r="AC613" s="34"/>
      <c r="AD613" s="34"/>
      <c r="AE613" s="25"/>
      <c r="AF613" s="25"/>
      <c r="AG613" s="34"/>
      <c r="AH613" s="34"/>
      <c r="AI613" s="37"/>
      <c r="AJ613" s="34"/>
      <c r="AK613" s="25"/>
      <c r="AL613" s="38"/>
      <c r="AM613" s="41"/>
      <c r="AN613" s="25"/>
      <c r="AO613" s="40"/>
      <c r="AP613" s="40"/>
    </row>
    <row r="614" ht="15.0" customHeight="1">
      <c r="A614" s="32" t="s">
        <v>639</v>
      </c>
      <c r="B614" s="34" t="s">
        <v>1404</v>
      </c>
      <c r="C614" s="34" t="s">
        <v>1403</v>
      </c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25"/>
      <c r="X614" s="25"/>
      <c r="Y614" s="34"/>
      <c r="Z614" s="34"/>
      <c r="AA614" s="34"/>
      <c r="AB614" s="34"/>
      <c r="AC614" s="34"/>
      <c r="AD614" s="34"/>
      <c r="AE614" s="25"/>
      <c r="AF614" s="25"/>
      <c r="AG614" s="34"/>
      <c r="AH614" s="34"/>
      <c r="AI614" s="37"/>
      <c r="AJ614" s="34"/>
      <c r="AK614" s="25"/>
      <c r="AL614" s="38"/>
      <c r="AM614" s="41"/>
      <c r="AN614" s="25"/>
      <c r="AO614" s="40"/>
      <c r="AP614" s="40"/>
    </row>
    <row r="615" ht="15.0" customHeight="1">
      <c r="A615" s="32" t="s">
        <v>640</v>
      </c>
      <c r="B615" s="34" t="s">
        <v>1404</v>
      </c>
      <c r="C615" s="34" t="s">
        <v>1403</v>
      </c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25"/>
      <c r="X615" s="25"/>
      <c r="Y615" s="34"/>
      <c r="Z615" s="34"/>
      <c r="AA615" s="34"/>
      <c r="AB615" s="34"/>
      <c r="AC615" s="34"/>
      <c r="AD615" s="34"/>
      <c r="AE615" s="25"/>
      <c r="AF615" s="25"/>
      <c r="AG615" s="34"/>
      <c r="AH615" s="34"/>
      <c r="AI615" s="37"/>
      <c r="AJ615" s="34"/>
      <c r="AK615" s="25"/>
      <c r="AL615" s="38"/>
      <c r="AM615" s="41"/>
      <c r="AN615" s="25"/>
      <c r="AO615" s="40"/>
      <c r="AP615" s="40"/>
    </row>
    <row r="616" ht="15.0" customHeight="1">
      <c r="A616" s="32" t="s">
        <v>641</v>
      </c>
      <c r="B616" s="34" t="s">
        <v>1404</v>
      </c>
      <c r="C616" s="34" t="s">
        <v>1403</v>
      </c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25"/>
      <c r="X616" s="25"/>
      <c r="Y616" s="34"/>
      <c r="Z616" s="34"/>
      <c r="AA616" s="34"/>
      <c r="AB616" s="34"/>
      <c r="AC616" s="34"/>
      <c r="AD616" s="34"/>
      <c r="AE616" s="25"/>
      <c r="AF616" s="25"/>
      <c r="AG616" s="34"/>
      <c r="AH616" s="34"/>
      <c r="AI616" s="37"/>
      <c r="AJ616" s="34"/>
      <c r="AK616" s="25"/>
      <c r="AL616" s="38"/>
      <c r="AM616" s="41"/>
      <c r="AN616" s="25"/>
      <c r="AO616" s="40"/>
      <c r="AP616" s="40"/>
    </row>
    <row r="617" ht="15.0" customHeight="1">
      <c r="A617" s="32" t="s">
        <v>642</v>
      </c>
      <c r="B617" s="34" t="s">
        <v>1404</v>
      </c>
      <c r="C617" s="34" t="s">
        <v>1403</v>
      </c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25"/>
      <c r="X617" s="25"/>
      <c r="Y617" s="34"/>
      <c r="Z617" s="34"/>
      <c r="AA617" s="34"/>
      <c r="AB617" s="34"/>
      <c r="AC617" s="34"/>
      <c r="AD617" s="34"/>
      <c r="AE617" s="25"/>
      <c r="AF617" s="25"/>
      <c r="AG617" s="34"/>
      <c r="AH617" s="34"/>
      <c r="AI617" s="37"/>
      <c r="AJ617" s="34"/>
      <c r="AK617" s="25"/>
      <c r="AL617" s="38"/>
      <c r="AM617" s="41"/>
      <c r="AN617" s="25"/>
      <c r="AO617" s="40"/>
      <c r="AP617" s="40"/>
    </row>
    <row r="618" ht="15.0" customHeight="1">
      <c r="A618" s="32" t="s">
        <v>643</v>
      </c>
      <c r="B618" s="34" t="s">
        <v>1404</v>
      </c>
      <c r="C618" s="34" t="s">
        <v>1403</v>
      </c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25"/>
      <c r="X618" s="25"/>
      <c r="Y618" s="34"/>
      <c r="Z618" s="34"/>
      <c r="AA618" s="34"/>
      <c r="AB618" s="34"/>
      <c r="AC618" s="34"/>
      <c r="AD618" s="34"/>
      <c r="AE618" s="25"/>
      <c r="AF618" s="25"/>
      <c r="AG618" s="34"/>
      <c r="AH618" s="34"/>
      <c r="AI618" s="37"/>
      <c r="AJ618" s="34"/>
      <c r="AK618" s="25"/>
      <c r="AL618" s="38"/>
      <c r="AM618" s="41"/>
      <c r="AN618" s="25"/>
      <c r="AO618" s="40"/>
      <c r="AP618" s="40"/>
    </row>
    <row r="619" ht="15.0" customHeight="1">
      <c r="A619" s="32" t="s">
        <v>644</v>
      </c>
      <c r="B619" s="34" t="s">
        <v>1404</v>
      </c>
      <c r="C619" s="34" t="s">
        <v>1403</v>
      </c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25"/>
      <c r="X619" s="25"/>
      <c r="Y619" s="34"/>
      <c r="Z619" s="34"/>
      <c r="AA619" s="34"/>
      <c r="AB619" s="34"/>
      <c r="AC619" s="34"/>
      <c r="AD619" s="34"/>
      <c r="AE619" s="25"/>
      <c r="AF619" s="25"/>
      <c r="AG619" s="34"/>
      <c r="AH619" s="34"/>
      <c r="AI619" s="37"/>
      <c r="AJ619" s="34"/>
      <c r="AK619" s="25"/>
      <c r="AL619" s="38"/>
      <c r="AM619" s="41"/>
      <c r="AN619" s="25"/>
      <c r="AO619" s="40"/>
      <c r="AP619" s="40"/>
    </row>
    <row r="620" ht="15.0" customHeight="1">
      <c r="A620" s="32" t="s">
        <v>645</v>
      </c>
      <c r="B620" s="34" t="s">
        <v>1404</v>
      </c>
      <c r="C620" s="34" t="s">
        <v>1403</v>
      </c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25"/>
      <c r="X620" s="25"/>
      <c r="Y620" s="34"/>
      <c r="Z620" s="34"/>
      <c r="AA620" s="34"/>
      <c r="AB620" s="34"/>
      <c r="AC620" s="34"/>
      <c r="AD620" s="34"/>
      <c r="AE620" s="25"/>
      <c r="AF620" s="25"/>
      <c r="AG620" s="34"/>
      <c r="AH620" s="34"/>
      <c r="AI620" s="37"/>
      <c r="AJ620" s="34"/>
      <c r="AK620" s="25"/>
      <c r="AL620" s="38"/>
      <c r="AM620" s="41"/>
      <c r="AN620" s="25"/>
      <c r="AO620" s="40"/>
      <c r="AP620" s="40"/>
    </row>
    <row r="621" ht="15.0" customHeight="1">
      <c r="A621" s="32" t="s">
        <v>646</v>
      </c>
      <c r="B621" s="34" t="s">
        <v>1404</v>
      </c>
      <c r="C621" s="34" t="s">
        <v>1403</v>
      </c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25"/>
      <c r="X621" s="25"/>
      <c r="Y621" s="34"/>
      <c r="Z621" s="34"/>
      <c r="AA621" s="34"/>
      <c r="AB621" s="34"/>
      <c r="AC621" s="34"/>
      <c r="AD621" s="34"/>
      <c r="AE621" s="25"/>
      <c r="AF621" s="25"/>
      <c r="AG621" s="34"/>
      <c r="AH621" s="34"/>
      <c r="AI621" s="37"/>
      <c r="AJ621" s="34"/>
      <c r="AK621" s="25"/>
      <c r="AL621" s="38"/>
      <c r="AM621" s="41"/>
      <c r="AN621" s="25"/>
      <c r="AO621" s="40"/>
      <c r="AP621" s="40"/>
    </row>
    <row r="622" ht="15.0" customHeight="1">
      <c r="A622" s="32" t="s">
        <v>647</v>
      </c>
      <c r="B622" s="34" t="s">
        <v>1404</v>
      </c>
      <c r="C622" s="34" t="s">
        <v>1403</v>
      </c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25"/>
      <c r="X622" s="25"/>
      <c r="Y622" s="34"/>
      <c r="Z622" s="34"/>
      <c r="AA622" s="34"/>
      <c r="AB622" s="34"/>
      <c r="AC622" s="34"/>
      <c r="AD622" s="34"/>
      <c r="AE622" s="25"/>
      <c r="AF622" s="25"/>
      <c r="AG622" s="34"/>
      <c r="AH622" s="34"/>
      <c r="AI622" s="37"/>
      <c r="AJ622" s="34"/>
      <c r="AK622" s="25"/>
      <c r="AL622" s="38"/>
      <c r="AM622" s="41"/>
      <c r="AN622" s="25"/>
      <c r="AO622" s="40"/>
      <c r="AP622" s="40"/>
    </row>
    <row r="623" ht="15.0" customHeight="1">
      <c r="A623" s="32" t="s">
        <v>648</v>
      </c>
      <c r="B623" s="34" t="s">
        <v>1404</v>
      </c>
      <c r="C623" s="34" t="s">
        <v>1403</v>
      </c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25"/>
      <c r="X623" s="25"/>
      <c r="Y623" s="34"/>
      <c r="Z623" s="34"/>
      <c r="AA623" s="34"/>
      <c r="AB623" s="34"/>
      <c r="AC623" s="34"/>
      <c r="AD623" s="34"/>
      <c r="AE623" s="25"/>
      <c r="AF623" s="25"/>
      <c r="AG623" s="34"/>
      <c r="AH623" s="34"/>
      <c r="AI623" s="37"/>
      <c r="AJ623" s="34"/>
      <c r="AK623" s="25"/>
      <c r="AL623" s="38"/>
      <c r="AM623" s="41"/>
      <c r="AN623" s="25"/>
      <c r="AO623" s="40"/>
      <c r="AP623" s="40"/>
    </row>
    <row r="624" ht="15.0" customHeight="1">
      <c r="A624" s="32" t="s">
        <v>649</v>
      </c>
      <c r="B624" s="34" t="s">
        <v>1404</v>
      </c>
      <c r="C624" s="34" t="s">
        <v>1403</v>
      </c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25"/>
      <c r="X624" s="25"/>
      <c r="Y624" s="34"/>
      <c r="Z624" s="34"/>
      <c r="AA624" s="34"/>
      <c r="AB624" s="34"/>
      <c r="AC624" s="34"/>
      <c r="AD624" s="34"/>
      <c r="AE624" s="25"/>
      <c r="AF624" s="25"/>
      <c r="AG624" s="34"/>
      <c r="AH624" s="34"/>
      <c r="AI624" s="37"/>
      <c r="AJ624" s="34"/>
      <c r="AK624" s="25"/>
      <c r="AL624" s="38"/>
      <c r="AM624" s="41"/>
      <c r="AN624" s="25"/>
      <c r="AO624" s="40"/>
      <c r="AP624" s="40"/>
    </row>
    <row r="625" ht="15.0" customHeight="1">
      <c r="A625" s="32" t="s">
        <v>650</v>
      </c>
      <c r="B625" s="34" t="s">
        <v>1404</v>
      </c>
      <c r="C625" s="34" t="s">
        <v>1403</v>
      </c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25"/>
      <c r="X625" s="25"/>
      <c r="Y625" s="34"/>
      <c r="Z625" s="34"/>
      <c r="AA625" s="34"/>
      <c r="AB625" s="34"/>
      <c r="AC625" s="34"/>
      <c r="AD625" s="34"/>
      <c r="AE625" s="25"/>
      <c r="AF625" s="25"/>
      <c r="AG625" s="34"/>
      <c r="AH625" s="34"/>
      <c r="AI625" s="37"/>
      <c r="AJ625" s="34"/>
      <c r="AK625" s="25"/>
      <c r="AL625" s="38"/>
      <c r="AM625" s="41"/>
      <c r="AN625" s="25"/>
      <c r="AO625" s="40"/>
      <c r="AP625" s="40"/>
    </row>
    <row r="626" ht="15.0" customHeight="1">
      <c r="A626" s="32" t="s">
        <v>651</v>
      </c>
      <c r="B626" s="34" t="s">
        <v>1404</v>
      </c>
      <c r="C626" s="34" t="s">
        <v>1403</v>
      </c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25"/>
      <c r="X626" s="25"/>
      <c r="Y626" s="34"/>
      <c r="Z626" s="34"/>
      <c r="AA626" s="34"/>
      <c r="AB626" s="34"/>
      <c r="AC626" s="34"/>
      <c r="AD626" s="34"/>
      <c r="AE626" s="25"/>
      <c r="AF626" s="25"/>
      <c r="AG626" s="34"/>
      <c r="AH626" s="34"/>
      <c r="AI626" s="37"/>
      <c r="AJ626" s="34"/>
      <c r="AK626" s="25"/>
      <c r="AL626" s="38"/>
      <c r="AM626" s="41"/>
      <c r="AN626" s="25"/>
      <c r="AO626" s="40"/>
      <c r="AP626" s="40"/>
    </row>
    <row r="627" ht="15.0" customHeight="1">
      <c r="A627" s="32" t="s">
        <v>652</v>
      </c>
      <c r="B627" s="34" t="s">
        <v>1404</v>
      </c>
      <c r="C627" s="34" t="s">
        <v>1403</v>
      </c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25"/>
      <c r="X627" s="25"/>
      <c r="Y627" s="34"/>
      <c r="Z627" s="34"/>
      <c r="AA627" s="34"/>
      <c r="AB627" s="34"/>
      <c r="AC627" s="34"/>
      <c r="AD627" s="34"/>
      <c r="AE627" s="25"/>
      <c r="AF627" s="25"/>
      <c r="AG627" s="34"/>
      <c r="AH627" s="34"/>
      <c r="AI627" s="37"/>
      <c r="AJ627" s="34"/>
      <c r="AK627" s="25"/>
      <c r="AL627" s="38"/>
      <c r="AM627" s="41"/>
      <c r="AN627" s="25"/>
      <c r="AO627" s="40"/>
      <c r="AP627" s="40"/>
    </row>
    <row r="628" ht="15.0" customHeight="1">
      <c r="A628" s="32" t="s">
        <v>653</v>
      </c>
      <c r="B628" s="34" t="s">
        <v>1404</v>
      </c>
      <c r="C628" s="34" t="s">
        <v>1403</v>
      </c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25"/>
      <c r="X628" s="25"/>
      <c r="Y628" s="34"/>
      <c r="Z628" s="34"/>
      <c r="AA628" s="34"/>
      <c r="AB628" s="34"/>
      <c r="AC628" s="34"/>
      <c r="AD628" s="34"/>
      <c r="AE628" s="25"/>
      <c r="AF628" s="25"/>
      <c r="AG628" s="34"/>
      <c r="AH628" s="34"/>
      <c r="AI628" s="37"/>
      <c r="AJ628" s="34"/>
      <c r="AK628" s="25"/>
      <c r="AL628" s="38"/>
      <c r="AM628" s="41"/>
      <c r="AN628" s="25"/>
      <c r="AO628" s="40"/>
      <c r="AP628" s="40"/>
    </row>
    <row r="629" ht="15.0" customHeight="1">
      <c r="A629" s="32" t="s">
        <v>654</v>
      </c>
      <c r="B629" s="34" t="s">
        <v>1404</v>
      </c>
      <c r="C629" s="34" t="s">
        <v>1403</v>
      </c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25"/>
      <c r="X629" s="25"/>
      <c r="Y629" s="34"/>
      <c r="Z629" s="34"/>
      <c r="AA629" s="34"/>
      <c r="AB629" s="34"/>
      <c r="AC629" s="34"/>
      <c r="AD629" s="34"/>
      <c r="AE629" s="25"/>
      <c r="AF629" s="25"/>
      <c r="AG629" s="34"/>
      <c r="AH629" s="34"/>
      <c r="AI629" s="37"/>
      <c r="AJ629" s="34"/>
      <c r="AK629" s="25"/>
      <c r="AL629" s="38"/>
      <c r="AM629" s="41"/>
      <c r="AN629" s="25"/>
      <c r="AO629" s="40"/>
      <c r="AP629" s="40"/>
    </row>
    <row r="630" ht="15.0" customHeight="1">
      <c r="A630" s="32" t="s">
        <v>655</v>
      </c>
      <c r="B630" s="34" t="s">
        <v>1404</v>
      </c>
      <c r="C630" s="34" t="s">
        <v>1403</v>
      </c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25"/>
      <c r="X630" s="25"/>
      <c r="Y630" s="34"/>
      <c r="Z630" s="34"/>
      <c r="AA630" s="34"/>
      <c r="AB630" s="34"/>
      <c r="AC630" s="34"/>
      <c r="AD630" s="34"/>
      <c r="AE630" s="25"/>
      <c r="AF630" s="25"/>
      <c r="AG630" s="34"/>
      <c r="AH630" s="34"/>
      <c r="AI630" s="37"/>
      <c r="AJ630" s="34"/>
      <c r="AK630" s="25"/>
      <c r="AL630" s="38"/>
      <c r="AM630" s="41"/>
      <c r="AN630" s="25"/>
      <c r="AO630" s="40"/>
      <c r="AP630" s="40"/>
    </row>
    <row r="631" ht="15.0" customHeight="1">
      <c r="A631" s="32" t="s">
        <v>656</v>
      </c>
      <c r="B631" s="34" t="s">
        <v>1404</v>
      </c>
      <c r="C631" s="34" t="s">
        <v>1403</v>
      </c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25"/>
      <c r="X631" s="25"/>
      <c r="Y631" s="34"/>
      <c r="Z631" s="34"/>
      <c r="AA631" s="34"/>
      <c r="AB631" s="34"/>
      <c r="AC631" s="34"/>
      <c r="AD631" s="34"/>
      <c r="AE631" s="25"/>
      <c r="AF631" s="25"/>
      <c r="AG631" s="34"/>
      <c r="AH631" s="34"/>
      <c r="AI631" s="37"/>
      <c r="AJ631" s="34"/>
      <c r="AK631" s="25"/>
      <c r="AL631" s="38"/>
      <c r="AM631" s="41"/>
      <c r="AN631" s="25"/>
      <c r="AO631" s="40"/>
      <c r="AP631" s="40"/>
    </row>
    <row r="632" ht="15.0" customHeight="1">
      <c r="A632" s="32" t="s">
        <v>657</v>
      </c>
      <c r="B632" s="34" t="s">
        <v>1404</v>
      </c>
      <c r="C632" s="34" t="s">
        <v>1403</v>
      </c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25"/>
      <c r="X632" s="25"/>
      <c r="Y632" s="34"/>
      <c r="Z632" s="34"/>
      <c r="AA632" s="34"/>
      <c r="AB632" s="34"/>
      <c r="AC632" s="34"/>
      <c r="AD632" s="34"/>
      <c r="AE632" s="25"/>
      <c r="AF632" s="25"/>
      <c r="AG632" s="34"/>
      <c r="AH632" s="34"/>
      <c r="AI632" s="37"/>
      <c r="AJ632" s="34"/>
      <c r="AK632" s="25"/>
      <c r="AL632" s="38"/>
      <c r="AM632" s="41"/>
      <c r="AN632" s="25"/>
      <c r="AO632" s="40"/>
      <c r="AP632" s="40"/>
    </row>
    <row r="633" ht="15.0" customHeight="1">
      <c r="A633" s="32" t="s">
        <v>658</v>
      </c>
      <c r="B633" s="34" t="s">
        <v>1404</v>
      </c>
      <c r="C633" s="34" t="s">
        <v>1403</v>
      </c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25"/>
      <c r="X633" s="25"/>
      <c r="Y633" s="34"/>
      <c r="Z633" s="34"/>
      <c r="AA633" s="34"/>
      <c r="AB633" s="34"/>
      <c r="AC633" s="34"/>
      <c r="AD633" s="34"/>
      <c r="AE633" s="25"/>
      <c r="AF633" s="25"/>
      <c r="AG633" s="34"/>
      <c r="AH633" s="34"/>
      <c r="AI633" s="37"/>
      <c r="AJ633" s="34"/>
      <c r="AK633" s="25"/>
      <c r="AL633" s="38"/>
      <c r="AM633" s="41"/>
      <c r="AN633" s="25"/>
      <c r="AO633" s="40"/>
      <c r="AP633" s="40"/>
    </row>
    <row r="634" ht="15.0" customHeight="1">
      <c r="A634" s="32" t="s">
        <v>659</v>
      </c>
      <c r="B634" s="34" t="s">
        <v>1404</v>
      </c>
      <c r="C634" s="34" t="s">
        <v>1403</v>
      </c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25"/>
      <c r="X634" s="25"/>
      <c r="Y634" s="34"/>
      <c r="Z634" s="34"/>
      <c r="AA634" s="34"/>
      <c r="AB634" s="34"/>
      <c r="AC634" s="34"/>
      <c r="AD634" s="34"/>
      <c r="AE634" s="25"/>
      <c r="AF634" s="25"/>
      <c r="AG634" s="34"/>
      <c r="AH634" s="34"/>
      <c r="AI634" s="37"/>
      <c r="AJ634" s="34"/>
      <c r="AK634" s="25"/>
      <c r="AL634" s="38"/>
      <c r="AM634" s="41"/>
      <c r="AN634" s="25"/>
      <c r="AO634" s="40"/>
      <c r="AP634" s="40"/>
    </row>
    <row r="635" ht="15.0" customHeight="1">
      <c r="A635" s="32" t="s">
        <v>660</v>
      </c>
      <c r="B635" s="34" t="s">
        <v>1404</v>
      </c>
      <c r="C635" s="34" t="s">
        <v>1403</v>
      </c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25"/>
      <c r="X635" s="25"/>
      <c r="Y635" s="34"/>
      <c r="Z635" s="34"/>
      <c r="AA635" s="34"/>
      <c r="AB635" s="34"/>
      <c r="AC635" s="34"/>
      <c r="AD635" s="34"/>
      <c r="AE635" s="25"/>
      <c r="AF635" s="25"/>
      <c r="AG635" s="34"/>
      <c r="AH635" s="34"/>
      <c r="AI635" s="37"/>
      <c r="AJ635" s="34"/>
      <c r="AK635" s="25"/>
      <c r="AL635" s="38"/>
      <c r="AM635" s="41"/>
      <c r="AN635" s="25"/>
      <c r="AO635" s="40"/>
      <c r="AP635" s="40"/>
    </row>
    <row r="636" ht="15.0" customHeight="1">
      <c r="A636" s="32" t="s">
        <v>661</v>
      </c>
      <c r="B636" s="34" t="s">
        <v>1404</v>
      </c>
      <c r="C636" s="34" t="s">
        <v>1403</v>
      </c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25"/>
      <c r="X636" s="25"/>
      <c r="Y636" s="34"/>
      <c r="Z636" s="34"/>
      <c r="AA636" s="34"/>
      <c r="AB636" s="34"/>
      <c r="AC636" s="34"/>
      <c r="AD636" s="34"/>
      <c r="AE636" s="25"/>
      <c r="AF636" s="25"/>
      <c r="AG636" s="34"/>
      <c r="AH636" s="34"/>
      <c r="AI636" s="37"/>
      <c r="AJ636" s="34"/>
      <c r="AK636" s="25"/>
      <c r="AL636" s="38"/>
      <c r="AM636" s="41"/>
      <c r="AN636" s="25"/>
      <c r="AO636" s="40"/>
      <c r="AP636" s="40"/>
    </row>
    <row r="637" ht="15.0" customHeight="1">
      <c r="A637" s="32" t="s">
        <v>662</v>
      </c>
      <c r="B637" s="34" t="s">
        <v>1404</v>
      </c>
      <c r="C637" s="34" t="s">
        <v>1403</v>
      </c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25"/>
      <c r="X637" s="25"/>
      <c r="Y637" s="34"/>
      <c r="Z637" s="34"/>
      <c r="AA637" s="34"/>
      <c r="AB637" s="34"/>
      <c r="AC637" s="34"/>
      <c r="AD637" s="34"/>
      <c r="AE637" s="25"/>
      <c r="AF637" s="25"/>
      <c r="AG637" s="34"/>
      <c r="AH637" s="34"/>
      <c r="AI637" s="37"/>
      <c r="AJ637" s="34"/>
      <c r="AK637" s="25"/>
      <c r="AL637" s="38"/>
      <c r="AM637" s="41"/>
      <c r="AN637" s="25"/>
      <c r="AO637" s="40"/>
      <c r="AP637" s="40"/>
    </row>
    <row r="638" ht="15.0" customHeight="1">
      <c r="A638" s="32" t="s">
        <v>663</v>
      </c>
      <c r="B638" s="34" t="s">
        <v>1404</v>
      </c>
      <c r="C638" s="34" t="s">
        <v>1403</v>
      </c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25"/>
      <c r="X638" s="25"/>
      <c r="Y638" s="34"/>
      <c r="Z638" s="34"/>
      <c r="AA638" s="34"/>
      <c r="AB638" s="34"/>
      <c r="AC638" s="34"/>
      <c r="AD638" s="34"/>
      <c r="AE638" s="25"/>
      <c r="AF638" s="25"/>
      <c r="AG638" s="34"/>
      <c r="AH638" s="34"/>
      <c r="AI638" s="37"/>
      <c r="AJ638" s="34"/>
      <c r="AK638" s="25"/>
      <c r="AL638" s="38"/>
      <c r="AM638" s="41"/>
      <c r="AN638" s="25"/>
      <c r="AO638" s="40"/>
      <c r="AP638" s="40"/>
    </row>
    <row r="639" ht="15.0" customHeight="1">
      <c r="A639" s="32" t="s">
        <v>664</v>
      </c>
      <c r="B639" s="34" t="s">
        <v>1404</v>
      </c>
      <c r="C639" s="34" t="s">
        <v>1403</v>
      </c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25"/>
      <c r="X639" s="25"/>
      <c r="Y639" s="34"/>
      <c r="Z639" s="34"/>
      <c r="AA639" s="34"/>
      <c r="AB639" s="34"/>
      <c r="AC639" s="34"/>
      <c r="AD639" s="34"/>
      <c r="AE639" s="25"/>
      <c r="AF639" s="25"/>
      <c r="AG639" s="34"/>
      <c r="AH639" s="34"/>
      <c r="AI639" s="37"/>
      <c r="AJ639" s="34"/>
      <c r="AK639" s="25"/>
      <c r="AL639" s="38"/>
      <c r="AM639" s="41"/>
      <c r="AN639" s="25"/>
      <c r="AO639" s="40"/>
      <c r="AP639" s="40"/>
    </row>
    <row r="640" ht="15.0" customHeight="1">
      <c r="A640" s="32" t="s">
        <v>665</v>
      </c>
      <c r="B640" s="34" t="s">
        <v>1404</v>
      </c>
      <c r="C640" s="34" t="s">
        <v>1403</v>
      </c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25"/>
      <c r="X640" s="25"/>
      <c r="Y640" s="34"/>
      <c r="Z640" s="34"/>
      <c r="AA640" s="34"/>
      <c r="AB640" s="34"/>
      <c r="AC640" s="34"/>
      <c r="AD640" s="34"/>
      <c r="AE640" s="25"/>
      <c r="AF640" s="25"/>
      <c r="AG640" s="34"/>
      <c r="AH640" s="34"/>
      <c r="AI640" s="37"/>
      <c r="AJ640" s="34"/>
      <c r="AK640" s="25"/>
      <c r="AL640" s="38"/>
      <c r="AM640" s="41"/>
      <c r="AN640" s="25"/>
      <c r="AO640" s="40"/>
      <c r="AP640" s="40"/>
    </row>
    <row r="641" ht="15.0" customHeight="1">
      <c r="A641" s="32" t="s">
        <v>666</v>
      </c>
      <c r="B641" s="34" t="s">
        <v>1404</v>
      </c>
      <c r="C641" s="34" t="s">
        <v>1403</v>
      </c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25"/>
      <c r="X641" s="25"/>
      <c r="Y641" s="34"/>
      <c r="Z641" s="34"/>
      <c r="AA641" s="34"/>
      <c r="AB641" s="34"/>
      <c r="AC641" s="34"/>
      <c r="AD641" s="34"/>
      <c r="AE641" s="25"/>
      <c r="AF641" s="25"/>
      <c r="AG641" s="34"/>
      <c r="AH641" s="34"/>
      <c r="AI641" s="37"/>
      <c r="AJ641" s="34"/>
      <c r="AK641" s="25"/>
      <c r="AL641" s="38"/>
      <c r="AM641" s="41"/>
      <c r="AN641" s="25"/>
      <c r="AO641" s="40"/>
      <c r="AP641" s="40"/>
    </row>
    <row r="642" ht="15.0" customHeight="1">
      <c r="A642" s="32" t="s">
        <v>667</v>
      </c>
      <c r="B642" s="34" t="s">
        <v>1404</v>
      </c>
      <c r="C642" s="34" t="s">
        <v>1403</v>
      </c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25"/>
      <c r="X642" s="25"/>
      <c r="Y642" s="34"/>
      <c r="Z642" s="34"/>
      <c r="AA642" s="34"/>
      <c r="AB642" s="34"/>
      <c r="AC642" s="34"/>
      <c r="AD642" s="34"/>
      <c r="AE642" s="25"/>
      <c r="AF642" s="25"/>
      <c r="AG642" s="34"/>
      <c r="AH642" s="34"/>
      <c r="AI642" s="37"/>
      <c r="AJ642" s="34"/>
      <c r="AK642" s="25"/>
      <c r="AL642" s="38"/>
      <c r="AM642" s="41"/>
      <c r="AN642" s="25"/>
      <c r="AO642" s="40"/>
      <c r="AP642" s="40"/>
    </row>
    <row r="643" ht="15.0" customHeight="1">
      <c r="A643" s="32" t="s">
        <v>668</v>
      </c>
      <c r="B643" s="34" t="s">
        <v>1404</v>
      </c>
      <c r="C643" s="34" t="s">
        <v>1403</v>
      </c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25"/>
      <c r="X643" s="25"/>
      <c r="Y643" s="34"/>
      <c r="Z643" s="34"/>
      <c r="AA643" s="34"/>
      <c r="AB643" s="34"/>
      <c r="AC643" s="34"/>
      <c r="AD643" s="34"/>
      <c r="AE643" s="25"/>
      <c r="AF643" s="25"/>
      <c r="AG643" s="34"/>
      <c r="AH643" s="34"/>
      <c r="AI643" s="37"/>
      <c r="AJ643" s="34"/>
      <c r="AK643" s="25"/>
      <c r="AL643" s="38"/>
      <c r="AM643" s="41"/>
      <c r="AN643" s="25"/>
      <c r="AO643" s="40"/>
      <c r="AP643" s="40"/>
    </row>
    <row r="644" ht="15.0" customHeight="1">
      <c r="A644" s="32" t="s">
        <v>669</v>
      </c>
      <c r="B644" s="34" t="s">
        <v>1404</v>
      </c>
      <c r="C644" s="34" t="s">
        <v>1403</v>
      </c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25"/>
      <c r="X644" s="25"/>
      <c r="Y644" s="34"/>
      <c r="Z644" s="34"/>
      <c r="AA644" s="34"/>
      <c r="AB644" s="34"/>
      <c r="AC644" s="34"/>
      <c r="AD644" s="34"/>
      <c r="AE644" s="25"/>
      <c r="AF644" s="25"/>
      <c r="AG644" s="34"/>
      <c r="AH644" s="34"/>
      <c r="AI644" s="37"/>
      <c r="AJ644" s="34"/>
      <c r="AK644" s="25"/>
      <c r="AL644" s="38"/>
      <c r="AM644" s="41"/>
      <c r="AN644" s="25"/>
      <c r="AO644" s="40"/>
      <c r="AP644" s="40"/>
    </row>
    <row r="645" ht="15.0" customHeight="1">
      <c r="A645" s="32" t="s">
        <v>670</v>
      </c>
      <c r="B645" s="34" t="s">
        <v>1404</v>
      </c>
      <c r="C645" s="34" t="s">
        <v>1403</v>
      </c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25"/>
      <c r="X645" s="25"/>
      <c r="Y645" s="34"/>
      <c r="Z645" s="34"/>
      <c r="AA645" s="34"/>
      <c r="AB645" s="34"/>
      <c r="AC645" s="34"/>
      <c r="AD645" s="34"/>
      <c r="AE645" s="25"/>
      <c r="AF645" s="25"/>
      <c r="AG645" s="34"/>
      <c r="AH645" s="34"/>
      <c r="AI645" s="37"/>
      <c r="AJ645" s="34"/>
      <c r="AK645" s="25"/>
      <c r="AL645" s="38"/>
      <c r="AM645" s="41"/>
      <c r="AN645" s="25"/>
      <c r="AO645" s="40"/>
      <c r="AP645" s="40"/>
    </row>
    <row r="646" ht="15.0" customHeight="1">
      <c r="A646" s="32" t="s">
        <v>671</v>
      </c>
      <c r="B646" s="34" t="s">
        <v>1404</v>
      </c>
      <c r="C646" s="34" t="s">
        <v>1403</v>
      </c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25"/>
      <c r="X646" s="25"/>
      <c r="Y646" s="34"/>
      <c r="Z646" s="34"/>
      <c r="AA646" s="34"/>
      <c r="AB646" s="34"/>
      <c r="AC646" s="34"/>
      <c r="AD646" s="34"/>
      <c r="AE646" s="25"/>
      <c r="AF646" s="25"/>
      <c r="AG646" s="34"/>
      <c r="AH646" s="34"/>
      <c r="AI646" s="37"/>
      <c r="AJ646" s="34"/>
      <c r="AK646" s="25"/>
      <c r="AL646" s="38"/>
      <c r="AM646" s="41"/>
      <c r="AN646" s="25"/>
      <c r="AO646" s="40"/>
      <c r="AP646" s="40"/>
    </row>
    <row r="647" ht="15.0" customHeight="1">
      <c r="A647" s="32" t="s">
        <v>672</v>
      </c>
      <c r="B647" s="34" t="s">
        <v>1404</v>
      </c>
      <c r="C647" s="34" t="s">
        <v>1403</v>
      </c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25"/>
      <c r="X647" s="25"/>
      <c r="Y647" s="34"/>
      <c r="Z647" s="34"/>
      <c r="AA647" s="34"/>
      <c r="AB647" s="34"/>
      <c r="AC647" s="34"/>
      <c r="AD647" s="34"/>
      <c r="AE647" s="25"/>
      <c r="AF647" s="25"/>
      <c r="AG647" s="34"/>
      <c r="AH647" s="34"/>
      <c r="AI647" s="37"/>
      <c r="AJ647" s="34"/>
      <c r="AK647" s="25"/>
      <c r="AL647" s="38"/>
      <c r="AM647" s="41"/>
      <c r="AN647" s="25"/>
      <c r="AO647" s="40"/>
      <c r="AP647" s="40"/>
    </row>
    <row r="648" ht="15.0" customHeight="1">
      <c r="A648" s="32" t="s">
        <v>673</v>
      </c>
      <c r="B648" s="34" t="s">
        <v>1404</v>
      </c>
      <c r="C648" s="34" t="s">
        <v>1403</v>
      </c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25"/>
      <c r="X648" s="25"/>
      <c r="Y648" s="34"/>
      <c r="Z648" s="34"/>
      <c r="AA648" s="34"/>
      <c r="AB648" s="34"/>
      <c r="AC648" s="34"/>
      <c r="AD648" s="34"/>
      <c r="AE648" s="25"/>
      <c r="AF648" s="25"/>
      <c r="AG648" s="34"/>
      <c r="AH648" s="34"/>
      <c r="AI648" s="37"/>
      <c r="AJ648" s="34"/>
      <c r="AK648" s="25"/>
      <c r="AL648" s="38"/>
      <c r="AM648" s="41"/>
      <c r="AN648" s="25"/>
      <c r="AO648" s="40"/>
      <c r="AP648" s="40"/>
    </row>
    <row r="649" ht="15.0" customHeight="1">
      <c r="A649" s="32" t="s">
        <v>674</v>
      </c>
      <c r="B649" s="34" t="s">
        <v>1404</v>
      </c>
      <c r="C649" s="34" t="s">
        <v>1403</v>
      </c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25"/>
      <c r="X649" s="25"/>
      <c r="Y649" s="34"/>
      <c r="Z649" s="34"/>
      <c r="AA649" s="34"/>
      <c r="AB649" s="34"/>
      <c r="AC649" s="34"/>
      <c r="AD649" s="34"/>
      <c r="AE649" s="25"/>
      <c r="AF649" s="25"/>
      <c r="AG649" s="34"/>
      <c r="AH649" s="34"/>
      <c r="AI649" s="37"/>
      <c r="AJ649" s="34"/>
      <c r="AK649" s="25"/>
      <c r="AL649" s="38"/>
      <c r="AM649" s="41"/>
      <c r="AN649" s="25"/>
      <c r="AO649" s="40"/>
      <c r="AP649" s="40"/>
    </row>
    <row r="650" ht="15.0" customHeight="1">
      <c r="A650" s="32" t="s">
        <v>675</v>
      </c>
      <c r="B650" s="34" t="s">
        <v>1404</v>
      </c>
      <c r="C650" s="34" t="s">
        <v>1403</v>
      </c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25"/>
      <c r="X650" s="25"/>
      <c r="Y650" s="34"/>
      <c r="Z650" s="34"/>
      <c r="AA650" s="34"/>
      <c r="AB650" s="34"/>
      <c r="AC650" s="34"/>
      <c r="AD650" s="34"/>
      <c r="AE650" s="25"/>
      <c r="AF650" s="25"/>
      <c r="AG650" s="34"/>
      <c r="AH650" s="34"/>
      <c r="AI650" s="37"/>
      <c r="AJ650" s="34"/>
      <c r="AK650" s="25"/>
      <c r="AL650" s="38"/>
      <c r="AM650" s="41"/>
      <c r="AN650" s="25"/>
      <c r="AO650" s="40"/>
      <c r="AP650" s="40"/>
    </row>
    <row r="651" ht="15.0" customHeight="1">
      <c r="A651" s="32" t="s">
        <v>676</v>
      </c>
      <c r="B651" s="34" t="s">
        <v>1404</v>
      </c>
      <c r="C651" s="34" t="s">
        <v>1403</v>
      </c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25"/>
      <c r="X651" s="25"/>
      <c r="Y651" s="34"/>
      <c r="Z651" s="34"/>
      <c r="AA651" s="34"/>
      <c r="AB651" s="34"/>
      <c r="AC651" s="34"/>
      <c r="AD651" s="34"/>
      <c r="AE651" s="25"/>
      <c r="AF651" s="25"/>
      <c r="AG651" s="34"/>
      <c r="AH651" s="34"/>
      <c r="AI651" s="37"/>
      <c r="AJ651" s="34"/>
      <c r="AK651" s="25"/>
      <c r="AL651" s="38"/>
      <c r="AM651" s="41"/>
      <c r="AN651" s="25"/>
      <c r="AO651" s="40"/>
      <c r="AP651" s="40"/>
    </row>
    <row r="652" ht="15.0" customHeight="1">
      <c r="A652" s="32" t="s">
        <v>677</v>
      </c>
      <c r="B652" s="34" t="s">
        <v>1404</v>
      </c>
      <c r="C652" s="34" t="s">
        <v>1403</v>
      </c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25"/>
      <c r="X652" s="25"/>
      <c r="Y652" s="34"/>
      <c r="Z652" s="34"/>
      <c r="AA652" s="34"/>
      <c r="AB652" s="34"/>
      <c r="AC652" s="34"/>
      <c r="AD652" s="34"/>
      <c r="AE652" s="25"/>
      <c r="AF652" s="25"/>
      <c r="AG652" s="34"/>
      <c r="AH652" s="34"/>
      <c r="AI652" s="37"/>
      <c r="AJ652" s="34"/>
      <c r="AK652" s="25"/>
      <c r="AL652" s="38"/>
      <c r="AM652" s="41"/>
      <c r="AN652" s="25"/>
      <c r="AO652" s="40"/>
      <c r="AP652" s="40"/>
    </row>
    <row r="653" ht="15.0" customHeight="1">
      <c r="A653" s="32" t="s">
        <v>678</v>
      </c>
      <c r="B653" s="34" t="s">
        <v>1404</v>
      </c>
      <c r="C653" s="34" t="s">
        <v>1403</v>
      </c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25"/>
      <c r="X653" s="25"/>
      <c r="Y653" s="34"/>
      <c r="Z653" s="34"/>
      <c r="AA653" s="34"/>
      <c r="AB653" s="34"/>
      <c r="AC653" s="34"/>
      <c r="AD653" s="34"/>
      <c r="AE653" s="25"/>
      <c r="AF653" s="25"/>
      <c r="AG653" s="34"/>
      <c r="AH653" s="34"/>
      <c r="AI653" s="37"/>
      <c r="AJ653" s="34"/>
      <c r="AK653" s="25"/>
      <c r="AL653" s="38"/>
      <c r="AM653" s="41"/>
      <c r="AN653" s="25"/>
      <c r="AO653" s="40"/>
      <c r="AP653" s="40"/>
    </row>
    <row r="654" ht="15.0" customHeight="1">
      <c r="A654" s="32" t="s">
        <v>679</v>
      </c>
      <c r="B654" s="34" t="s">
        <v>1404</v>
      </c>
      <c r="C654" s="34" t="s">
        <v>1403</v>
      </c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25"/>
      <c r="X654" s="25"/>
      <c r="Y654" s="34"/>
      <c r="Z654" s="34"/>
      <c r="AA654" s="34"/>
      <c r="AB654" s="34"/>
      <c r="AC654" s="34"/>
      <c r="AD654" s="34"/>
      <c r="AE654" s="25"/>
      <c r="AF654" s="25"/>
      <c r="AG654" s="34"/>
      <c r="AH654" s="34"/>
      <c r="AI654" s="37"/>
      <c r="AJ654" s="34"/>
      <c r="AK654" s="25"/>
      <c r="AL654" s="38"/>
      <c r="AM654" s="41"/>
      <c r="AN654" s="25"/>
      <c r="AO654" s="40"/>
      <c r="AP654" s="40"/>
    </row>
    <row r="655" ht="15.0" customHeight="1">
      <c r="A655" s="32" t="s">
        <v>680</v>
      </c>
      <c r="B655" s="34" t="s">
        <v>1404</v>
      </c>
      <c r="C655" s="34" t="s">
        <v>1403</v>
      </c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25"/>
      <c r="X655" s="25"/>
      <c r="Y655" s="34"/>
      <c r="Z655" s="34"/>
      <c r="AA655" s="34"/>
      <c r="AB655" s="34"/>
      <c r="AC655" s="34"/>
      <c r="AD655" s="34"/>
      <c r="AE655" s="25"/>
      <c r="AF655" s="25"/>
      <c r="AG655" s="34"/>
      <c r="AH655" s="34"/>
      <c r="AI655" s="37"/>
      <c r="AJ655" s="34"/>
      <c r="AK655" s="25"/>
      <c r="AL655" s="38"/>
      <c r="AM655" s="41"/>
      <c r="AN655" s="25"/>
      <c r="AO655" s="40"/>
      <c r="AP655" s="40"/>
    </row>
    <row r="656" ht="15.0" customHeight="1">
      <c r="A656" s="32" t="s">
        <v>681</v>
      </c>
      <c r="B656" s="34" t="s">
        <v>1404</v>
      </c>
      <c r="C656" s="34" t="s">
        <v>1403</v>
      </c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25"/>
      <c r="X656" s="25"/>
      <c r="Y656" s="34"/>
      <c r="Z656" s="34"/>
      <c r="AA656" s="34"/>
      <c r="AB656" s="34"/>
      <c r="AC656" s="34"/>
      <c r="AD656" s="34"/>
      <c r="AE656" s="25"/>
      <c r="AF656" s="25"/>
      <c r="AG656" s="34"/>
      <c r="AH656" s="34"/>
      <c r="AI656" s="37"/>
      <c r="AJ656" s="34"/>
      <c r="AK656" s="25"/>
      <c r="AL656" s="38"/>
      <c r="AM656" s="41"/>
      <c r="AN656" s="25"/>
      <c r="AO656" s="40"/>
      <c r="AP656" s="40"/>
    </row>
    <row r="657" ht="15.0" customHeight="1">
      <c r="A657" s="32" t="s">
        <v>682</v>
      </c>
      <c r="B657" s="34" t="s">
        <v>1404</v>
      </c>
      <c r="C657" s="34" t="s">
        <v>1403</v>
      </c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25"/>
      <c r="X657" s="25"/>
      <c r="Y657" s="34"/>
      <c r="Z657" s="34"/>
      <c r="AA657" s="34"/>
      <c r="AB657" s="34"/>
      <c r="AC657" s="34"/>
      <c r="AD657" s="34"/>
      <c r="AE657" s="25"/>
      <c r="AF657" s="25"/>
      <c r="AG657" s="34"/>
      <c r="AH657" s="34"/>
      <c r="AI657" s="37"/>
      <c r="AJ657" s="34"/>
      <c r="AK657" s="25"/>
      <c r="AL657" s="38"/>
      <c r="AM657" s="41"/>
      <c r="AN657" s="25"/>
      <c r="AO657" s="40"/>
      <c r="AP657" s="40"/>
    </row>
    <row r="658" ht="15.0" customHeight="1">
      <c r="A658" s="32" t="s">
        <v>683</v>
      </c>
      <c r="B658" s="34" t="s">
        <v>1404</v>
      </c>
      <c r="C658" s="34" t="s">
        <v>1403</v>
      </c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25"/>
      <c r="X658" s="25"/>
      <c r="Y658" s="34"/>
      <c r="Z658" s="34"/>
      <c r="AA658" s="34"/>
      <c r="AB658" s="34"/>
      <c r="AC658" s="34"/>
      <c r="AD658" s="34"/>
      <c r="AE658" s="25"/>
      <c r="AF658" s="25"/>
      <c r="AG658" s="34"/>
      <c r="AH658" s="34"/>
      <c r="AI658" s="37"/>
      <c r="AJ658" s="34"/>
      <c r="AK658" s="25"/>
      <c r="AL658" s="38"/>
      <c r="AM658" s="41"/>
      <c r="AN658" s="25"/>
      <c r="AO658" s="40"/>
      <c r="AP658" s="40"/>
    </row>
    <row r="659" ht="15.0" customHeight="1">
      <c r="A659" s="32" t="s">
        <v>684</v>
      </c>
      <c r="B659" s="34" t="s">
        <v>1404</v>
      </c>
      <c r="C659" s="34" t="s">
        <v>1403</v>
      </c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25"/>
      <c r="X659" s="25"/>
      <c r="Y659" s="34"/>
      <c r="Z659" s="34"/>
      <c r="AA659" s="34"/>
      <c r="AB659" s="34"/>
      <c r="AC659" s="34"/>
      <c r="AD659" s="34"/>
      <c r="AE659" s="25"/>
      <c r="AF659" s="25"/>
      <c r="AG659" s="34"/>
      <c r="AH659" s="34"/>
      <c r="AI659" s="37"/>
      <c r="AJ659" s="34"/>
      <c r="AK659" s="25"/>
      <c r="AL659" s="38"/>
      <c r="AM659" s="41"/>
      <c r="AN659" s="25"/>
      <c r="AO659" s="40"/>
      <c r="AP659" s="40"/>
    </row>
    <row r="660" ht="15.0" customHeight="1">
      <c r="A660" s="32" t="s">
        <v>685</v>
      </c>
      <c r="B660" s="34" t="s">
        <v>1404</v>
      </c>
      <c r="C660" s="34" t="s">
        <v>1403</v>
      </c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25"/>
      <c r="X660" s="25"/>
      <c r="Y660" s="34"/>
      <c r="Z660" s="34"/>
      <c r="AA660" s="34"/>
      <c r="AB660" s="34"/>
      <c r="AC660" s="34"/>
      <c r="AD660" s="34"/>
      <c r="AE660" s="25"/>
      <c r="AF660" s="25"/>
      <c r="AG660" s="34"/>
      <c r="AH660" s="34"/>
      <c r="AI660" s="37"/>
      <c r="AJ660" s="34"/>
      <c r="AK660" s="25"/>
      <c r="AL660" s="38"/>
      <c r="AM660" s="41"/>
      <c r="AN660" s="25"/>
      <c r="AO660" s="40"/>
      <c r="AP660" s="40"/>
    </row>
    <row r="661" ht="15.0" customHeight="1">
      <c r="A661" s="32" t="s">
        <v>686</v>
      </c>
      <c r="B661" s="34" t="s">
        <v>1404</v>
      </c>
      <c r="C661" s="34" t="s">
        <v>1403</v>
      </c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25"/>
      <c r="X661" s="25"/>
      <c r="Y661" s="34"/>
      <c r="Z661" s="34"/>
      <c r="AA661" s="34"/>
      <c r="AB661" s="34"/>
      <c r="AC661" s="34"/>
      <c r="AD661" s="34"/>
      <c r="AE661" s="25"/>
      <c r="AF661" s="25"/>
      <c r="AG661" s="34"/>
      <c r="AH661" s="34"/>
      <c r="AI661" s="37"/>
      <c r="AJ661" s="34"/>
      <c r="AK661" s="25"/>
      <c r="AL661" s="38"/>
      <c r="AM661" s="41"/>
      <c r="AN661" s="25"/>
      <c r="AO661" s="40"/>
      <c r="AP661" s="40"/>
    </row>
    <row r="662" ht="15.0" customHeight="1">
      <c r="A662" s="32" t="s">
        <v>687</v>
      </c>
      <c r="B662" s="34" t="s">
        <v>1404</v>
      </c>
      <c r="C662" s="34" t="s">
        <v>1403</v>
      </c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25"/>
      <c r="X662" s="25"/>
      <c r="Y662" s="34"/>
      <c r="Z662" s="34"/>
      <c r="AA662" s="34"/>
      <c r="AB662" s="34"/>
      <c r="AC662" s="34"/>
      <c r="AD662" s="34"/>
      <c r="AE662" s="25"/>
      <c r="AF662" s="25"/>
      <c r="AG662" s="34"/>
      <c r="AH662" s="34"/>
      <c r="AI662" s="37"/>
      <c r="AJ662" s="34"/>
      <c r="AK662" s="25"/>
      <c r="AL662" s="38"/>
      <c r="AM662" s="41"/>
      <c r="AN662" s="25"/>
      <c r="AO662" s="40"/>
      <c r="AP662" s="40"/>
    </row>
    <row r="663" ht="15.0" customHeight="1">
      <c r="A663" s="32" t="s">
        <v>688</v>
      </c>
      <c r="B663" s="34" t="s">
        <v>1404</v>
      </c>
      <c r="C663" s="34" t="s">
        <v>1403</v>
      </c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25"/>
      <c r="X663" s="25"/>
      <c r="Y663" s="34"/>
      <c r="Z663" s="34"/>
      <c r="AA663" s="34"/>
      <c r="AB663" s="34"/>
      <c r="AC663" s="34"/>
      <c r="AD663" s="34"/>
      <c r="AE663" s="25"/>
      <c r="AF663" s="25"/>
      <c r="AG663" s="34"/>
      <c r="AH663" s="34"/>
      <c r="AI663" s="37"/>
      <c r="AJ663" s="34"/>
      <c r="AK663" s="25"/>
      <c r="AL663" s="38"/>
      <c r="AM663" s="41"/>
      <c r="AN663" s="25"/>
      <c r="AO663" s="40"/>
      <c r="AP663" s="40"/>
    </row>
    <row r="664" ht="15.0" customHeight="1">
      <c r="A664" s="32" t="s">
        <v>689</v>
      </c>
      <c r="B664" s="34" t="s">
        <v>1404</v>
      </c>
      <c r="C664" s="34" t="s">
        <v>1403</v>
      </c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25"/>
      <c r="X664" s="25"/>
      <c r="Y664" s="34"/>
      <c r="Z664" s="34"/>
      <c r="AA664" s="34"/>
      <c r="AB664" s="34"/>
      <c r="AC664" s="34"/>
      <c r="AD664" s="34"/>
      <c r="AE664" s="25"/>
      <c r="AF664" s="25"/>
      <c r="AG664" s="34"/>
      <c r="AH664" s="34"/>
      <c r="AI664" s="37"/>
      <c r="AJ664" s="34"/>
      <c r="AK664" s="25"/>
      <c r="AL664" s="38"/>
      <c r="AM664" s="41"/>
      <c r="AN664" s="25"/>
      <c r="AO664" s="40"/>
      <c r="AP664" s="40"/>
    </row>
    <row r="665" ht="15.0" customHeight="1">
      <c r="A665" s="32" t="s">
        <v>690</v>
      </c>
      <c r="B665" s="34" t="s">
        <v>1404</v>
      </c>
      <c r="C665" s="34" t="s">
        <v>1403</v>
      </c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25"/>
      <c r="X665" s="25"/>
      <c r="Y665" s="34"/>
      <c r="Z665" s="34"/>
      <c r="AA665" s="34"/>
      <c r="AB665" s="34"/>
      <c r="AC665" s="34"/>
      <c r="AD665" s="34"/>
      <c r="AE665" s="25"/>
      <c r="AF665" s="25"/>
      <c r="AG665" s="34"/>
      <c r="AH665" s="34"/>
      <c r="AI665" s="37"/>
      <c r="AJ665" s="34"/>
      <c r="AK665" s="25"/>
      <c r="AL665" s="38"/>
      <c r="AM665" s="41"/>
      <c r="AN665" s="25"/>
      <c r="AO665" s="40"/>
      <c r="AP665" s="40"/>
    </row>
    <row r="666" ht="15.0" customHeight="1">
      <c r="A666" s="32" t="s">
        <v>691</v>
      </c>
      <c r="B666" s="34" t="s">
        <v>1404</v>
      </c>
      <c r="C666" s="34" t="s">
        <v>1403</v>
      </c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25"/>
      <c r="X666" s="25"/>
      <c r="Y666" s="34"/>
      <c r="Z666" s="34"/>
      <c r="AA666" s="34"/>
      <c r="AB666" s="34"/>
      <c r="AC666" s="34"/>
      <c r="AD666" s="34"/>
      <c r="AE666" s="25"/>
      <c r="AF666" s="25"/>
      <c r="AG666" s="34"/>
      <c r="AH666" s="34"/>
      <c r="AI666" s="37"/>
      <c r="AJ666" s="34"/>
      <c r="AK666" s="25"/>
      <c r="AL666" s="38"/>
      <c r="AM666" s="41"/>
      <c r="AN666" s="25"/>
      <c r="AO666" s="40"/>
      <c r="AP666" s="40"/>
    </row>
    <row r="667" ht="15.0" customHeight="1">
      <c r="A667" s="32" t="s">
        <v>692</v>
      </c>
      <c r="B667" s="34" t="s">
        <v>1404</v>
      </c>
      <c r="C667" s="34" t="s">
        <v>1403</v>
      </c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25"/>
      <c r="X667" s="25"/>
      <c r="Y667" s="34"/>
      <c r="Z667" s="34"/>
      <c r="AA667" s="34"/>
      <c r="AB667" s="34"/>
      <c r="AC667" s="34"/>
      <c r="AD667" s="34"/>
      <c r="AE667" s="25"/>
      <c r="AF667" s="25"/>
      <c r="AG667" s="34"/>
      <c r="AH667" s="34"/>
      <c r="AI667" s="37"/>
      <c r="AJ667" s="34"/>
      <c r="AK667" s="25"/>
      <c r="AL667" s="38"/>
      <c r="AM667" s="41"/>
      <c r="AN667" s="25"/>
      <c r="AO667" s="40"/>
      <c r="AP667" s="40"/>
    </row>
    <row r="668" ht="15.0" customHeight="1">
      <c r="A668" s="32" t="s">
        <v>693</v>
      </c>
      <c r="B668" s="34" t="s">
        <v>1404</v>
      </c>
      <c r="C668" s="34" t="s">
        <v>1403</v>
      </c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25"/>
      <c r="X668" s="25"/>
      <c r="Y668" s="34"/>
      <c r="Z668" s="34"/>
      <c r="AA668" s="34"/>
      <c r="AB668" s="34"/>
      <c r="AC668" s="34"/>
      <c r="AD668" s="34"/>
      <c r="AE668" s="25"/>
      <c r="AF668" s="25"/>
      <c r="AG668" s="34"/>
      <c r="AH668" s="34"/>
      <c r="AI668" s="37"/>
      <c r="AJ668" s="34"/>
      <c r="AK668" s="25"/>
      <c r="AL668" s="38"/>
      <c r="AM668" s="41"/>
      <c r="AN668" s="25"/>
      <c r="AO668" s="40"/>
      <c r="AP668" s="40"/>
    </row>
    <row r="669" ht="15.0" customHeight="1">
      <c r="A669" s="32" t="s">
        <v>694</v>
      </c>
      <c r="B669" s="34" t="s">
        <v>1404</v>
      </c>
      <c r="C669" s="34" t="s">
        <v>1403</v>
      </c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25"/>
      <c r="X669" s="25"/>
      <c r="Y669" s="34"/>
      <c r="Z669" s="34"/>
      <c r="AA669" s="34"/>
      <c r="AB669" s="34"/>
      <c r="AC669" s="34"/>
      <c r="AD669" s="34"/>
      <c r="AE669" s="25"/>
      <c r="AF669" s="25"/>
      <c r="AG669" s="34"/>
      <c r="AH669" s="34"/>
      <c r="AI669" s="37"/>
      <c r="AJ669" s="34"/>
      <c r="AK669" s="25"/>
      <c r="AL669" s="38"/>
      <c r="AM669" s="41"/>
      <c r="AN669" s="25"/>
      <c r="AO669" s="40"/>
      <c r="AP669" s="40"/>
    </row>
    <row r="670" ht="15.0" customHeight="1">
      <c r="A670" s="32" t="s">
        <v>695</v>
      </c>
      <c r="B670" s="34" t="s">
        <v>1404</v>
      </c>
      <c r="C670" s="34" t="s">
        <v>1403</v>
      </c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25"/>
      <c r="X670" s="25"/>
      <c r="Y670" s="34"/>
      <c r="Z670" s="34"/>
      <c r="AA670" s="34"/>
      <c r="AB670" s="34"/>
      <c r="AC670" s="34"/>
      <c r="AD670" s="34"/>
      <c r="AE670" s="25"/>
      <c r="AF670" s="25"/>
      <c r="AG670" s="34"/>
      <c r="AH670" s="34"/>
      <c r="AI670" s="37"/>
      <c r="AJ670" s="34"/>
      <c r="AK670" s="25"/>
      <c r="AL670" s="38"/>
      <c r="AM670" s="41"/>
      <c r="AN670" s="25"/>
      <c r="AO670" s="40"/>
      <c r="AP670" s="40"/>
    </row>
    <row r="671" ht="15.0" customHeight="1">
      <c r="A671" s="32" t="s">
        <v>696</v>
      </c>
      <c r="B671" s="34" t="s">
        <v>1404</v>
      </c>
      <c r="C671" s="34" t="s">
        <v>1403</v>
      </c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25"/>
      <c r="X671" s="25"/>
      <c r="Y671" s="34"/>
      <c r="Z671" s="34"/>
      <c r="AA671" s="34"/>
      <c r="AB671" s="34"/>
      <c r="AC671" s="34"/>
      <c r="AD671" s="34"/>
      <c r="AE671" s="25"/>
      <c r="AF671" s="25"/>
      <c r="AG671" s="34"/>
      <c r="AH671" s="34"/>
      <c r="AI671" s="37"/>
      <c r="AJ671" s="34"/>
      <c r="AK671" s="25"/>
      <c r="AL671" s="38"/>
      <c r="AM671" s="41"/>
      <c r="AN671" s="25"/>
      <c r="AO671" s="40"/>
      <c r="AP671" s="40"/>
    </row>
    <row r="672" ht="15.0" customHeight="1">
      <c r="A672" s="32" t="s">
        <v>697</v>
      </c>
      <c r="B672" s="34" t="s">
        <v>1404</v>
      </c>
      <c r="C672" s="34" t="s">
        <v>1403</v>
      </c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25"/>
      <c r="X672" s="25"/>
      <c r="Y672" s="34"/>
      <c r="Z672" s="34"/>
      <c r="AA672" s="34"/>
      <c r="AB672" s="34"/>
      <c r="AC672" s="34"/>
      <c r="AD672" s="34"/>
      <c r="AE672" s="25"/>
      <c r="AF672" s="25"/>
      <c r="AG672" s="34"/>
      <c r="AH672" s="34"/>
      <c r="AI672" s="37"/>
      <c r="AJ672" s="34"/>
      <c r="AK672" s="25"/>
      <c r="AL672" s="38"/>
      <c r="AM672" s="41"/>
      <c r="AN672" s="25"/>
      <c r="AO672" s="40"/>
      <c r="AP672" s="40"/>
    </row>
    <row r="673" ht="15.0" customHeight="1">
      <c r="A673" s="32" t="s">
        <v>698</v>
      </c>
      <c r="B673" s="34" t="s">
        <v>1404</v>
      </c>
      <c r="C673" s="34" t="s">
        <v>1403</v>
      </c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25"/>
      <c r="X673" s="25"/>
      <c r="Y673" s="34"/>
      <c r="Z673" s="34"/>
      <c r="AA673" s="34"/>
      <c r="AB673" s="34"/>
      <c r="AC673" s="34"/>
      <c r="AD673" s="34"/>
      <c r="AE673" s="25"/>
      <c r="AF673" s="25"/>
      <c r="AG673" s="34"/>
      <c r="AH673" s="34"/>
      <c r="AI673" s="37"/>
      <c r="AJ673" s="34"/>
      <c r="AK673" s="25"/>
      <c r="AL673" s="38"/>
      <c r="AM673" s="41"/>
      <c r="AN673" s="25"/>
      <c r="AO673" s="40"/>
      <c r="AP673" s="40"/>
    </row>
    <row r="674" ht="15.0" customHeight="1">
      <c r="A674" s="32" t="s">
        <v>699</v>
      </c>
      <c r="B674" s="34" t="s">
        <v>1404</v>
      </c>
      <c r="C674" s="34" t="s">
        <v>1403</v>
      </c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25"/>
      <c r="X674" s="25"/>
      <c r="Y674" s="34"/>
      <c r="Z674" s="34"/>
      <c r="AA674" s="34"/>
      <c r="AB674" s="34"/>
      <c r="AC674" s="34"/>
      <c r="AD674" s="34"/>
      <c r="AE674" s="25"/>
      <c r="AF674" s="25"/>
      <c r="AG674" s="34"/>
      <c r="AH674" s="34"/>
      <c r="AI674" s="37"/>
      <c r="AJ674" s="34"/>
      <c r="AK674" s="25"/>
      <c r="AL674" s="38"/>
      <c r="AM674" s="41"/>
      <c r="AN674" s="25"/>
      <c r="AO674" s="40"/>
      <c r="AP674" s="40"/>
    </row>
    <row r="675" ht="15.0" customHeight="1">
      <c r="A675" s="32" t="s">
        <v>700</v>
      </c>
      <c r="B675" s="34" t="s">
        <v>1404</v>
      </c>
      <c r="C675" s="34" t="s">
        <v>1403</v>
      </c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25"/>
      <c r="X675" s="25"/>
      <c r="Y675" s="34"/>
      <c r="Z675" s="34"/>
      <c r="AA675" s="34"/>
      <c r="AB675" s="34"/>
      <c r="AC675" s="34"/>
      <c r="AD675" s="34"/>
      <c r="AE675" s="25"/>
      <c r="AF675" s="25"/>
      <c r="AG675" s="34"/>
      <c r="AH675" s="34"/>
      <c r="AI675" s="37"/>
      <c r="AJ675" s="34"/>
      <c r="AK675" s="25"/>
      <c r="AL675" s="38"/>
      <c r="AM675" s="41"/>
      <c r="AN675" s="25"/>
      <c r="AO675" s="40"/>
      <c r="AP675" s="40"/>
    </row>
    <row r="676" ht="15.0" customHeight="1">
      <c r="A676" s="32" t="s">
        <v>701</v>
      </c>
      <c r="B676" s="34" t="s">
        <v>1404</v>
      </c>
      <c r="C676" s="34" t="s">
        <v>1403</v>
      </c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25"/>
      <c r="X676" s="25"/>
      <c r="Y676" s="34"/>
      <c r="Z676" s="34"/>
      <c r="AA676" s="34"/>
      <c r="AB676" s="34"/>
      <c r="AC676" s="34"/>
      <c r="AD676" s="34"/>
      <c r="AE676" s="25"/>
      <c r="AF676" s="25"/>
      <c r="AG676" s="34"/>
      <c r="AH676" s="34"/>
      <c r="AI676" s="37"/>
      <c r="AJ676" s="34"/>
      <c r="AK676" s="25"/>
      <c r="AL676" s="38"/>
      <c r="AM676" s="41"/>
      <c r="AN676" s="25"/>
      <c r="AO676" s="40"/>
      <c r="AP676" s="40"/>
    </row>
    <row r="677" ht="15.0" customHeight="1">
      <c r="A677" s="32" t="s">
        <v>702</v>
      </c>
      <c r="B677" s="34" t="s">
        <v>1404</v>
      </c>
      <c r="C677" s="34" t="s">
        <v>1403</v>
      </c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25"/>
      <c r="X677" s="25"/>
      <c r="Y677" s="34"/>
      <c r="Z677" s="34"/>
      <c r="AA677" s="34"/>
      <c r="AB677" s="34"/>
      <c r="AC677" s="34"/>
      <c r="AD677" s="34"/>
      <c r="AE677" s="25"/>
      <c r="AF677" s="25"/>
      <c r="AG677" s="34"/>
      <c r="AH677" s="34"/>
      <c r="AI677" s="37"/>
      <c r="AJ677" s="34"/>
      <c r="AK677" s="25"/>
      <c r="AL677" s="38"/>
      <c r="AM677" s="41"/>
      <c r="AN677" s="25"/>
      <c r="AO677" s="40"/>
      <c r="AP677" s="40"/>
    </row>
    <row r="678" ht="15.0" customHeight="1">
      <c r="A678" s="32" t="s">
        <v>703</v>
      </c>
      <c r="B678" s="34" t="s">
        <v>1404</v>
      </c>
      <c r="C678" s="34" t="s">
        <v>1403</v>
      </c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25"/>
      <c r="X678" s="25"/>
      <c r="Y678" s="34"/>
      <c r="Z678" s="34"/>
      <c r="AA678" s="34"/>
      <c r="AB678" s="34"/>
      <c r="AC678" s="34"/>
      <c r="AD678" s="34"/>
      <c r="AE678" s="25"/>
      <c r="AF678" s="25"/>
      <c r="AG678" s="34"/>
      <c r="AH678" s="34"/>
      <c r="AI678" s="37"/>
      <c r="AJ678" s="34"/>
      <c r="AK678" s="25"/>
      <c r="AL678" s="38"/>
      <c r="AM678" s="41"/>
      <c r="AN678" s="25"/>
      <c r="AO678" s="40"/>
      <c r="AP678" s="40"/>
    </row>
    <row r="679" ht="15.0" customHeight="1">
      <c r="A679" s="32" t="s">
        <v>704</v>
      </c>
      <c r="B679" s="34" t="s">
        <v>1404</v>
      </c>
      <c r="C679" s="34" t="s">
        <v>1403</v>
      </c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25"/>
      <c r="X679" s="25"/>
      <c r="Y679" s="34"/>
      <c r="Z679" s="34"/>
      <c r="AA679" s="34"/>
      <c r="AB679" s="34"/>
      <c r="AC679" s="34"/>
      <c r="AD679" s="34"/>
      <c r="AE679" s="25"/>
      <c r="AF679" s="25"/>
      <c r="AG679" s="34"/>
      <c r="AH679" s="34"/>
      <c r="AI679" s="37"/>
      <c r="AJ679" s="34"/>
      <c r="AK679" s="25"/>
      <c r="AL679" s="38"/>
      <c r="AM679" s="41"/>
      <c r="AN679" s="25"/>
      <c r="AO679" s="40"/>
      <c r="AP679" s="40"/>
    </row>
    <row r="680" ht="15.0" customHeight="1">
      <c r="A680" s="32" t="s">
        <v>705</v>
      </c>
      <c r="B680" s="34" t="s">
        <v>1404</v>
      </c>
      <c r="C680" s="34" t="s">
        <v>1403</v>
      </c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25"/>
      <c r="X680" s="25"/>
      <c r="Y680" s="34"/>
      <c r="Z680" s="34"/>
      <c r="AA680" s="34"/>
      <c r="AB680" s="34"/>
      <c r="AC680" s="34"/>
      <c r="AD680" s="34"/>
      <c r="AE680" s="25"/>
      <c r="AF680" s="25"/>
      <c r="AG680" s="34"/>
      <c r="AH680" s="34"/>
      <c r="AI680" s="37"/>
      <c r="AJ680" s="34"/>
      <c r="AK680" s="25"/>
      <c r="AL680" s="38"/>
      <c r="AM680" s="41"/>
      <c r="AN680" s="25"/>
      <c r="AO680" s="40"/>
      <c r="AP680" s="40"/>
    </row>
    <row r="681" ht="15.0" customHeight="1">
      <c r="A681" s="32" t="s">
        <v>706</v>
      </c>
      <c r="B681" s="34" t="s">
        <v>1404</v>
      </c>
      <c r="C681" s="34" t="s">
        <v>1403</v>
      </c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25"/>
      <c r="X681" s="25"/>
      <c r="Y681" s="34"/>
      <c r="Z681" s="34"/>
      <c r="AA681" s="34"/>
      <c r="AB681" s="34"/>
      <c r="AC681" s="34"/>
      <c r="AD681" s="34"/>
      <c r="AE681" s="25"/>
      <c r="AF681" s="25"/>
      <c r="AG681" s="34"/>
      <c r="AH681" s="34"/>
      <c r="AI681" s="37"/>
      <c r="AJ681" s="34"/>
      <c r="AK681" s="25"/>
      <c r="AL681" s="38"/>
      <c r="AM681" s="41"/>
      <c r="AN681" s="25"/>
      <c r="AO681" s="40"/>
      <c r="AP681" s="40"/>
    </row>
    <row r="682" ht="15.0" customHeight="1">
      <c r="A682" s="32" t="s">
        <v>707</v>
      </c>
      <c r="B682" s="34" t="s">
        <v>1404</v>
      </c>
      <c r="C682" s="34" t="s">
        <v>1403</v>
      </c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25"/>
      <c r="X682" s="25"/>
      <c r="Y682" s="34"/>
      <c r="Z682" s="34"/>
      <c r="AA682" s="34"/>
      <c r="AB682" s="34"/>
      <c r="AC682" s="34"/>
      <c r="AD682" s="34"/>
      <c r="AE682" s="25"/>
      <c r="AF682" s="25"/>
      <c r="AG682" s="34"/>
      <c r="AH682" s="34"/>
      <c r="AI682" s="37"/>
      <c r="AJ682" s="34"/>
      <c r="AK682" s="25"/>
      <c r="AL682" s="38"/>
      <c r="AM682" s="41"/>
      <c r="AN682" s="25"/>
      <c r="AO682" s="40"/>
      <c r="AP682" s="40"/>
    </row>
    <row r="683" ht="15.0" customHeight="1">
      <c r="A683" s="32" t="s">
        <v>708</v>
      </c>
      <c r="B683" s="34" t="s">
        <v>1404</v>
      </c>
      <c r="C683" s="34" t="s">
        <v>1403</v>
      </c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25"/>
      <c r="X683" s="25"/>
      <c r="Y683" s="34"/>
      <c r="Z683" s="34"/>
      <c r="AA683" s="34"/>
      <c r="AB683" s="34"/>
      <c r="AC683" s="34"/>
      <c r="AD683" s="34"/>
      <c r="AE683" s="25"/>
      <c r="AF683" s="25"/>
      <c r="AG683" s="34"/>
      <c r="AH683" s="34"/>
      <c r="AI683" s="37"/>
      <c r="AJ683" s="34"/>
      <c r="AK683" s="25"/>
      <c r="AL683" s="38"/>
      <c r="AM683" s="41"/>
      <c r="AN683" s="25"/>
      <c r="AO683" s="40"/>
      <c r="AP683" s="40"/>
    </row>
    <row r="684" ht="15.0" customHeight="1">
      <c r="A684" s="32" t="s">
        <v>709</v>
      </c>
      <c r="B684" s="34" t="s">
        <v>1404</v>
      </c>
      <c r="C684" s="34" t="s">
        <v>1403</v>
      </c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25"/>
      <c r="X684" s="25"/>
      <c r="Y684" s="34"/>
      <c r="Z684" s="34"/>
      <c r="AA684" s="34"/>
      <c r="AB684" s="34"/>
      <c r="AC684" s="34"/>
      <c r="AD684" s="34"/>
      <c r="AE684" s="25"/>
      <c r="AF684" s="25"/>
      <c r="AG684" s="34"/>
      <c r="AH684" s="34"/>
      <c r="AI684" s="37"/>
      <c r="AJ684" s="34"/>
      <c r="AK684" s="25"/>
      <c r="AL684" s="38"/>
      <c r="AM684" s="41"/>
      <c r="AN684" s="25"/>
      <c r="AO684" s="40"/>
      <c r="AP684" s="40"/>
    </row>
    <row r="685" ht="15.0" customHeight="1">
      <c r="A685" s="32" t="s">
        <v>710</v>
      </c>
      <c r="B685" s="34" t="s">
        <v>1404</v>
      </c>
      <c r="C685" s="34" t="s">
        <v>1403</v>
      </c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25"/>
      <c r="X685" s="25"/>
      <c r="Y685" s="34"/>
      <c r="Z685" s="34"/>
      <c r="AA685" s="34"/>
      <c r="AB685" s="34"/>
      <c r="AC685" s="34"/>
      <c r="AD685" s="34"/>
      <c r="AE685" s="25"/>
      <c r="AF685" s="25"/>
      <c r="AG685" s="34"/>
      <c r="AH685" s="34"/>
      <c r="AI685" s="37"/>
      <c r="AJ685" s="34"/>
      <c r="AK685" s="25"/>
      <c r="AL685" s="38"/>
      <c r="AM685" s="41"/>
      <c r="AN685" s="25"/>
      <c r="AO685" s="40"/>
      <c r="AP685" s="40"/>
    </row>
    <row r="686" ht="15.0" customHeight="1">
      <c r="A686" s="32" t="s">
        <v>711</v>
      </c>
      <c r="B686" s="34" t="s">
        <v>1404</v>
      </c>
      <c r="C686" s="34" t="s">
        <v>1403</v>
      </c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25"/>
      <c r="X686" s="25"/>
      <c r="Y686" s="34"/>
      <c r="Z686" s="34"/>
      <c r="AA686" s="34"/>
      <c r="AB686" s="34"/>
      <c r="AC686" s="34"/>
      <c r="AD686" s="34"/>
      <c r="AE686" s="25"/>
      <c r="AF686" s="25"/>
      <c r="AG686" s="34"/>
      <c r="AH686" s="34"/>
      <c r="AI686" s="37"/>
      <c r="AJ686" s="34"/>
      <c r="AK686" s="25"/>
      <c r="AL686" s="38"/>
      <c r="AM686" s="41"/>
      <c r="AN686" s="25"/>
      <c r="AO686" s="40"/>
      <c r="AP686" s="40"/>
    </row>
    <row r="687" ht="15.0" customHeight="1">
      <c r="A687" s="32" t="s">
        <v>712</v>
      </c>
      <c r="B687" s="34" t="s">
        <v>1404</v>
      </c>
      <c r="C687" s="34" t="s">
        <v>1403</v>
      </c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25"/>
      <c r="X687" s="25"/>
      <c r="Y687" s="34"/>
      <c r="Z687" s="34"/>
      <c r="AA687" s="34"/>
      <c r="AB687" s="34"/>
      <c r="AC687" s="34"/>
      <c r="AD687" s="34"/>
      <c r="AE687" s="25"/>
      <c r="AF687" s="25"/>
      <c r="AG687" s="34"/>
      <c r="AH687" s="34"/>
      <c r="AI687" s="37"/>
      <c r="AJ687" s="34"/>
      <c r="AK687" s="25"/>
      <c r="AL687" s="38"/>
      <c r="AM687" s="41"/>
      <c r="AN687" s="25"/>
      <c r="AO687" s="40"/>
      <c r="AP687" s="40"/>
    </row>
    <row r="688" ht="15.0" customHeight="1">
      <c r="A688" s="32" t="s">
        <v>713</v>
      </c>
      <c r="B688" s="34" t="s">
        <v>1404</v>
      </c>
      <c r="C688" s="34" t="s">
        <v>1403</v>
      </c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25"/>
      <c r="X688" s="25"/>
      <c r="Y688" s="34"/>
      <c r="Z688" s="34"/>
      <c r="AA688" s="34"/>
      <c r="AB688" s="34"/>
      <c r="AC688" s="34"/>
      <c r="AD688" s="34"/>
      <c r="AE688" s="25"/>
      <c r="AF688" s="25"/>
      <c r="AG688" s="34"/>
      <c r="AH688" s="34"/>
      <c r="AI688" s="37"/>
      <c r="AJ688" s="34"/>
      <c r="AK688" s="25"/>
      <c r="AL688" s="38"/>
      <c r="AM688" s="41"/>
      <c r="AN688" s="25"/>
      <c r="AO688" s="40"/>
      <c r="AP688" s="40"/>
    </row>
    <row r="689" ht="15.0" customHeight="1">
      <c r="A689" s="32" t="s">
        <v>714</v>
      </c>
      <c r="B689" s="34" t="s">
        <v>1404</v>
      </c>
      <c r="C689" s="34" t="s">
        <v>1403</v>
      </c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25"/>
      <c r="X689" s="25"/>
      <c r="Y689" s="34"/>
      <c r="Z689" s="34"/>
      <c r="AA689" s="34"/>
      <c r="AB689" s="34"/>
      <c r="AC689" s="34"/>
      <c r="AD689" s="34"/>
      <c r="AE689" s="25"/>
      <c r="AF689" s="25"/>
      <c r="AG689" s="34"/>
      <c r="AH689" s="34"/>
      <c r="AI689" s="37"/>
      <c r="AJ689" s="34"/>
      <c r="AK689" s="25"/>
      <c r="AL689" s="38"/>
      <c r="AM689" s="41"/>
      <c r="AN689" s="25"/>
      <c r="AO689" s="40"/>
      <c r="AP689" s="40"/>
    </row>
    <row r="690" ht="15.0" customHeight="1">
      <c r="A690" s="32" t="s">
        <v>715</v>
      </c>
      <c r="B690" s="34" t="s">
        <v>1404</v>
      </c>
      <c r="C690" s="34" t="s">
        <v>1403</v>
      </c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25"/>
      <c r="X690" s="25"/>
      <c r="Y690" s="34"/>
      <c r="Z690" s="34"/>
      <c r="AA690" s="34"/>
      <c r="AB690" s="34"/>
      <c r="AC690" s="34"/>
      <c r="AD690" s="34"/>
      <c r="AE690" s="25"/>
      <c r="AF690" s="25"/>
      <c r="AG690" s="34"/>
      <c r="AH690" s="34"/>
      <c r="AI690" s="37"/>
      <c r="AJ690" s="34"/>
      <c r="AK690" s="25"/>
      <c r="AL690" s="38"/>
      <c r="AM690" s="41"/>
      <c r="AN690" s="25"/>
      <c r="AO690" s="40"/>
      <c r="AP690" s="40"/>
    </row>
    <row r="691" ht="15.0" customHeight="1">
      <c r="A691" s="32" t="s">
        <v>716</v>
      </c>
      <c r="B691" s="34" t="s">
        <v>1404</v>
      </c>
      <c r="C691" s="34" t="s">
        <v>1403</v>
      </c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25"/>
      <c r="X691" s="25"/>
      <c r="Y691" s="34"/>
      <c r="Z691" s="34"/>
      <c r="AA691" s="34"/>
      <c r="AB691" s="34"/>
      <c r="AC691" s="34"/>
      <c r="AD691" s="34"/>
      <c r="AE691" s="25"/>
      <c r="AF691" s="25"/>
      <c r="AG691" s="34"/>
      <c r="AH691" s="34"/>
      <c r="AI691" s="37"/>
      <c r="AJ691" s="34"/>
      <c r="AK691" s="25"/>
      <c r="AL691" s="38"/>
      <c r="AM691" s="41"/>
      <c r="AN691" s="25"/>
      <c r="AO691" s="40"/>
      <c r="AP691" s="40"/>
    </row>
    <row r="692" ht="15.0" customHeight="1">
      <c r="A692" s="32" t="s">
        <v>717</v>
      </c>
      <c r="B692" s="34" t="s">
        <v>1404</v>
      </c>
      <c r="C692" s="34" t="s">
        <v>1403</v>
      </c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25"/>
      <c r="X692" s="25"/>
      <c r="Y692" s="34"/>
      <c r="Z692" s="34"/>
      <c r="AA692" s="34"/>
      <c r="AB692" s="34"/>
      <c r="AC692" s="34"/>
      <c r="AD692" s="34"/>
      <c r="AE692" s="25"/>
      <c r="AF692" s="25"/>
      <c r="AG692" s="34"/>
      <c r="AH692" s="34"/>
      <c r="AI692" s="37"/>
      <c r="AJ692" s="34"/>
      <c r="AK692" s="25"/>
      <c r="AL692" s="38"/>
      <c r="AM692" s="41"/>
      <c r="AN692" s="25"/>
      <c r="AO692" s="40"/>
      <c r="AP692" s="40"/>
    </row>
    <row r="693" ht="15.0" customHeight="1">
      <c r="A693" s="32" t="s">
        <v>718</v>
      </c>
      <c r="B693" s="34" t="s">
        <v>1404</v>
      </c>
      <c r="C693" s="34" t="s">
        <v>1403</v>
      </c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25"/>
      <c r="X693" s="25"/>
      <c r="Y693" s="34"/>
      <c r="Z693" s="34"/>
      <c r="AA693" s="34"/>
      <c r="AB693" s="34"/>
      <c r="AC693" s="34"/>
      <c r="AD693" s="34"/>
      <c r="AE693" s="25"/>
      <c r="AF693" s="25"/>
      <c r="AG693" s="34"/>
      <c r="AH693" s="34"/>
      <c r="AI693" s="37"/>
      <c r="AJ693" s="34"/>
      <c r="AK693" s="25"/>
      <c r="AL693" s="38"/>
      <c r="AM693" s="41"/>
      <c r="AN693" s="25"/>
      <c r="AO693" s="40"/>
      <c r="AP693" s="40"/>
    </row>
    <row r="694" ht="15.0" customHeight="1">
      <c r="A694" s="32" t="s">
        <v>719</v>
      </c>
      <c r="B694" s="34" t="s">
        <v>1404</v>
      </c>
      <c r="C694" s="34" t="s">
        <v>1403</v>
      </c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25"/>
      <c r="X694" s="25"/>
      <c r="Y694" s="34"/>
      <c r="Z694" s="34"/>
      <c r="AA694" s="34"/>
      <c r="AB694" s="34"/>
      <c r="AC694" s="34"/>
      <c r="AD694" s="34"/>
      <c r="AE694" s="25"/>
      <c r="AF694" s="25"/>
      <c r="AG694" s="34"/>
      <c r="AH694" s="34"/>
      <c r="AI694" s="37"/>
      <c r="AJ694" s="34"/>
      <c r="AK694" s="25"/>
      <c r="AL694" s="38"/>
      <c r="AM694" s="41"/>
      <c r="AN694" s="25"/>
      <c r="AO694" s="40"/>
      <c r="AP694" s="40"/>
    </row>
    <row r="695" ht="15.0" customHeight="1">
      <c r="A695" s="32" t="s">
        <v>720</v>
      </c>
      <c r="B695" s="34" t="s">
        <v>1404</v>
      </c>
      <c r="C695" s="34" t="s">
        <v>1403</v>
      </c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25"/>
      <c r="X695" s="25"/>
      <c r="Y695" s="34"/>
      <c r="Z695" s="34"/>
      <c r="AA695" s="34"/>
      <c r="AB695" s="34"/>
      <c r="AC695" s="34"/>
      <c r="AD695" s="34"/>
      <c r="AE695" s="25"/>
      <c r="AF695" s="25"/>
      <c r="AG695" s="34"/>
      <c r="AH695" s="34"/>
      <c r="AI695" s="37"/>
      <c r="AJ695" s="34"/>
      <c r="AK695" s="25"/>
      <c r="AL695" s="38"/>
      <c r="AM695" s="41"/>
      <c r="AN695" s="25"/>
      <c r="AO695" s="40"/>
      <c r="AP695" s="40"/>
    </row>
    <row r="696" ht="15.0" customHeight="1">
      <c r="A696" s="32" t="s">
        <v>721</v>
      </c>
      <c r="B696" s="34" t="s">
        <v>1404</v>
      </c>
      <c r="C696" s="34" t="s">
        <v>1403</v>
      </c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25"/>
      <c r="X696" s="25"/>
      <c r="Y696" s="34"/>
      <c r="Z696" s="34"/>
      <c r="AA696" s="34"/>
      <c r="AB696" s="34"/>
      <c r="AC696" s="34"/>
      <c r="AD696" s="34"/>
      <c r="AE696" s="25"/>
      <c r="AF696" s="25"/>
      <c r="AG696" s="34"/>
      <c r="AH696" s="34"/>
      <c r="AI696" s="37"/>
      <c r="AJ696" s="34"/>
      <c r="AK696" s="25"/>
      <c r="AL696" s="38"/>
      <c r="AM696" s="41"/>
      <c r="AN696" s="25"/>
      <c r="AO696" s="40"/>
      <c r="AP696" s="40"/>
    </row>
    <row r="697" ht="15.0" customHeight="1">
      <c r="A697" s="32" t="s">
        <v>722</v>
      </c>
      <c r="B697" s="34" t="s">
        <v>1404</v>
      </c>
      <c r="C697" s="34" t="s">
        <v>1403</v>
      </c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25"/>
      <c r="X697" s="25"/>
      <c r="Y697" s="34"/>
      <c r="Z697" s="34"/>
      <c r="AA697" s="34"/>
      <c r="AB697" s="34"/>
      <c r="AC697" s="34"/>
      <c r="AD697" s="34"/>
      <c r="AE697" s="25"/>
      <c r="AF697" s="25"/>
      <c r="AG697" s="34"/>
      <c r="AH697" s="34"/>
      <c r="AI697" s="37"/>
      <c r="AJ697" s="34"/>
      <c r="AK697" s="25"/>
      <c r="AL697" s="38"/>
      <c r="AM697" s="41"/>
      <c r="AN697" s="25"/>
      <c r="AO697" s="40"/>
      <c r="AP697" s="40"/>
    </row>
    <row r="698" ht="15.0" customHeight="1">
      <c r="A698" s="32" t="s">
        <v>723</v>
      </c>
      <c r="B698" s="34" t="s">
        <v>1404</v>
      </c>
      <c r="C698" s="34" t="s">
        <v>1403</v>
      </c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25"/>
      <c r="X698" s="25"/>
      <c r="Y698" s="34"/>
      <c r="Z698" s="34"/>
      <c r="AA698" s="34"/>
      <c r="AB698" s="34"/>
      <c r="AC698" s="34"/>
      <c r="AD698" s="34"/>
      <c r="AE698" s="25"/>
      <c r="AF698" s="25"/>
      <c r="AG698" s="34"/>
      <c r="AH698" s="34"/>
      <c r="AI698" s="37"/>
      <c r="AJ698" s="34"/>
      <c r="AK698" s="25"/>
      <c r="AL698" s="38"/>
      <c r="AM698" s="41"/>
      <c r="AN698" s="25"/>
      <c r="AO698" s="40"/>
      <c r="AP698" s="40"/>
    </row>
    <row r="699" ht="15.0" customHeight="1">
      <c r="A699" s="32" t="s">
        <v>724</v>
      </c>
      <c r="B699" s="34" t="s">
        <v>1404</v>
      </c>
      <c r="C699" s="34" t="s">
        <v>1403</v>
      </c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25"/>
      <c r="X699" s="25"/>
      <c r="Y699" s="34"/>
      <c r="Z699" s="34"/>
      <c r="AA699" s="34"/>
      <c r="AB699" s="34"/>
      <c r="AC699" s="34"/>
      <c r="AD699" s="34"/>
      <c r="AE699" s="25"/>
      <c r="AF699" s="25"/>
      <c r="AG699" s="34"/>
      <c r="AH699" s="34"/>
      <c r="AI699" s="37"/>
      <c r="AJ699" s="34"/>
      <c r="AK699" s="25"/>
      <c r="AL699" s="38"/>
      <c r="AM699" s="41"/>
      <c r="AN699" s="25"/>
      <c r="AO699" s="40"/>
      <c r="AP699" s="40"/>
    </row>
    <row r="700" ht="15.0" customHeight="1">
      <c r="A700" s="32" t="s">
        <v>725</v>
      </c>
      <c r="B700" s="34" t="s">
        <v>1404</v>
      </c>
      <c r="C700" s="34" t="s">
        <v>1403</v>
      </c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25"/>
      <c r="X700" s="25"/>
      <c r="Y700" s="34"/>
      <c r="Z700" s="34"/>
      <c r="AA700" s="34"/>
      <c r="AB700" s="34"/>
      <c r="AC700" s="34"/>
      <c r="AD700" s="34"/>
      <c r="AE700" s="25"/>
      <c r="AF700" s="25"/>
      <c r="AG700" s="34"/>
      <c r="AH700" s="34"/>
      <c r="AI700" s="37"/>
      <c r="AJ700" s="34"/>
      <c r="AK700" s="25"/>
      <c r="AL700" s="38"/>
      <c r="AM700" s="41"/>
      <c r="AN700" s="25"/>
      <c r="AO700" s="40"/>
      <c r="AP700" s="40"/>
    </row>
    <row r="701" ht="15.0" customHeight="1">
      <c r="A701" s="32" t="s">
        <v>726</v>
      </c>
      <c r="B701" s="34" t="s">
        <v>1404</v>
      </c>
      <c r="C701" s="34" t="s">
        <v>1403</v>
      </c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25"/>
      <c r="X701" s="25"/>
      <c r="Y701" s="34"/>
      <c r="Z701" s="34"/>
      <c r="AA701" s="34"/>
      <c r="AB701" s="34"/>
      <c r="AC701" s="34"/>
      <c r="AD701" s="34"/>
      <c r="AE701" s="25"/>
      <c r="AF701" s="25"/>
      <c r="AG701" s="34"/>
      <c r="AH701" s="34"/>
      <c r="AI701" s="37"/>
      <c r="AJ701" s="34"/>
      <c r="AK701" s="25"/>
      <c r="AL701" s="38"/>
      <c r="AM701" s="41"/>
      <c r="AN701" s="25"/>
      <c r="AO701" s="40"/>
      <c r="AP701" s="40"/>
    </row>
    <row r="702" ht="15.0" customHeight="1">
      <c r="A702" s="32" t="s">
        <v>727</v>
      </c>
      <c r="B702" s="34" t="s">
        <v>1404</v>
      </c>
      <c r="C702" s="34" t="s">
        <v>1403</v>
      </c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25"/>
      <c r="X702" s="25"/>
      <c r="Y702" s="34"/>
      <c r="Z702" s="34"/>
      <c r="AA702" s="34"/>
      <c r="AB702" s="34"/>
      <c r="AC702" s="34"/>
      <c r="AD702" s="34"/>
      <c r="AE702" s="25"/>
      <c r="AF702" s="25"/>
      <c r="AG702" s="34"/>
      <c r="AH702" s="34"/>
      <c r="AI702" s="37"/>
      <c r="AJ702" s="34"/>
      <c r="AK702" s="25"/>
      <c r="AL702" s="38"/>
      <c r="AM702" s="41"/>
      <c r="AN702" s="25"/>
      <c r="AO702" s="40"/>
      <c r="AP702" s="40"/>
    </row>
    <row r="703" ht="15.0" customHeight="1">
      <c r="A703" s="32" t="s">
        <v>728</v>
      </c>
      <c r="B703" s="34" t="s">
        <v>1404</v>
      </c>
      <c r="C703" s="34" t="s">
        <v>1403</v>
      </c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25"/>
      <c r="X703" s="25"/>
      <c r="Y703" s="34"/>
      <c r="Z703" s="34"/>
      <c r="AA703" s="34"/>
      <c r="AB703" s="34"/>
      <c r="AC703" s="34"/>
      <c r="AD703" s="34"/>
      <c r="AE703" s="25"/>
      <c r="AF703" s="25"/>
      <c r="AG703" s="34"/>
      <c r="AH703" s="34"/>
      <c r="AI703" s="37"/>
      <c r="AJ703" s="34"/>
      <c r="AK703" s="25"/>
      <c r="AL703" s="38"/>
      <c r="AM703" s="41"/>
      <c r="AN703" s="25"/>
      <c r="AO703" s="40"/>
      <c r="AP703" s="40"/>
    </row>
    <row r="704" ht="15.0" customHeight="1">
      <c r="A704" s="32" t="s">
        <v>729</v>
      </c>
      <c r="B704" s="34" t="s">
        <v>1404</v>
      </c>
      <c r="C704" s="34" t="s">
        <v>1403</v>
      </c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25"/>
      <c r="X704" s="25"/>
      <c r="Y704" s="34"/>
      <c r="Z704" s="34"/>
      <c r="AA704" s="34"/>
      <c r="AB704" s="34"/>
      <c r="AC704" s="34"/>
      <c r="AD704" s="34"/>
      <c r="AE704" s="25"/>
      <c r="AF704" s="25"/>
      <c r="AG704" s="34"/>
      <c r="AH704" s="34"/>
      <c r="AI704" s="37"/>
      <c r="AJ704" s="34"/>
      <c r="AK704" s="25"/>
      <c r="AL704" s="38"/>
      <c r="AM704" s="41"/>
      <c r="AN704" s="25"/>
      <c r="AO704" s="40"/>
      <c r="AP704" s="40"/>
    </row>
    <row r="705" ht="15.0" customHeight="1">
      <c r="A705" s="32" t="s">
        <v>730</v>
      </c>
      <c r="B705" s="34" t="s">
        <v>1404</v>
      </c>
      <c r="C705" s="34" t="s">
        <v>1403</v>
      </c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25"/>
      <c r="X705" s="25"/>
      <c r="Y705" s="34"/>
      <c r="Z705" s="34"/>
      <c r="AA705" s="34"/>
      <c r="AB705" s="34"/>
      <c r="AC705" s="34"/>
      <c r="AD705" s="34"/>
      <c r="AE705" s="25"/>
      <c r="AF705" s="25"/>
      <c r="AG705" s="34"/>
      <c r="AH705" s="34"/>
      <c r="AI705" s="37"/>
      <c r="AJ705" s="34"/>
      <c r="AK705" s="25"/>
      <c r="AL705" s="38"/>
      <c r="AM705" s="41"/>
      <c r="AN705" s="25"/>
      <c r="AO705" s="40"/>
      <c r="AP705" s="40"/>
    </row>
    <row r="706" ht="15.0" customHeight="1">
      <c r="A706" s="32" t="s">
        <v>731</v>
      </c>
      <c r="B706" s="34" t="s">
        <v>1404</v>
      </c>
      <c r="C706" s="34" t="s">
        <v>1403</v>
      </c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25"/>
      <c r="X706" s="25"/>
      <c r="Y706" s="34"/>
      <c r="Z706" s="34"/>
      <c r="AA706" s="34"/>
      <c r="AB706" s="34"/>
      <c r="AC706" s="34"/>
      <c r="AD706" s="34"/>
      <c r="AE706" s="25"/>
      <c r="AF706" s="25"/>
      <c r="AG706" s="34"/>
      <c r="AH706" s="34"/>
      <c r="AI706" s="37"/>
      <c r="AJ706" s="34"/>
      <c r="AK706" s="25"/>
      <c r="AL706" s="38"/>
      <c r="AM706" s="41"/>
      <c r="AN706" s="25"/>
      <c r="AO706" s="40"/>
      <c r="AP706" s="40"/>
    </row>
    <row r="707" ht="15.0" customHeight="1">
      <c r="A707" s="32" t="s">
        <v>732</v>
      </c>
      <c r="B707" s="34" t="s">
        <v>1404</v>
      </c>
      <c r="C707" s="34" t="s">
        <v>1403</v>
      </c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25"/>
      <c r="X707" s="25"/>
      <c r="Y707" s="34"/>
      <c r="Z707" s="34"/>
      <c r="AA707" s="34"/>
      <c r="AB707" s="34"/>
      <c r="AC707" s="34"/>
      <c r="AD707" s="34"/>
      <c r="AE707" s="25"/>
      <c r="AF707" s="25"/>
      <c r="AG707" s="34"/>
      <c r="AH707" s="34"/>
      <c r="AI707" s="37"/>
      <c r="AJ707" s="34"/>
      <c r="AK707" s="25"/>
      <c r="AL707" s="38"/>
      <c r="AM707" s="41"/>
      <c r="AN707" s="25"/>
      <c r="AO707" s="40"/>
      <c r="AP707" s="40"/>
    </row>
    <row r="708" ht="15.0" customHeight="1">
      <c r="A708" s="32" t="s">
        <v>733</v>
      </c>
      <c r="B708" s="34" t="s">
        <v>1404</v>
      </c>
      <c r="C708" s="34" t="s">
        <v>1403</v>
      </c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25"/>
      <c r="X708" s="25"/>
      <c r="Y708" s="34"/>
      <c r="Z708" s="34"/>
      <c r="AA708" s="34"/>
      <c r="AB708" s="34"/>
      <c r="AC708" s="34"/>
      <c r="AD708" s="34"/>
      <c r="AE708" s="25"/>
      <c r="AF708" s="25"/>
      <c r="AG708" s="34"/>
      <c r="AH708" s="34"/>
      <c r="AI708" s="37"/>
      <c r="AJ708" s="34"/>
      <c r="AK708" s="25"/>
      <c r="AL708" s="38"/>
      <c r="AM708" s="41"/>
      <c r="AN708" s="25"/>
      <c r="AO708" s="40"/>
      <c r="AP708" s="40"/>
    </row>
    <row r="709" ht="15.0" customHeight="1">
      <c r="A709" s="32" t="s">
        <v>734</v>
      </c>
      <c r="B709" s="34" t="s">
        <v>1404</v>
      </c>
      <c r="C709" s="34" t="s">
        <v>1403</v>
      </c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25"/>
      <c r="X709" s="25"/>
      <c r="Y709" s="34"/>
      <c r="Z709" s="34"/>
      <c r="AA709" s="34"/>
      <c r="AB709" s="34"/>
      <c r="AC709" s="34"/>
      <c r="AD709" s="34"/>
      <c r="AE709" s="25"/>
      <c r="AF709" s="25"/>
      <c r="AG709" s="34"/>
      <c r="AH709" s="34"/>
      <c r="AI709" s="37"/>
      <c r="AJ709" s="34"/>
      <c r="AK709" s="25"/>
      <c r="AL709" s="38"/>
      <c r="AM709" s="41"/>
      <c r="AN709" s="25"/>
      <c r="AO709" s="40"/>
      <c r="AP709" s="40"/>
    </row>
    <row r="710" ht="15.0" customHeight="1">
      <c r="A710" s="32" t="s">
        <v>735</v>
      </c>
      <c r="B710" s="34" t="s">
        <v>1404</v>
      </c>
      <c r="C710" s="34" t="s">
        <v>1403</v>
      </c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25"/>
      <c r="X710" s="25"/>
      <c r="Y710" s="34"/>
      <c r="Z710" s="34"/>
      <c r="AA710" s="34"/>
      <c r="AB710" s="34"/>
      <c r="AC710" s="34"/>
      <c r="AD710" s="34"/>
      <c r="AE710" s="25"/>
      <c r="AF710" s="25"/>
      <c r="AG710" s="34"/>
      <c r="AH710" s="34"/>
      <c r="AI710" s="37"/>
      <c r="AJ710" s="34"/>
      <c r="AK710" s="25"/>
      <c r="AL710" s="38"/>
      <c r="AM710" s="41"/>
      <c r="AN710" s="25"/>
      <c r="AO710" s="40"/>
      <c r="AP710" s="40"/>
    </row>
    <row r="711" ht="15.0" customHeight="1">
      <c r="A711" s="32" t="s">
        <v>736</v>
      </c>
      <c r="B711" s="34" t="s">
        <v>1404</v>
      </c>
      <c r="C711" s="34" t="s">
        <v>1403</v>
      </c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25"/>
      <c r="X711" s="25"/>
      <c r="Y711" s="34"/>
      <c r="Z711" s="34"/>
      <c r="AA711" s="34"/>
      <c r="AB711" s="34"/>
      <c r="AC711" s="34"/>
      <c r="AD711" s="34"/>
      <c r="AE711" s="25"/>
      <c r="AF711" s="25"/>
      <c r="AG711" s="34"/>
      <c r="AH711" s="34"/>
      <c r="AI711" s="37"/>
      <c r="AJ711" s="34"/>
      <c r="AK711" s="25"/>
      <c r="AL711" s="38"/>
      <c r="AM711" s="41"/>
      <c r="AN711" s="25"/>
      <c r="AO711" s="40"/>
      <c r="AP711" s="40"/>
    </row>
    <row r="712" ht="15.0" customHeight="1">
      <c r="A712" s="32" t="s">
        <v>737</v>
      </c>
      <c r="B712" s="34" t="s">
        <v>1404</v>
      </c>
      <c r="C712" s="34" t="s">
        <v>1403</v>
      </c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25"/>
      <c r="X712" s="25"/>
      <c r="Y712" s="34"/>
      <c r="Z712" s="34"/>
      <c r="AA712" s="34"/>
      <c r="AB712" s="34"/>
      <c r="AC712" s="34"/>
      <c r="AD712" s="34"/>
      <c r="AE712" s="25"/>
      <c r="AF712" s="25"/>
      <c r="AG712" s="34"/>
      <c r="AH712" s="34"/>
      <c r="AI712" s="37"/>
      <c r="AJ712" s="34"/>
      <c r="AK712" s="25"/>
      <c r="AL712" s="38"/>
      <c r="AM712" s="41"/>
      <c r="AN712" s="25"/>
      <c r="AO712" s="40"/>
      <c r="AP712" s="40"/>
    </row>
    <row r="713" ht="15.0" customHeight="1">
      <c r="A713" s="32" t="s">
        <v>738</v>
      </c>
      <c r="B713" s="34" t="s">
        <v>1404</v>
      </c>
      <c r="C713" s="34" t="s">
        <v>1403</v>
      </c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25"/>
      <c r="X713" s="25"/>
      <c r="Y713" s="34"/>
      <c r="Z713" s="34"/>
      <c r="AA713" s="34"/>
      <c r="AB713" s="34"/>
      <c r="AC713" s="34"/>
      <c r="AD713" s="34"/>
      <c r="AE713" s="25"/>
      <c r="AF713" s="25"/>
      <c r="AG713" s="34"/>
      <c r="AH713" s="34"/>
      <c r="AI713" s="37"/>
      <c r="AJ713" s="34"/>
      <c r="AK713" s="25"/>
      <c r="AL713" s="38"/>
      <c r="AM713" s="41"/>
      <c r="AN713" s="25"/>
      <c r="AO713" s="40"/>
      <c r="AP713" s="40"/>
    </row>
    <row r="714" ht="15.0" customHeight="1">
      <c r="A714" s="32" t="s">
        <v>739</v>
      </c>
      <c r="B714" s="34" t="s">
        <v>1404</v>
      </c>
      <c r="C714" s="34" t="s">
        <v>1403</v>
      </c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25"/>
      <c r="X714" s="25"/>
      <c r="Y714" s="34"/>
      <c r="Z714" s="34"/>
      <c r="AA714" s="34"/>
      <c r="AB714" s="34"/>
      <c r="AC714" s="34"/>
      <c r="AD714" s="34"/>
      <c r="AE714" s="25"/>
      <c r="AF714" s="25"/>
      <c r="AG714" s="34"/>
      <c r="AH714" s="34"/>
      <c r="AI714" s="37"/>
      <c r="AJ714" s="34"/>
      <c r="AK714" s="25"/>
      <c r="AL714" s="38"/>
      <c r="AM714" s="41"/>
      <c r="AN714" s="25"/>
      <c r="AO714" s="40"/>
      <c r="AP714" s="40"/>
    </row>
    <row r="715" ht="15.0" customHeight="1">
      <c r="A715" s="32" t="s">
        <v>740</v>
      </c>
      <c r="B715" s="34" t="s">
        <v>1404</v>
      </c>
      <c r="C715" s="34" t="s">
        <v>1403</v>
      </c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25"/>
      <c r="X715" s="25"/>
      <c r="Y715" s="34"/>
      <c r="Z715" s="34"/>
      <c r="AA715" s="34"/>
      <c r="AB715" s="34"/>
      <c r="AC715" s="34"/>
      <c r="AD715" s="34"/>
      <c r="AE715" s="25"/>
      <c r="AF715" s="25"/>
      <c r="AG715" s="34"/>
      <c r="AH715" s="34"/>
      <c r="AI715" s="37"/>
      <c r="AJ715" s="34"/>
      <c r="AK715" s="25"/>
      <c r="AL715" s="38"/>
      <c r="AM715" s="41"/>
      <c r="AN715" s="25"/>
      <c r="AO715" s="40"/>
      <c r="AP715" s="40"/>
    </row>
    <row r="716" ht="15.0" customHeight="1">
      <c r="A716" s="32" t="s">
        <v>741</v>
      </c>
      <c r="B716" s="34" t="s">
        <v>1404</v>
      </c>
      <c r="C716" s="34" t="s">
        <v>1403</v>
      </c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25"/>
      <c r="X716" s="25"/>
      <c r="Y716" s="34"/>
      <c r="Z716" s="34"/>
      <c r="AA716" s="34"/>
      <c r="AB716" s="34"/>
      <c r="AC716" s="34"/>
      <c r="AD716" s="34"/>
      <c r="AE716" s="25"/>
      <c r="AF716" s="25"/>
      <c r="AG716" s="34"/>
      <c r="AH716" s="34"/>
      <c r="AI716" s="37"/>
      <c r="AJ716" s="34"/>
      <c r="AK716" s="25"/>
      <c r="AL716" s="38"/>
      <c r="AM716" s="41"/>
      <c r="AN716" s="25"/>
      <c r="AO716" s="40"/>
      <c r="AP716" s="40"/>
    </row>
    <row r="717" ht="15.0" customHeight="1">
      <c r="A717" s="32" t="s">
        <v>742</v>
      </c>
      <c r="B717" s="34" t="s">
        <v>1404</v>
      </c>
      <c r="C717" s="34" t="s">
        <v>1403</v>
      </c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25"/>
      <c r="X717" s="25"/>
      <c r="Y717" s="34"/>
      <c r="Z717" s="34"/>
      <c r="AA717" s="34"/>
      <c r="AB717" s="34"/>
      <c r="AC717" s="34"/>
      <c r="AD717" s="34"/>
      <c r="AE717" s="25"/>
      <c r="AF717" s="25"/>
      <c r="AG717" s="34"/>
      <c r="AH717" s="34"/>
      <c r="AI717" s="37"/>
      <c r="AJ717" s="34"/>
      <c r="AK717" s="25"/>
      <c r="AL717" s="38"/>
      <c r="AM717" s="41"/>
      <c r="AN717" s="25"/>
      <c r="AO717" s="40"/>
      <c r="AP717" s="40"/>
    </row>
    <row r="718" ht="15.0" customHeight="1">
      <c r="A718" s="32" t="s">
        <v>743</v>
      </c>
      <c r="B718" s="34" t="s">
        <v>1404</v>
      </c>
      <c r="C718" s="34" t="s">
        <v>1403</v>
      </c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25"/>
      <c r="X718" s="25"/>
      <c r="Y718" s="34"/>
      <c r="Z718" s="34"/>
      <c r="AA718" s="34"/>
      <c r="AB718" s="34"/>
      <c r="AC718" s="34"/>
      <c r="AD718" s="34"/>
      <c r="AE718" s="25"/>
      <c r="AF718" s="25"/>
      <c r="AG718" s="34"/>
      <c r="AH718" s="34"/>
      <c r="AI718" s="37"/>
      <c r="AJ718" s="34"/>
      <c r="AK718" s="25"/>
      <c r="AL718" s="38"/>
      <c r="AM718" s="41"/>
      <c r="AN718" s="25"/>
      <c r="AO718" s="40"/>
      <c r="AP718" s="40"/>
    </row>
    <row r="719" ht="15.0" customHeight="1">
      <c r="A719" s="32" t="s">
        <v>744</v>
      </c>
      <c r="B719" s="34" t="s">
        <v>1404</v>
      </c>
      <c r="C719" s="34" t="s">
        <v>1403</v>
      </c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25"/>
      <c r="X719" s="25"/>
      <c r="Y719" s="34"/>
      <c r="Z719" s="34"/>
      <c r="AA719" s="34"/>
      <c r="AB719" s="34"/>
      <c r="AC719" s="34"/>
      <c r="AD719" s="34"/>
      <c r="AE719" s="25"/>
      <c r="AF719" s="25"/>
      <c r="AG719" s="34"/>
      <c r="AH719" s="34"/>
      <c r="AI719" s="37"/>
      <c r="AJ719" s="34"/>
      <c r="AK719" s="25"/>
      <c r="AL719" s="38"/>
      <c r="AM719" s="41"/>
      <c r="AN719" s="25"/>
      <c r="AO719" s="40"/>
      <c r="AP719" s="40"/>
    </row>
    <row r="720" ht="15.0" customHeight="1">
      <c r="A720" s="32" t="s">
        <v>745</v>
      </c>
      <c r="B720" s="34" t="s">
        <v>1404</v>
      </c>
      <c r="C720" s="34" t="s">
        <v>1403</v>
      </c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25"/>
      <c r="X720" s="25"/>
      <c r="Y720" s="34"/>
      <c r="Z720" s="34"/>
      <c r="AA720" s="34"/>
      <c r="AB720" s="34"/>
      <c r="AC720" s="34"/>
      <c r="AD720" s="34"/>
      <c r="AE720" s="25"/>
      <c r="AF720" s="25"/>
      <c r="AG720" s="34"/>
      <c r="AH720" s="34"/>
      <c r="AI720" s="37"/>
      <c r="AJ720" s="34"/>
      <c r="AK720" s="25"/>
      <c r="AL720" s="38"/>
      <c r="AM720" s="41"/>
      <c r="AN720" s="25"/>
      <c r="AO720" s="40"/>
      <c r="AP720" s="40"/>
    </row>
    <row r="721" ht="15.0" customHeight="1">
      <c r="A721" s="32" t="s">
        <v>746</v>
      </c>
      <c r="B721" s="34" t="s">
        <v>1404</v>
      </c>
      <c r="C721" s="34" t="s">
        <v>1403</v>
      </c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25"/>
      <c r="X721" s="25"/>
      <c r="Y721" s="34"/>
      <c r="Z721" s="34"/>
      <c r="AA721" s="34"/>
      <c r="AB721" s="34"/>
      <c r="AC721" s="34"/>
      <c r="AD721" s="34"/>
      <c r="AE721" s="25"/>
      <c r="AF721" s="25"/>
      <c r="AG721" s="34"/>
      <c r="AH721" s="34"/>
      <c r="AI721" s="37"/>
      <c r="AJ721" s="34"/>
      <c r="AK721" s="25"/>
      <c r="AL721" s="38"/>
      <c r="AM721" s="41"/>
      <c r="AN721" s="25"/>
      <c r="AO721" s="40"/>
      <c r="AP721" s="40"/>
    </row>
    <row r="722" ht="15.0" customHeight="1">
      <c r="A722" s="32" t="s">
        <v>747</v>
      </c>
      <c r="B722" s="34" t="s">
        <v>1404</v>
      </c>
      <c r="C722" s="34" t="s">
        <v>1403</v>
      </c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25"/>
      <c r="X722" s="25"/>
      <c r="Y722" s="34"/>
      <c r="Z722" s="34"/>
      <c r="AA722" s="34"/>
      <c r="AB722" s="34"/>
      <c r="AC722" s="34"/>
      <c r="AD722" s="34"/>
      <c r="AE722" s="25"/>
      <c r="AF722" s="25"/>
      <c r="AG722" s="34"/>
      <c r="AH722" s="34"/>
      <c r="AI722" s="37"/>
      <c r="AJ722" s="34"/>
      <c r="AK722" s="25"/>
      <c r="AL722" s="38"/>
      <c r="AM722" s="41"/>
      <c r="AN722" s="25"/>
      <c r="AO722" s="40"/>
      <c r="AP722" s="40"/>
    </row>
    <row r="723" ht="15.0" customHeight="1">
      <c r="A723" s="32" t="s">
        <v>748</v>
      </c>
      <c r="B723" s="34" t="s">
        <v>1404</v>
      </c>
      <c r="C723" s="34" t="s">
        <v>1403</v>
      </c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25"/>
      <c r="X723" s="25"/>
      <c r="Y723" s="34"/>
      <c r="Z723" s="34"/>
      <c r="AA723" s="34"/>
      <c r="AB723" s="34"/>
      <c r="AC723" s="34"/>
      <c r="AD723" s="34"/>
      <c r="AE723" s="25"/>
      <c r="AF723" s="25"/>
      <c r="AG723" s="34"/>
      <c r="AH723" s="34"/>
      <c r="AI723" s="37"/>
      <c r="AJ723" s="34"/>
      <c r="AK723" s="25"/>
      <c r="AL723" s="38"/>
      <c r="AM723" s="41"/>
      <c r="AN723" s="25"/>
      <c r="AO723" s="40"/>
      <c r="AP723" s="40"/>
    </row>
    <row r="724" ht="15.0" customHeight="1">
      <c r="A724" s="32" t="s">
        <v>749</v>
      </c>
      <c r="B724" s="34" t="s">
        <v>1404</v>
      </c>
      <c r="C724" s="34" t="s">
        <v>1403</v>
      </c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25"/>
      <c r="X724" s="25"/>
      <c r="Y724" s="34"/>
      <c r="Z724" s="34"/>
      <c r="AA724" s="34"/>
      <c r="AB724" s="34"/>
      <c r="AC724" s="34"/>
      <c r="AD724" s="34"/>
      <c r="AE724" s="25"/>
      <c r="AF724" s="25"/>
      <c r="AG724" s="34"/>
      <c r="AH724" s="34"/>
      <c r="AI724" s="37"/>
      <c r="AJ724" s="34"/>
      <c r="AK724" s="25"/>
      <c r="AL724" s="38"/>
      <c r="AM724" s="41"/>
      <c r="AN724" s="25"/>
      <c r="AO724" s="40"/>
      <c r="AP724" s="40"/>
    </row>
    <row r="725" ht="15.0" customHeight="1">
      <c r="A725" s="32" t="s">
        <v>750</v>
      </c>
      <c r="B725" s="34" t="s">
        <v>1404</v>
      </c>
      <c r="C725" s="34" t="s">
        <v>1403</v>
      </c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25"/>
      <c r="X725" s="25"/>
      <c r="Y725" s="34"/>
      <c r="Z725" s="34"/>
      <c r="AA725" s="34"/>
      <c r="AB725" s="34"/>
      <c r="AC725" s="34"/>
      <c r="AD725" s="34"/>
      <c r="AE725" s="25"/>
      <c r="AF725" s="25"/>
      <c r="AG725" s="34"/>
      <c r="AH725" s="34"/>
      <c r="AI725" s="37"/>
      <c r="AJ725" s="34"/>
      <c r="AK725" s="25"/>
      <c r="AL725" s="38"/>
      <c r="AM725" s="41"/>
      <c r="AN725" s="25"/>
      <c r="AO725" s="40"/>
      <c r="AP725" s="40"/>
    </row>
    <row r="726" ht="15.0" customHeight="1">
      <c r="A726" s="32" t="s">
        <v>751</v>
      </c>
      <c r="B726" s="34" t="s">
        <v>1404</v>
      </c>
      <c r="C726" s="34" t="s">
        <v>1403</v>
      </c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25"/>
      <c r="X726" s="25"/>
      <c r="Y726" s="34"/>
      <c r="Z726" s="34"/>
      <c r="AA726" s="34"/>
      <c r="AB726" s="34"/>
      <c r="AC726" s="34"/>
      <c r="AD726" s="34"/>
      <c r="AE726" s="25"/>
      <c r="AF726" s="25"/>
      <c r="AG726" s="34"/>
      <c r="AH726" s="34"/>
      <c r="AI726" s="37"/>
      <c r="AJ726" s="34"/>
      <c r="AK726" s="25"/>
      <c r="AL726" s="38"/>
      <c r="AM726" s="41"/>
      <c r="AN726" s="25"/>
      <c r="AO726" s="40"/>
      <c r="AP726" s="40"/>
    </row>
    <row r="727" ht="15.0" customHeight="1">
      <c r="A727" s="32" t="s">
        <v>752</v>
      </c>
      <c r="B727" s="34" t="s">
        <v>1404</v>
      </c>
      <c r="C727" s="34" t="s">
        <v>1403</v>
      </c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25"/>
      <c r="X727" s="25"/>
      <c r="Y727" s="34"/>
      <c r="Z727" s="34"/>
      <c r="AA727" s="34"/>
      <c r="AB727" s="34"/>
      <c r="AC727" s="34"/>
      <c r="AD727" s="34"/>
      <c r="AE727" s="25"/>
      <c r="AF727" s="25"/>
      <c r="AG727" s="34"/>
      <c r="AH727" s="34"/>
      <c r="AI727" s="37"/>
      <c r="AJ727" s="34"/>
      <c r="AK727" s="25"/>
      <c r="AL727" s="38"/>
      <c r="AM727" s="41"/>
      <c r="AN727" s="25"/>
      <c r="AO727" s="40"/>
      <c r="AP727" s="40"/>
    </row>
    <row r="728" ht="15.0" customHeight="1">
      <c r="A728" s="32" t="s">
        <v>753</v>
      </c>
      <c r="B728" s="34" t="s">
        <v>1404</v>
      </c>
      <c r="C728" s="34" t="s">
        <v>1403</v>
      </c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25"/>
      <c r="X728" s="25"/>
      <c r="Y728" s="34"/>
      <c r="Z728" s="34"/>
      <c r="AA728" s="34"/>
      <c r="AB728" s="34"/>
      <c r="AC728" s="34"/>
      <c r="AD728" s="34"/>
      <c r="AE728" s="25"/>
      <c r="AF728" s="25"/>
      <c r="AG728" s="34"/>
      <c r="AH728" s="34"/>
      <c r="AI728" s="37"/>
      <c r="AJ728" s="34"/>
      <c r="AK728" s="25"/>
      <c r="AL728" s="38"/>
      <c r="AM728" s="41"/>
      <c r="AN728" s="25"/>
      <c r="AO728" s="40"/>
      <c r="AP728" s="40"/>
    </row>
    <row r="729" ht="15.0" customHeight="1">
      <c r="A729" s="32" t="s">
        <v>754</v>
      </c>
      <c r="B729" s="34" t="s">
        <v>1404</v>
      </c>
      <c r="C729" s="34" t="s">
        <v>1403</v>
      </c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25"/>
      <c r="X729" s="25"/>
      <c r="Y729" s="34"/>
      <c r="Z729" s="34"/>
      <c r="AA729" s="34"/>
      <c r="AB729" s="34"/>
      <c r="AC729" s="34"/>
      <c r="AD729" s="34"/>
      <c r="AE729" s="25"/>
      <c r="AF729" s="25"/>
      <c r="AG729" s="34"/>
      <c r="AH729" s="34"/>
      <c r="AI729" s="37"/>
      <c r="AJ729" s="34"/>
      <c r="AK729" s="25"/>
      <c r="AL729" s="38"/>
      <c r="AM729" s="41"/>
      <c r="AN729" s="25"/>
      <c r="AO729" s="40"/>
      <c r="AP729" s="40"/>
    </row>
    <row r="730" ht="15.0" customHeight="1">
      <c r="A730" s="32" t="s">
        <v>755</v>
      </c>
      <c r="B730" s="34" t="s">
        <v>1404</v>
      </c>
      <c r="C730" s="34" t="s">
        <v>1403</v>
      </c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25"/>
      <c r="X730" s="25"/>
      <c r="Y730" s="34"/>
      <c r="Z730" s="34"/>
      <c r="AA730" s="34"/>
      <c r="AB730" s="34"/>
      <c r="AC730" s="34"/>
      <c r="AD730" s="34"/>
      <c r="AE730" s="25"/>
      <c r="AF730" s="25"/>
      <c r="AG730" s="34"/>
      <c r="AH730" s="34"/>
      <c r="AI730" s="37"/>
      <c r="AJ730" s="34"/>
      <c r="AK730" s="25"/>
      <c r="AL730" s="38"/>
      <c r="AM730" s="41"/>
      <c r="AN730" s="25"/>
      <c r="AO730" s="40"/>
      <c r="AP730" s="40"/>
    </row>
    <row r="731" ht="15.0" customHeight="1">
      <c r="A731" s="32" t="s">
        <v>756</v>
      </c>
      <c r="B731" s="34" t="s">
        <v>1404</v>
      </c>
      <c r="C731" s="34" t="s">
        <v>1403</v>
      </c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25"/>
      <c r="X731" s="25"/>
      <c r="Y731" s="34"/>
      <c r="Z731" s="34"/>
      <c r="AA731" s="34"/>
      <c r="AB731" s="34"/>
      <c r="AC731" s="34"/>
      <c r="AD731" s="34"/>
      <c r="AE731" s="25"/>
      <c r="AF731" s="25"/>
      <c r="AG731" s="34"/>
      <c r="AH731" s="34"/>
      <c r="AI731" s="37"/>
      <c r="AJ731" s="34"/>
      <c r="AK731" s="25"/>
      <c r="AL731" s="38"/>
      <c r="AM731" s="41"/>
      <c r="AN731" s="25"/>
      <c r="AO731" s="40"/>
      <c r="AP731" s="40"/>
    </row>
    <row r="732" ht="15.0" customHeight="1">
      <c r="A732" s="32" t="s">
        <v>757</v>
      </c>
      <c r="B732" s="34" t="s">
        <v>1404</v>
      </c>
      <c r="C732" s="34" t="s">
        <v>1403</v>
      </c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25"/>
      <c r="X732" s="25"/>
      <c r="Y732" s="34"/>
      <c r="Z732" s="34"/>
      <c r="AA732" s="34"/>
      <c r="AB732" s="34"/>
      <c r="AC732" s="34"/>
      <c r="AD732" s="34"/>
      <c r="AE732" s="25"/>
      <c r="AF732" s="25"/>
      <c r="AG732" s="34"/>
      <c r="AH732" s="34"/>
      <c r="AI732" s="37"/>
      <c r="AJ732" s="34"/>
      <c r="AK732" s="25"/>
      <c r="AL732" s="38"/>
      <c r="AM732" s="41"/>
      <c r="AN732" s="25"/>
      <c r="AO732" s="40"/>
      <c r="AP732" s="40"/>
    </row>
    <row r="733" ht="15.0" customHeight="1">
      <c r="A733" s="32" t="s">
        <v>758</v>
      </c>
      <c r="B733" s="34" t="s">
        <v>1404</v>
      </c>
      <c r="C733" s="34" t="s">
        <v>1403</v>
      </c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25"/>
      <c r="X733" s="25"/>
      <c r="Y733" s="34"/>
      <c r="Z733" s="34"/>
      <c r="AA733" s="34"/>
      <c r="AB733" s="34"/>
      <c r="AC733" s="34"/>
      <c r="AD733" s="34"/>
      <c r="AE733" s="25"/>
      <c r="AF733" s="25"/>
      <c r="AG733" s="34"/>
      <c r="AH733" s="34"/>
      <c r="AI733" s="37"/>
      <c r="AJ733" s="34"/>
      <c r="AK733" s="25"/>
      <c r="AL733" s="38"/>
      <c r="AM733" s="41"/>
      <c r="AN733" s="25"/>
      <c r="AO733" s="40"/>
      <c r="AP733" s="40"/>
    </row>
    <row r="734" ht="15.0" customHeight="1">
      <c r="A734" s="32" t="s">
        <v>759</v>
      </c>
      <c r="B734" s="34" t="s">
        <v>1404</v>
      </c>
      <c r="C734" s="34" t="s">
        <v>1403</v>
      </c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25"/>
      <c r="X734" s="25"/>
      <c r="Y734" s="34"/>
      <c r="Z734" s="34"/>
      <c r="AA734" s="34"/>
      <c r="AB734" s="34"/>
      <c r="AC734" s="34"/>
      <c r="AD734" s="34"/>
      <c r="AE734" s="25"/>
      <c r="AF734" s="25"/>
      <c r="AG734" s="34"/>
      <c r="AH734" s="34"/>
      <c r="AI734" s="37"/>
      <c r="AJ734" s="34"/>
      <c r="AK734" s="25"/>
      <c r="AL734" s="38"/>
      <c r="AM734" s="41"/>
      <c r="AN734" s="25"/>
      <c r="AO734" s="40"/>
      <c r="AP734" s="40"/>
    </row>
    <row r="735" ht="15.0" customHeight="1">
      <c r="A735" s="32" t="s">
        <v>760</v>
      </c>
      <c r="B735" s="34" t="s">
        <v>1404</v>
      </c>
      <c r="C735" s="34" t="s">
        <v>1403</v>
      </c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25"/>
      <c r="X735" s="25"/>
      <c r="Y735" s="34"/>
      <c r="Z735" s="34"/>
      <c r="AA735" s="34"/>
      <c r="AB735" s="34"/>
      <c r="AC735" s="34"/>
      <c r="AD735" s="34"/>
      <c r="AE735" s="25"/>
      <c r="AF735" s="25"/>
      <c r="AG735" s="34"/>
      <c r="AH735" s="34"/>
      <c r="AI735" s="37"/>
      <c r="AJ735" s="34"/>
      <c r="AK735" s="25"/>
      <c r="AL735" s="38"/>
      <c r="AM735" s="41"/>
      <c r="AN735" s="25"/>
      <c r="AO735" s="40"/>
      <c r="AP735" s="40"/>
    </row>
    <row r="736" ht="15.0" customHeight="1">
      <c r="A736" s="32" t="s">
        <v>761</v>
      </c>
      <c r="B736" s="34" t="s">
        <v>1404</v>
      </c>
      <c r="C736" s="34" t="s">
        <v>1403</v>
      </c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25"/>
      <c r="X736" s="25"/>
      <c r="Y736" s="34"/>
      <c r="Z736" s="34"/>
      <c r="AA736" s="34"/>
      <c r="AB736" s="34"/>
      <c r="AC736" s="34"/>
      <c r="AD736" s="34"/>
      <c r="AE736" s="25"/>
      <c r="AF736" s="25"/>
      <c r="AG736" s="34"/>
      <c r="AH736" s="34"/>
      <c r="AI736" s="37"/>
      <c r="AJ736" s="34"/>
      <c r="AK736" s="25"/>
      <c r="AL736" s="38"/>
      <c r="AM736" s="41"/>
      <c r="AN736" s="25"/>
      <c r="AO736" s="40"/>
      <c r="AP736" s="40"/>
    </row>
    <row r="737" ht="15.0" customHeight="1">
      <c r="A737" s="32" t="s">
        <v>762</v>
      </c>
      <c r="B737" s="34" t="s">
        <v>1404</v>
      </c>
      <c r="C737" s="34" t="s">
        <v>1403</v>
      </c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25"/>
      <c r="X737" s="25"/>
      <c r="Y737" s="34"/>
      <c r="Z737" s="34"/>
      <c r="AA737" s="34"/>
      <c r="AB737" s="34"/>
      <c r="AC737" s="34"/>
      <c r="AD737" s="34"/>
      <c r="AE737" s="25"/>
      <c r="AF737" s="25"/>
      <c r="AG737" s="34"/>
      <c r="AH737" s="34"/>
      <c r="AI737" s="37"/>
      <c r="AJ737" s="34"/>
      <c r="AK737" s="25"/>
      <c r="AL737" s="38"/>
      <c r="AM737" s="41"/>
      <c r="AN737" s="25"/>
      <c r="AO737" s="40"/>
      <c r="AP737" s="40"/>
    </row>
    <row r="738" ht="15.0" customHeight="1">
      <c r="A738" s="32" t="s">
        <v>763</v>
      </c>
      <c r="B738" s="34" t="s">
        <v>1404</v>
      </c>
      <c r="C738" s="34" t="s">
        <v>1403</v>
      </c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25"/>
      <c r="X738" s="25"/>
      <c r="Y738" s="34"/>
      <c r="Z738" s="34"/>
      <c r="AA738" s="34"/>
      <c r="AB738" s="34"/>
      <c r="AC738" s="34"/>
      <c r="AD738" s="34"/>
      <c r="AE738" s="25"/>
      <c r="AF738" s="25"/>
      <c r="AG738" s="34"/>
      <c r="AH738" s="34"/>
      <c r="AI738" s="37"/>
      <c r="AJ738" s="34"/>
      <c r="AK738" s="25"/>
      <c r="AL738" s="38"/>
      <c r="AM738" s="41"/>
      <c r="AN738" s="25"/>
      <c r="AO738" s="40"/>
      <c r="AP738" s="40"/>
    </row>
    <row r="739" ht="15.0" customHeight="1">
      <c r="A739" s="32" t="s">
        <v>764</v>
      </c>
      <c r="B739" s="34" t="s">
        <v>1404</v>
      </c>
      <c r="C739" s="34" t="s">
        <v>1403</v>
      </c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25"/>
      <c r="X739" s="25"/>
      <c r="Y739" s="34"/>
      <c r="Z739" s="34"/>
      <c r="AA739" s="34"/>
      <c r="AB739" s="34"/>
      <c r="AC739" s="34"/>
      <c r="AD739" s="34"/>
      <c r="AE739" s="25"/>
      <c r="AF739" s="25"/>
      <c r="AG739" s="34"/>
      <c r="AH739" s="34"/>
      <c r="AI739" s="37"/>
      <c r="AJ739" s="34"/>
      <c r="AK739" s="25"/>
      <c r="AL739" s="38"/>
      <c r="AM739" s="41"/>
      <c r="AN739" s="25"/>
      <c r="AO739" s="40"/>
      <c r="AP739" s="40"/>
    </row>
    <row r="740" ht="15.0" customHeight="1">
      <c r="A740" s="32" t="s">
        <v>765</v>
      </c>
      <c r="B740" s="34" t="s">
        <v>1404</v>
      </c>
      <c r="C740" s="34" t="s">
        <v>1403</v>
      </c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25"/>
      <c r="X740" s="25"/>
      <c r="Y740" s="34"/>
      <c r="Z740" s="34"/>
      <c r="AA740" s="34"/>
      <c r="AB740" s="34"/>
      <c r="AC740" s="34"/>
      <c r="AD740" s="34"/>
      <c r="AE740" s="25"/>
      <c r="AF740" s="25"/>
      <c r="AG740" s="34"/>
      <c r="AH740" s="34"/>
      <c r="AI740" s="37"/>
      <c r="AJ740" s="34"/>
      <c r="AK740" s="25"/>
      <c r="AL740" s="38"/>
      <c r="AM740" s="41"/>
      <c r="AN740" s="25"/>
      <c r="AO740" s="40"/>
      <c r="AP740" s="40"/>
    </row>
    <row r="741" ht="15.0" customHeight="1">
      <c r="A741" s="32" t="s">
        <v>766</v>
      </c>
      <c r="B741" s="34" t="s">
        <v>1404</v>
      </c>
      <c r="C741" s="34" t="s">
        <v>1403</v>
      </c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25"/>
      <c r="X741" s="25"/>
      <c r="Y741" s="34"/>
      <c r="Z741" s="34"/>
      <c r="AA741" s="34"/>
      <c r="AB741" s="34"/>
      <c r="AC741" s="34"/>
      <c r="AD741" s="34"/>
      <c r="AE741" s="25"/>
      <c r="AF741" s="25"/>
      <c r="AG741" s="34"/>
      <c r="AH741" s="34"/>
      <c r="AI741" s="37"/>
      <c r="AJ741" s="34"/>
      <c r="AK741" s="25"/>
      <c r="AL741" s="38"/>
      <c r="AM741" s="41"/>
      <c r="AN741" s="25"/>
      <c r="AO741" s="40"/>
      <c r="AP741" s="40"/>
    </row>
    <row r="742" ht="15.0" customHeight="1">
      <c r="A742" s="32" t="s">
        <v>767</v>
      </c>
      <c r="B742" s="34" t="s">
        <v>1404</v>
      </c>
      <c r="C742" s="34" t="s">
        <v>1403</v>
      </c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25"/>
      <c r="X742" s="25"/>
      <c r="Y742" s="34"/>
      <c r="Z742" s="34"/>
      <c r="AA742" s="34"/>
      <c r="AB742" s="34"/>
      <c r="AC742" s="34"/>
      <c r="AD742" s="34"/>
      <c r="AE742" s="25"/>
      <c r="AF742" s="25"/>
      <c r="AG742" s="34"/>
      <c r="AH742" s="34"/>
      <c r="AI742" s="37"/>
      <c r="AJ742" s="34"/>
      <c r="AK742" s="25"/>
      <c r="AL742" s="38"/>
      <c r="AM742" s="41"/>
      <c r="AN742" s="25"/>
      <c r="AO742" s="40"/>
      <c r="AP742" s="40"/>
    </row>
    <row r="743" ht="15.0" customHeight="1">
      <c r="A743" s="32" t="s">
        <v>768</v>
      </c>
      <c r="B743" s="34" t="s">
        <v>1404</v>
      </c>
      <c r="C743" s="34" t="s">
        <v>1403</v>
      </c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25"/>
      <c r="X743" s="25"/>
      <c r="Y743" s="34"/>
      <c r="Z743" s="34"/>
      <c r="AA743" s="34"/>
      <c r="AB743" s="34"/>
      <c r="AC743" s="34"/>
      <c r="AD743" s="34"/>
      <c r="AE743" s="25"/>
      <c r="AF743" s="25"/>
      <c r="AG743" s="34"/>
      <c r="AH743" s="34"/>
      <c r="AI743" s="37"/>
      <c r="AJ743" s="34"/>
      <c r="AK743" s="25"/>
      <c r="AL743" s="38"/>
      <c r="AM743" s="41"/>
      <c r="AN743" s="25"/>
      <c r="AO743" s="40"/>
      <c r="AP743" s="40"/>
    </row>
    <row r="744" ht="15.0" customHeight="1">
      <c r="A744" s="32" t="s">
        <v>769</v>
      </c>
      <c r="B744" s="34" t="s">
        <v>1404</v>
      </c>
      <c r="C744" s="34" t="s">
        <v>1403</v>
      </c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25"/>
      <c r="X744" s="25"/>
      <c r="Y744" s="34"/>
      <c r="Z744" s="34"/>
      <c r="AA744" s="34"/>
      <c r="AB744" s="34"/>
      <c r="AC744" s="34"/>
      <c r="AD744" s="34"/>
      <c r="AE744" s="25"/>
      <c r="AF744" s="25"/>
      <c r="AG744" s="34"/>
      <c r="AH744" s="34"/>
      <c r="AI744" s="37"/>
      <c r="AJ744" s="34"/>
      <c r="AK744" s="25"/>
      <c r="AL744" s="38"/>
      <c r="AM744" s="41"/>
      <c r="AN744" s="25"/>
      <c r="AO744" s="40"/>
      <c r="AP744" s="40"/>
    </row>
    <row r="745" ht="15.0" customHeight="1">
      <c r="A745" s="32" t="s">
        <v>770</v>
      </c>
      <c r="B745" s="34" t="s">
        <v>1404</v>
      </c>
      <c r="C745" s="34" t="s">
        <v>1403</v>
      </c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25"/>
      <c r="X745" s="25"/>
      <c r="Y745" s="34"/>
      <c r="Z745" s="34"/>
      <c r="AA745" s="34"/>
      <c r="AB745" s="34"/>
      <c r="AC745" s="34"/>
      <c r="AD745" s="34"/>
      <c r="AE745" s="25"/>
      <c r="AF745" s="25"/>
      <c r="AG745" s="34"/>
      <c r="AH745" s="34"/>
      <c r="AI745" s="37"/>
      <c r="AJ745" s="34"/>
      <c r="AK745" s="25"/>
      <c r="AL745" s="38"/>
      <c r="AM745" s="41"/>
      <c r="AN745" s="25"/>
      <c r="AO745" s="40"/>
      <c r="AP745" s="40"/>
    </row>
    <row r="746" ht="15.0" customHeight="1">
      <c r="A746" s="32" t="s">
        <v>771</v>
      </c>
      <c r="B746" s="34" t="s">
        <v>1404</v>
      </c>
      <c r="C746" s="34" t="s">
        <v>1403</v>
      </c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25"/>
      <c r="X746" s="25"/>
      <c r="Y746" s="34"/>
      <c r="Z746" s="34"/>
      <c r="AA746" s="34"/>
      <c r="AB746" s="34"/>
      <c r="AC746" s="34"/>
      <c r="AD746" s="34"/>
      <c r="AE746" s="25"/>
      <c r="AF746" s="25"/>
      <c r="AG746" s="34"/>
      <c r="AH746" s="34"/>
      <c r="AI746" s="37"/>
      <c r="AJ746" s="34"/>
      <c r="AK746" s="25"/>
      <c r="AL746" s="38"/>
      <c r="AM746" s="41"/>
      <c r="AN746" s="25"/>
      <c r="AO746" s="40"/>
      <c r="AP746" s="40"/>
    </row>
    <row r="747" ht="15.0" customHeight="1">
      <c r="A747" s="32" t="s">
        <v>772</v>
      </c>
      <c r="B747" s="34" t="s">
        <v>1404</v>
      </c>
      <c r="C747" s="34" t="s">
        <v>1403</v>
      </c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25"/>
      <c r="X747" s="25"/>
      <c r="Y747" s="34"/>
      <c r="Z747" s="34"/>
      <c r="AA747" s="34"/>
      <c r="AB747" s="34"/>
      <c r="AC747" s="34"/>
      <c r="AD747" s="34"/>
      <c r="AE747" s="25"/>
      <c r="AF747" s="25"/>
      <c r="AG747" s="34"/>
      <c r="AH747" s="34"/>
      <c r="AI747" s="37"/>
      <c r="AJ747" s="34"/>
      <c r="AK747" s="25"/>
      <c r="AL747" s="38"/>
      <c r="AM747" s="41"/>
      <c r="AN747" s="25"/>
      <c r="AO747" s="40"/>
      <c r="AP747" s="40"/>
    </row>
    <row r="748" ht="15.0" customHeight="1">
      <c r="A748" s="32" t="s">
        <v>773</v>
      </c>
      <c r="B748" s="34" t="s">
        <v>1404</v>
      </c>
      <c r="C748" s="34" t="s">
        <v>1403</v>
      </c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25"/>
      <c r="X748" s="25"/>
      <c r="Y748" s="34"/>
      <c r="Z748" s="34"/>
      <c r="AA748" s="34"/>
      <c r="AB748" s="34"/>
      <c r="AC748" s="34"/>
      <c r="AD748" s="34"/>
      <c r="AE748" s="25"/>
      <c r="AF748" s="25"/>
      <c r="AG748" s="34"/>
      <c r="AH748" s="34"/>
      <c r="AI748" s="37"/>
      <c r="AJ748" s="34"/>
      <c r="AK748" s="25"/>
      <c r="AL748" s="38"/>
      <c r="AM748" s="41"/>
      <c r="AN748" s="25"/>
      <c r="AO748" s="40"/>
      <c r="AP748" s="40"/>
    </row>
    <row r="749" ht="15.0" customHeight="1">
      <c r="A749" s="32" t="s">
        <v>774</v>
      </c>
      <c r="B749" s="34" t="s">
        <v>1404</v>
      </c>
      <c r="C749" s="34" t="s">
        <v>1403</v>
      </c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25"/>
      <c r="X749" s="25"/>
      <c r="Y749" s="34"/>
      <c r="Z749" s="34"/>
      <c r="AA749" s="34"/>
      <c r="AB749" s="34"/>
      <c r="AC749" s="34"/>
      <c r="AD749" s="34"/>
      <c r="AE749" s="25"/>
      <c r="AF749" s="25"/>
      <c r="AG749" s="34"/>
      <c r="AH749" s="34"/>
      <c r="AI749" s="37"/>
      <c r="AJ749" s="34"/>
      <c r="AK749" s="25"/>
      <c r="AL749" s="38"/>
      <c r="AM749" s="41"/>
      <c r="AN749" s="25"/>
      <c r="AO749" s="40"/>
      <c r="AP749" s="40"/>
    </row>
    <row r="750" ht="15.0" customHeight="1">
      <c r="A750" s="32" t="s">
        <v>775</v>
      </c>
      <c r="B750" s="34" t="s">
        <v>1404</v>
      </c>
      <c r="C750" s="34" t="s">
        <v>1403</v>
      </c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25"/>
      <c r="X750" s="25"/>
      <c r="Y750" s="34"/>
      <c r="Z750" s="34"/>
      <c r="AA750" s="34"/>
      <c r="AB750" s="34"/>
      <c r="AC750" s="34"/>
      <c r="AD750" s="34"/>
      <c r="AE750" s="25"/>
      <c r="AF750" s="25"/>
      <c r="AG750" s="34"/>
      <c r="AH750" s="34"/>
      <c r="AI750" s="37"/>
      <c r="AJ750" s="34"/>
      <c r="AK750" s="25"/>
      <c r="AL750" s="38"/>
      <c r="AM750" s="41"/>
      <c r="AN750" s="25"/>
      <c r="AO750" s="40"/>
      <c r="AP750" s="40"/>
    </row>
    <row r="751" ht="15.0" customHeight="1">
      <c r="A751" s="32" t="s">
        <v>776</v>
      </c>
      <c r="B751" s="34" t="s">
        <v>1404</v>
      </c>
      <c r="C751" s="34" t="s">
        <v>1403</v>
      </c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25"/>
      <c r="X751" s="25"/>
      <c r="Y751" s="34"/>
      <c r="Z751" s="34"/>
      <c r="AA751" s="34"/>
      <c r="AB751" s="34"/>
      <c r="AC751" s="34"/>
      <c r="AD751" s="34"/>
      <c r="AE751" s="25"/>
      <c r="AF751" s="25"/>
      <c r="AG751" s="34"/>
      <c r="AH751" s="34"/>
      <c r="AI751" s="37"/>
      <c r="AJ751" s="34"/>
      <c r="AK751" s="25"/>
      <c r="AL751" s="38"/>
      <c r="AM751" s="41"/>
      <c r="AN751" s="25"/>
      <c r="AO751" s="40"/>
      <c r="AP751" s="40"/>
    </row>
    <row r="752" ht="15.0" customHeight="1">
      <c r="A752" s="32" t="s">
        <v>777</v>
      </c>
      <c r="B752" s="34" t="s">
        <v>1404</v>
      </c>
      <c r="C752" s="34" t="s">
        <v>1403</v>
      </c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25"/>
      <c r="X752" s="25"/>
      <c r="Y752" s="34"/>
      <c r="Z752" s="34"/>
      <c r="AA752" s="34"/>
      <c r="AB752" s="34"/>
      <c r="AC752" s="34"/>
      <c r="AD752" s="34"/>
      <c r="AE752" s="25"/>
      <c r="AF752" s="25"/>
      <c r="AG752" s="34"/>
      <c r="AH752" s="34"/>
      <c r="AI752" s="37"/>
      <c r="AJ752" s="34"/>
      <c r="AK752" s="25"/>
      <c r="AL752" s="38"/>
      <c r="AM752" s="41"/>
      <c r="AN752" s="25"/>
      <c r="AO752" s="40"/>
      <c r="AP752" s="40"/>
    </row>
    <row r="753" ht="15.0" customHeight="1">
      <c r="A753" s="32" t="s">
        <v>778</v>
      </c>
      <c r="B753" s="34" t="s">
        <v>1404</v>
      </c>
      <c r="C753" s="34" t="s">
        <v>1403</v>
      </c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25"/>
      <c r="X753" s="25"/>
      <c r="Y753" s="34"/>
      <c r="Z753" s="34"/>
      <c r="AA753" s="34"/>
      <c r="AB753" s="34"/>
      <c r="AC753" s="34"/>
      <c r="AD753" s="34"/>
      <c r="AE753" s="25"/>
      <c r="AF753" s="25"/>
      <c r="AG753" s="34"/>
      <c r="AH753" s="34"/>
      <c r="AI753" s="37"/>
      <c r="AJ753" s="34"/>
      <c r="AK753" s="25"/>
      <c r="AL753" s="38"/>
      <c r="AM753" s="41"/>
      <c r="AN753" s="25"/>
      <c r="AO753" s="40"/>
      <c r="AP753" s="40"/>
    </row>
    <row r="754" ht="15.0" customHeight="1">
      <c r="A754" s="32" t="s">
        <v>779</v>
      </c>
      <c r="B754" s="34" t="s">
        <v>1404</v>
      </c>
      <c r="C754" s="34" t="s">
        <v>1403</v>
      </c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25"/>
      <c r="X754" s="25"/>
      <c r="Y754" s="34"/>
      <c r="Z754" s="34"/>
      <c r="AA754" s="34"/>
      <c r="AB754" s="34"/>
      <c r="AC754" s="34"/>
      <c r="AD754" s="34"/>
      <c r="AE754" s="25"/>
      <c r="AF754" s="25"/>
      <c r="AG754" s="34"/>
      <c r="AH754" s="34"/>
      <c r="AI754" s="37"/>
      <c r="AJ754" s="34"/>
      <c r="AK754" s="25"/>
      <c r="AL754" s="38"/>
      <c r="AM754" s="41"/>
      <c r="AN754" s="25"/>
      <c r="AO754" s="40"/>
      <c r="AP754" s="40"/>
    </row>
    <row r="755" ht="15.0" customHeight="1">
      <c r="A755" s="32" t="s">
        <v>780</v>
      </c>
      <c r="B755" s="34" t="s">
        <v>1404</v>
      </c>
      <c r="C755" s="34" t="s">
        <v>1403</v>
      </c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25"/>
      <c r="X755" s="25"/>
      <c r="Y755" s="34"/>
      <c r="Z755" s="34"/>
      <c r="AA755" s="34"/>
      <c r="AB755" s="34"/>
      <c r="AC755" s="34"/>
      <c r="AD755" s="34"/>
      <c r="AE755" s="25"/>
      <c r="AF755" s="25"/>
      <c r="AG755" s="34"/>
      <c r="AH755" s="34"/>
      <c r="AI755" s="37"/>
      <c r="AJ755" s="34"/>
      <c r="AK755" s="25"/>
      <c r="AL755" s="38"/>
      <c r="AM755" s="41"/>
      <c r="AN755" s="25"/>
      <c r="AO755" s="40"/>
      <c r="AP755" s="40"/>
    </row>
    <row r="756" ht="15.0" customHeight="1">
      <c r="A756" s="32" t="s">
        <v>781</v>
      </c>
      <c r="B756" s="34" t="s">
        <v>1404</v>
      </c>
      <c r="C756" s="34" t="s">
        <v>1403</v>
      </c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25"/>
      <c r="X756" s="25"/>
      <c r="Y756" s="34"/>
      <c r="Z756" s="34"/>
      <c r="AA756" s="34"/>
      <c r="AB756" s="34"/>
      <c r="AC756" s="34"/>
      <c r="AD756" s="34"/>
      <c r="AE756" s="25"/>
      <c r="AF756" s="25"/>
      <c r="AG756" s="34"/>
      <c r="AH756" s="34"/>
      <c r="AI756" s="37"/>
      <c r="AJ756" s="34"/>
      <c r="AK756" s="25"/>
      <c r="AL756" s="38"/>
      <c r="AM756" s="41"/>
      <c r="AN756" s="25"/>
      <c r="AO756" s="40"/>
      <c r="AP756" s="40"/>
    </row>
    <row r="757" ht="15.0" customHeight="1">
      <c r="A757" s="32" t="s">
        <v>782</v>
      </c>
      <c r="B757" s="34" t="s">
        <v>1404</v>
      </c>
      <c r="C757" s="34" t="s">
        <v>1403</v>
      </c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25"/>
      <c r="X757" s="25"/>
      <c r="Y757" s="34"/>
      <c r="Z757" s="34"/>
      <c r="AA757" s="34"/>
      <c r="AB757" s="34"/>
      <c r="AC757" s="34"/>
      <c r="AD757" s="34"/>
      <c r="AE757" s="25"/>
      <c r="AF757" s="25"/>
      <c r="AG757" s="34"/>
      <c r="AH757" s="34"/>
      <c r="AI757" s="37"/>
      <c r="AJ757" s="34"/>
      <c r="AK757" s="25"/>
      <c r="AL757" s="38"/>
      <c r="AM757" s="41"/>
      <c r="AN757" s="25"/>
      <c r="AO757" s="40"/>
      <c r="AP757" s="40"/>
    </row>
    <row r="758" ht="15.0" customHeight="1">
      <c r="A758" s="32" t="s">
        <v>783</v>
      </c>
      <c r="B758" s="34" t="s">
        <v>1404</v>
      </c>
      <c r="C758" s="34" t="s">
        <v>1403</v>
      </c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25"/>
      <c r="X758" s="25"/>
      <c r="Y758" s="34"/>
      <c r="Z758" s="34"/>
      <c r="AA758" s="34"/>
      <c r="AB758" s="34"/>
      <c r="AC758" s="34"/>
      <c r="AD758" s="34"/>
      <c r="AE758" s="25"/>
      <c r="AF758" s="25"/>
      <c r="AG758" s="34"/>
      <c r="AH758" s="34"/>
      <c r="AI758" s="37"/>
      <c r="AJ758" s="34"/>
      <c r="AK758" s="25"/>
      <c r="AL758" s="38"/>
      <c r="AM758" s="41"/>
      <c r="AN758" s="25"/>
      <c r="AO758" s="40"/>
      <c r="AP758" s="40"/>
    </row>
    <row r="759" ht="15.0" customHeight="1">
      <c r="A759" s="32" t="s">
        <v>784</v>
      </c>
      <c r="B759" s="34" t="s">
        <v>1404</v>
      </c>
      <c r="C759" s="34" t="s">
        <v>1403</v>
      </c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25"/>
      <c r="X759" s="25"/>
      <c r="Y759" s="34"/>
      <c r="Z759" s="34"/>
      <c r="AA759" s="34"/>
      <c r="AB759" s="34"/>
      <c r="AC759" s="34"/>
      <c r="AD759" s="34"/>
      <c r="AE759" s="25"/>
      <c r="AF759" s="25"/>
      <c r="AG759" s="34"/>
      <c r="AH759" s="34"/>
      <c r="AI759" s="37"/>
      <c r="AJ759" s="34"/>
      <c r="AK759" s="25"/>
      <c r="AL759" s="38"/>
      <c r="AM759" s="41"/>
      <c r="AN759" s="25"/>
      <c r="AO759" s="40"/>
      <c r="AP759" s="40"/>
    </row>
    <row r="760" ht="15.0" customHeight="1">
      <c r="A760" s="32" t="s">
        <v>785</v>
      </c>
      <c r="B760" s="34" t="s">
        <v>1404</v>
      </c>
      <c r="C760" s="34" t="s">
        <v>1403</v>
      </c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25"/>
      <c r="X760" s="25"/>
      <c r="Y760" s="34"/>
      <c r="Z760" s="34"/>
      <c r="AA760" s="34"/>
      <c r="AB760" s="34"/>
      <c r="AC760" s="34"/>
      <c r="AD760" s="34"/>
      <c r="AE760" s="25"/>
      <c r="AF760" s="25"/>
      <c r="AG760" s="34"/>
      <c r="AH760" s="34"/>
      <c r="AI760" s="37"/>
      <c r="AJ760" s="34"/>
      <c r="AK760" s="25"/>
      <c r="AL760" s="38"/>
      <c r="AM760" s="41"/>
      <c r="AN760" s="25"/>
      <c r="AO760" s="40"/>
      <c r="AP760" s="40"/>
    </row>
    <row r="761" ht="15.0" customHeight="1">
      <c r="A761" s="32" t="s">
        <v>786</v>
      </c>
      <c r="B761" s="34" t="s">
        <v>1404</v>
      </c>
      <c r="C761" s="34" t="s">
        <v>1403</v>
      </c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25"/>
      <c r="X761" s="25"/>
      <c r="Y761" s="34"/>
      <c r="Z761" s="34"/>
      <c r="AA761" s="34"/>
      <c r="AB761" s="34"/>
      <c r="AC761" s="34"/>
      <c r="AD761" s="34"/>
      <c r="AE761" s="25"/>
      <c r="AF761" s="25"/>
      <c r="AG761" s="34"/>
      <c r="AH761" s="34"/>
      <c r="AI761" s="37"/>
      <c r="AJ761" s="34"/>
      <c r="AK761" s="25"/>
      <c r="AL761" s="38"/>
      <c r="AM761" s="41"/>
      <c r="AN761" s="25"/>
      <c r="AO761" s="40"/>
      <c r="AP761" s="40"/>
    </row>
    <row r="762" ht="15.0" customHeight="1">
      <c r="A762" s="32" t="s">
        <v>787</v>
      </c>
      <c r="B762" s="34" t="s">
        <v>1404</v>
      </c>
      <c r="C762" s="34" t="s">
        <v>1403</v>
      </c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25"/>
      <c r="X762" s="25"/>
      <c r="Y762" s="34"/>
      <c r="Z762" s="34"/>
      <c r="AA762" s="34"/>
      <c r="AB762" s="34"/>
      <c r="AC762" s="34"/>
      <c r="AD762" s="34"/>
      <c r="AE762" s="25"/>
      <c r="AF762" s="25"/>
      <c r="AG762" s="34"/>
      <c r="AH762" s="34"/>
      <c r="AI762" s="37"/>
      <c r="AJ762" s="34"/>
      <c r="AK762" s="25"/>
      <c r="AL762" s="38"/>
      <c r="AM762" s="41"/>
      <c r="AN762" s="25"/>
      <c r="AO762" s="40"/>
      <c r="AP762" s="40"/>
    </row>
    <row r="763" ht="15.0" customHeight="1">
      <c r="A763" s="32" t="s">
        <v>788</v>
      </c>
      <c r="B763" s="34" t="s">
        <v>1404</v>
      </c>
      <c r="C763" s="34" t="s">
        <v>1403</v>
      </c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25"/>
      <c r="X763" s="25"/>
      <c r="Y763" s="34"/>
      <c r="Z763" s="34"/>
      <c r="AA763" s="34"/>
      <c r="AB763" s="34"/>
      <c r="AC763" s="34"/>
      <c r="AD763" s="34"/>
      <c r="AE763" s="25"/>
      <c r="AF763" s="25"/>
      <c r="AG763" s="34"/>
      <c r="AH763" s="34"/>
      <c r="AI763" s="37"/>
      <c r="AJ763" s="34"/>
      <c r="AK763" s="25"/>
      <c r="AL763" s="38"/>
      <c r="AM763" s="41"/>
      <c r="AN763" s="25"/>
      <c r="AO763" s="40"/>
      <c r="AP763" s="40"/>
    </row>
    <row r="764" ht="15.0" customHeight="1">
      <c r="A764" s="32" t="s">
        <v>789</v>
      </c>
      <c r="B764" s="34" t="s">
        <v>1404</v>
      </c>
      <c r="C764" s="34" t="s">
        <v>1403</v>
      </c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25"/>
      <c r="X764" s="25"/>
      <c r="Y764" s="34"/>
      <c r="Z764" s="34"/>
      <c r="AA764" s="34"/>
      <c r="AB764" s="34"/>
      <c r="AC764" s="34"/>
      <c r="AD764" s="34"/>
      <c r="AE764" s="25"/>
      <c r="AF764" s="25"/>
      <c r="AG764" s="34"/>
      <c r="AH764" s="34"/>
      <c r="AI764" s="37"/>
      <c r="AJ764" s="34"/>
      <c r="AK764" s="25"/>
      <c r="AL764" s="38"/>
      <c r="AM764" s="41"/>
      <c r="AN764" s="25"/>
      <c r="AO764" s="40"/>
      <c r="AP764" s="40"/>
    </row>
    <row r="765" ht="15.0" customHeight="1">
      <c r="A765" s="32" t="s">
        <v>790</v>
      </c>
      <c r="B765" s="34" t="s">
        <v>1404</v>
      </c>
      <c r="C765" s="34" t="s">
        <v>1403</v>
      </c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25"/>
      <c r="X765" s="25"/>
      <c r="Y765" s="34"/>
      <c r="Z765" s="34"/>
      <c r="AA765" s="34"/>
      <c r="AB765" s="34"/>
      <c r="AC765" s="34"/>
      <c r="AD765" s="34"/>
      <c r="AE765" s="25"/>
      <c r="AF765" s="25"/>
      <c r="AG765" s="34"/>
      <c r="AH765" s="34"/>
      <c r="AI765" s="37"/>
      <c r="AJ765" s="34"/>
      <c r="AK765" s="25"/>
      <c r="AL765" s="38"/>
      <c r="AM765" s="41"/>
      <c r="AN765" s="25"/>
      <c r="AO765" s="40"/>
      <c r="AP765" s="40"/>
    </row>
    <row r="766" ht="15.0" customHeight="1">
      <c r="A766" s="32" t="s">
        <v>791</v>
      </c>
      <c r="B766" s="34" t="s">
        <v>1404</v>
      </c>
      <c r="C766" s="34" t="s">
        <v>1403</v>
      </c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25"/>
      <c r="X766" s="25"/>
      <c r="Y766" s="34"/>
      <c r="Z766" s="34"/>
      <c r="AA766" s="34"/>
      <c r="AB766" s="34"/>
      <c r="AC766" s="34"/>
      <c r="AD766" s="34"/>
      <c r="AE766" s="25"/>
      <c r="AF766" s="25"/>
      <c r="AG766" s="34"/>
      <c r="AH766" s="34"/>
      <c r="AI766" s="37"/>
      <c r="AJ766" s="34"/>
      <c r="AK766" s="25"/>
      <c r="AL766" s="38"/>
      <c r="AM766" s="41"/>
      <c r="AN766" s="25"/>
      <c r="AO766" s="40"/>
      <c r="AP766" s="40"/>
    </row>
    <row r="767" ht="15.0" customHeight="1">
      <c r="A767" s="32" t="s">
        <v>792</v>
      </c>
      <c r="B767" s="34" t="s">
        <v>1404</v>
      </c>
      <c r="C767" s="34" t="s">
        <v>1403</v>
      </c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25"/>
      <c r="X767" s="25"/>
      <c r="Y767" s="34"/>
      <c r="Z767" s="34"/>
      <c r="AA767" s="34"/>
      <c r="AB767" s="34"/>
      <c r="AC767" s="34"/>
      <c r="AD767" s="34"/>
      <c r="AE767" s="25"/>
      <c r="AF767" s="25"/>
      <c r="AG767" s="34"/>
      <c r="AH767" s="34"/>
      <c r="AI767" s="37"/>
      <c r="AJ767" s="34"/>
      <c r="AK767" s="25"/>
      <c r="AL767" s="38"/>
      <c r="AM767" s="41"/>
      <c r="AN767" s="25"/>
      <c r="AO767" s="40"/>
      <c r="AP767" s="40"/>
    </row>
    <row r="768" ht="15.0" customHeight="1">
      <c r="A768" s="32" t="s">
        <v>793</v>
      </c>
      <c r="B768" s="34" t="s">
        <v>1404</v>
      </c>
      <c r="C768" s="34" t="s">
        <v>1403</v>
      </c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25"/>
      <c r="X768" s="25"/>
      <c r="Y768" s="34"/>
      <c r="Z768" s="34"/>
      <c r="AA768" s="34"/>
      <c r="AB768" s="34"/>
      <c r="AC768" s="34"/>
      <c r="AD768" s="34"/>
      <c r="AE768" s="25"/>
      <c r="AF768" s="25"/>
      <c r="AG768" s="34"/>
      <c r="AH768" s="34"/>
      <c r="AI768" s="37"/>
      <c r="AJ768" s="34"/>
      <c r="AK768" s="25"/>
      <c r="AL768" s="38"/>
      <c r="AM768" s="41"/>
      <c r="AN768" s="25"/>
      <c r="AO768" s="40"/>
      <c r="AP768" s="40"/>
    </row>
    <row r="769" ht="15.0" customHeight="1">
      <c r="A769" s="32" t="s">
        <v>794</v>
      </c>
      <c r="B769" s="34" t="s">
        <v>1404</v>
      </c>
      <c r="C769" s="34" t="s">
        <v>1403</v>
      </c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25"/>
      <c r="X769" s="25"/>
      <c r="Y769" s="34"/>
      <c r="Z769" s="34"/>
      <c r="AA769" s="34"/>
      <c r="AB769" s="34"/>
      <c r="AC769" s="34"/>
      <c r="AD769" s="34"/>
      <c r="AE769" s="25"/>
      <c r="AF769" s="25"/>
      <c r="AG769" s="34"/>
      <c r="AH769" s="34"/>
      <c r="AI769" s="37"/>
      <c r="AJ769" s="34"/>
      <c r="AK769" s="25"/>
      <c r="AL769" s="38"/>
      <c r="AM769" s="41"/>
      <c r="AN769" s="25"/>
      <c r="AO769" s="40"/>
      <c r="AP769" s="40"/>
    </row>
    <row r="770" ht="15.0" customHeight="1">
      <c r="A770" s="32" t="s">
        <v>795</v>
      </c>
      <c r="B770" s="34" t="s">
        <v>1404</v>
      </c>
      <c r="C770" s="34" t="s">
        <v>1403</v>
      </c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25"/>
      <c r="X770" s="25"/>
      <c r="Y770" s="34"/>
      <c r="Z770" s="34"/>
      <c r="AA770" s="34"/>
      <c r="AB770" s="34"/>
      <c r="AC770" s="34"/>
      <c r="AD770" s="34"/>
      <c r="AE770" s="25"/>
      <c r="AF770" s="25"/>
      <c r="AG770" s="34"/>
      <c r="AH770" s="34"/>
      <c r="AI770" s="37"/>
      <c r="AJ770" s="34"/>
      <c r="AK770" s="25"/>
      <c r="AL770" s="38"/>
      <c r="AM770" s="41"/>
      <c r="AN770" s="25"/>
      <c r="AO770" s="40"/>
      <c r="AP770" s="40"/>
    </row>
    <row r="771" ht="15.0" customHeight="1">
      <c r="A771" s="32" t="s">
        <v>796</v>
      </c>
      <c r="B771" s="34" t="s">
        <v>1404</v>
      </c>
      <c r="C771" s="34" t="s">
        <v>1403</v>
      </c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25"/>
      <c r="X771" s="25"/>
      <c r="Y771" s="34"/>
      <c r="Z771" s="34"/>
      <c r="AA771" s="34"/>
      <c r="AB771" s="34"/>
      <c r="AC771" s="34"/>
      <c r="AD771" s="34"/>
      <c r="AE771" s="25"/>
      <c r="AF771" s="25"/>
      <c r="AG771" s="34"/>
      <c r="AH771" s="34"/>
      <c r="AI771" s="37"/>
      <c r="AJ771" s="34"/>
      <c r="AK771" s="25"/>
      <c r="AL771" s="38"/>
      <c r="AM771" s="41"/>
      <c r="AN771" s="25"/>
      <c r="AO771" s="40"/>
      <c r="AP771" s="40"/>
    </row>
    <row r="772" ht="15.0" customHeight="1">
      <c r="A772" s="32" t="s">
        <v>797</v>
      </c>
      <c r="B772" s="34" t="s">
        <v>1404</v>
      </c>
      <c r="C772" s="34" t="s">
        <v>1403</v>
      </c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25"/>
      <c r="X772" s="25"/>
      <c r="Y772" s="34"/>
      <c r="Z772" s="34"/>
      <c r="AA772" s="34"/>
      <c r="AB772" s="34"/>
      <c r="AC772" s="34"/>
      <c r="AD772" s="34"/>
      <c r="AE772" s="25"/>
      <c r="AF772" s="25"/>
      <c r="AG772" s="34"/>
      <c r="AH772" s="34"/>
      <c r="AI772" s="37"/>
      <c r="AJ772" s="34"/>
      <c r="AK772" s="25"/>
      <c r="AL772" s="38"/>
      <c r="AM772" s="41"/>
      <c r="AN772" s="25"/>
      <c r="AO772" s="40"/>
      <c r="AP772" s="40"/>
    </row>
    <row r="773" ht="15.0" customHeight="1">
      <c r="A773" s="32" t="s">
        <v>798</v>
      </c>
      <c r="B773" s="34" t="s">
        <v>1404</v>
      </c>
      <c r="C773" s="34" t="s">
        <v>1403</v>
      </c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25"/>
      <c r="X773" s="25"/>
      <c r="Y773" s="34"/>
      <c r="Z773" s="34"/>
      <c r="AA773" s="34"/>
      <c r="AB773" s="34"/>
      <c r="AC773" s="34"/>
      <c r="AD773" s="34"/>
      <c r="AE773" s="25"/>
      <c r="AF773" s="25"/>
      <c r="AG773" s="34"/>
      <c r="AH773" s="34"/>
      <c r="AI773" s="37"/>
      <c r="AJ773" s="34"/>
      <c r="AK773" s="25"/>
      <c r="AL773" s="38"/>
      <c r="AM773" s="41"/>
      <c r="AN773" s="25"/>
      <c r="AO773" s="40"/>
      <c r="AP773" s="40"/>
    </row>
    <row r="774" ht="15.0" customHeight="1">
      <c r="A774" s="32" t="s">
        <v>799</v>
      </c>
      <c r="B774" s="34" t="s">
        <v>1404</v>
      </c>
      <c r="C774" s="34" t="s">
        <v>1403</v>
      </c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25"/>
      <c r="X774" s="25"/>
      <c r="Y774" s="34"/>
      <c r="Z774" s="34"/>
      <c r="AA774" s="34"/>
      <c r="AB774" s="34"/>
      <c r="AC774" s="34"/>
      <c r="AD774" s="34"/>
      <c r="AE774" s="25"/>
      <c r="AF774" s="25"/>
      <c r="AG774" s="34"/>
      <c r="AH774" s="34"/>
      <c r="AI774" s="37"/>
      <c r="AJ774" s="34"/>
      <c r="AK774" s="25"/>
      <c r="AL774" s="38"/>
      <c r="AM774" s="41"/>
      <c r="AN774" s="25"/>
      <c r="AO774" s="40"/>
      <c r="AP774" s="40"/>
    </row>
    <row r="775" ht="15.0" customHeight="1">
      <c r="A775" s="32" t="s">
        <v>800</v>
      </c>
      <c r="B775" s="34" t="s">
        <v>1404</v>
      </c>
      <c r="C775" s="34" t="s">
        <v>1403</v>
      </c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25"/>
      <c r="X775" s="25"/>
      <c r="Y775" s="34"/>
      <c r="Z775" s="34"/>
      <c r="AA775" s="34"/>
      <c r="AB775" s="34"/>
      <c r="AC775" s="34"/>
      <c r="AD775" s="34"/>
      <c r="AE775" s="25"/>
      <c r="AF775" s="25"/>
      <c r="AG775" s="34"/>
      <c r="AH775" s="34"/>
      <c r="AI775" s="37"/>
      <c r="AJ775" s="34"/>
      <c r="AK775" s="25"/>
      <c r="AL775" s="38"/>
      <c r="AM775" s="41"/>
      <c r="AN775" s="25"/>
      <c r="AO775" s="40"/>
      <c r="AP775" s="40"/>
    </row>
    <row r="776" ht="15.0" customHeight="1">
      <c r="A776" s="32" t="s">
        <v>801</v>
      </c>
      <c r="B776" s="34" t="s">
        <v>1404</v>
      </c>
      <c r="C776" s="34" t="s">
        <v>1403</v>
      </c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25"/>
      <c r="X776" s="25"/>
      <c r="Y776" s="34"/>
      <c r="Z776" s="34"/>
      <c r="AA776" s="34"/>
      <c r="AB776" s="34"/>
      <c r="AC776" s="34"/>
      <c r="AD776" s="34"/>
      <c r="AE776" s="25"/>
      <c r="AF776" s="25"/>
      <c r="AG776" s="34"/>
      <c r="AH776" s="34"/>
      <c r="AI776" s="37"/>
      <c r="AJ776" s="34"/>
      <c r="AK776" s="25"/>
      <c r="AL776" s="38"/>
      <c r="AM776" s="41"/>
      <c r="AN776" s="25"/>
      <c r="AO776" s="40"/>
      <c r="AP776" s="40"/>
    </row>
    <row r="777" ht="15.0" customHeight="1">
      <c r="A777" s="32" t="s">
        <v>802</v>
      </c>
      <c r="B777" s="34" t="s">
        <v>1404</v>
      </c>
      <c r="C777" s="34" t="s">
        <v>1403</v>
      </c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25"/>
      <c r="X777" s="25"/>
      <c r="Y777" s="34"/>
      <c r="Z777" s="34"/>
      <c r="AA777" s="34"/>
      <c r="AB777" s="34"/>
      <c r="AC777" s="34"/>
      <c r="AD777" s="34"/>
      <c r="AE777" s="25"/>
      <c r="AF777" s="25"/>
      <c r="AG777" s="34"/>
      <c r="AH777" s="34"/>
      <c r="AI777" s="37"/>
      <c r="AJ777" s="34"/>
      <c r="AK777" s="25"/>
      <c r="AL777" s="38"/>
      <c r="AM777" s="41"/>
      <c r="AN777" s="25"/>
      <c r="AO777" s="40"/>
      <c r="AP777" s="40"/>
    </row>
    <row r="778" ht="15.0" customHeight="1">
      <c r="A778" s="32" t="s">
        <v>803</v>
      </c>
      <c r="B778" s="34" t="s">
        <v>1404</v>
      </c>
      <c r="C778" s="34" t="s">
        <v>1403</v>
      </c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25"/>
      <c r="X778" s="25"/>
      <c r="Y778" s="34"/>
      <c r="Z778" s="34"/>
      <c r="AA778" s="34"/>
      <c r="AB778" s="34"/>
      <c r="AC778" s="34"/>
      <c r="AD778" s="34"/>
      <c r="AE778" s="25"/>
      <c r="AF778" s="25"/>
      <c r="AG778" s="34"/>
      <c r="AH778" s="34"/>
      <c r="AI778" s="37"/>
      <c r="AJ778" s="34"/>
      <c r="AK778" s="25"/>
      <c r="AL778" s="38"/>
      <c r="AM778" s="41"/>
      <c r="AN778" s="25"/>
      <c r="AO778" s="40"/>
      <c r="AP778" s="40"/>
    </row>
    <row r="779" ht="15.0" customHeight="1">
      <c r="A779" s="32" t="s">
        <v>804</v>
      </c>
      <c r="B779" s="34" t="s">
        <v>1404</v>
      </c>
      <c r="C779" s="34" t="s">
        <v>1403</v>
      </c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25"/>
      <c r="X779" s="25"/>
      <c r="Y779" s="34"/>
      <c r="Z779" s="34"/>
      <c r="AA779" s="34"/>
      <c r="AB779" s="34"/>
      <c r="AC779" s="34"/>
      <c r="AD779" s="34"/>
      <c r="AE779" s="25"/>
      <c r="AF779" s="25"/>
      <c r="AG779" s="34"/>
      <c r="AH779" s="34"/>
      <c r="AI779" s="37"/>
      <c r="AJ779" s="34"/>
      <c r="AK779" s="25"/>
      <c r="AL779" s="38"/>
      <c r="AM779" s="41"/>
      <c r="AN779" s="25"/>
      <c r="AO779" s="40"/>
      <c r="AP779" s="40"/>
    </row>
    <row r="780" ht="15.0" customHeight="1">
      <c r="A780" s="32" t="s">
        <v>805</v>
      </c>
      <c r="B780" s="34" t="s">
        <v>1404</v>
      </c>
      <c r="C780" s="34" t="s">
        <v>1403</v>
      </c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25"/>
      <c r="X780" s="25"/>
      <c r="Y780" s="34"/>
      <c r="Z780" s="34"/>
      <c r="AA780" s="34"/>
      <c r="AB780" s="34"/>
      <c r="AC780" s="34"/>
      <c r="AD780" s="34"/>
      <c r="AE780" s="25"/>
      <c r="AF780" s="25"/>
      <c r="AG780" s="34"/>
      <c r="AH780" s="34"/>
      <c r="AI780" s="37"/>
      <c r="AJ780" s="34"/>
      <c r="AK780" s="25"/>
      <c r="AL780" s="38"/>
      <c r="AM780" s="41"/>
      <c r="AN780" s="25"/>
      <c r="AO780" s="40"/>
      <c r="AP780" s="40"/>
    </row>
    <row r="781" ht="15.0" customHeight="1">
      <c r="A781" s="32" t="s">
        <v>806</v>
      </c>
      <c r="B781" s="34" t="s">
        <v>1404</v>
      </c>
      <c r="C781" s="34" t="s">
        <v>1403</v>
      </c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25"/>
      <c r="X781" s="25"/>
      <c r="Y781" s="34"/>
      <c r="Z781" s="34"/>
      <c r="AA781" s="34"/>
      <c r="AB781" s="34"/>
      <c r="AC781" s="34"/>
      <c r="AD781" s="34"/>
      <c r="AE781" s="25"/>
      <c r="AF781" s="25"/>
      <c r="AG781" s="34"/>
      <c r="AH781" s="34"/>
      <c r="AI781" s="37"/>
      <c r="AJ781" s="34"/>
      <c r="AK781" s="25"/>
      <c r="AL781" s="38"/>
      <c r="AM781" s="41"/>
      <c r="AN781" s="25"/>
      <c r="AO781" s="40"/>
      <c r="AP781" s="40"/>
    </row>
    <row r="782" ht="15.0" customHeight="1">
      <c r="A782" s="32" t="s">
        <v>807</v>
      </c>
      <c r="B782" s="34" t="s">
        <v>1404</v>
      </c>
      <c r="C782" s="34" t="s">
        <v>1403</v>
      </c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25"/>
      <c r="X782" s="25"/>
      <c r="Y782" s="34"/>
      <c r="Z782" s="34"/>
      <c r="AA782" s="34"/>
      <c r="AB782" s="34"/>
      <c r="AC782" s="34"/>
      <c r="AD782" s="34"/>
      <c r="AE782" s="25"/>
      <c r="AF782" s="25"/>
      <c r="AG782" s="34"/>
      <c r="AH782" s="34"/>
      <c r="AI782" s="37"/>
      <c r="AJ782" s="34"/>
      <c r="AK782" s="25"/>
      <c r="AL782" s="38"/>
      <c r="AM782" s="41"/>
      <c r="AN782" s="25"/>
      <c r="AO782" s="40"/>
      <c r="AP782" s="40"/>
    </row>
    <row r="783" ht="15.0" customHeight="1">
      <c r="A783" s="32" t="s">
        <v>808</v>
      </c>
      <c r="B783" s="34" t="s">
        <v>1404</v>
      </c>
      <c r="C783" s="34" t="s">
        <v>1403</v>
      </c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25"/>
      <c r="X783" s="25"/>
      <c r="Y783" s="34"/>
      <c r="Z783" s="34"/>
      <c r="AA783" s="34"/>
      <c r="AB783" s="34"/>
      <c r="AC783" s="34"/>
      <c r="AD783" s="34"/>
      <c r="AE783" s="25"/>
      <c r="AF783" s="25"/>
      <c r="AG783" s="34"/>
      <c r="AH783" s="34"/>
      <c r="AI783" s="37"/>
      <c r="AJ783" s="34"/>
      <c r="AK783" s="25"/>
      <c r="AL783" s="38"/>
      <c r="AM783" s="41"/>
      <c r="AN783" s="25"/>
      <c r="AO783" s="40"/>
      <c r="AP783" s="40"/>
    </row>
    <row r="784" ht="15.0" customHeight="1">
      <c r="A784" s="32" t="s">
        <v>809</v>
      </c>
      <c r="B784" s="34" t="s">
        <v>1404</v>
      </c>
      <c r="C784" s="34" t="s">
        <v>1403</v>
      </c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25"/>
      <c r="X784" s="25"/>
      <c r="Y784" s="34"/>
      <c r="Z784" s="34"/>
      <c r="AA784" s="34"/>
      <c r="AB784" s="34"/>
      <c r="AC784" s="34"/>
      <c r="AD784" s="34"/>
      <c r="AE784" s="25"/>
      <c r="AF784" s="25"/>
      <c r="AG784" s="34"/>
      <c r="AH784" s="34"/>
      <c r="AI784" s="37"/>
      <c r="AJ784" s="34"/>
      <c r="AK784" s="25"/>
      <c r="AL784" s="38"/>
      <c r="AM784" s="41"/>
      <c r="AN784" s="25"/>
      <c r="AO784" s="40"/>
      <c r="AP784" s="40"/>
    </row>
    <row r="785" ht="15.0" customHeight="1">
      <c r="A785" s="32" t="s">
        <v>810</v>
      </c>
      <c r="B785" s="34" t="s">
        <v>1404</v>
      </c>
      <c r="C785" s="34" t="s">
        <v>1403</v>
      </c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25"/>
      <c r="X785" s="25"/>
      <c r="Y785" s="34"/>
      <c r="Z785" s="34"/>
      <c r="AA785" s="34"/>
      <c r="AB785" s="34"/>
      <c r="AC785" s="34"/>
      <c r="AD785" s="34"/>
      <c r="AE785" s="25"/>
      <c r="AF785" s="25"/>
      <c r="AG785" s="34"/>
      <c r="AH785" s="34"/>
      <c r="AI785" s="37"/>
      <c r="AJ785" s="34"/>
      <c r="AK785" s="25"/>
      <c r="AL785" s="38"/>
      <c r="AM785" s="41"/>
      <c r="AN785" s="25"/>
      <c r="AO785" s="40"/>
      <c r="AP785" s="40"/>
    </row>
    <row r="786" ht="15.0" customHeight="1">
      <c r="A786" s="32" t="s">
        <v>811</v>
      </c>
      <c r="B786" s="34" t="s">
        <v>1404</v>
      </c>
      <c r="C786" s="34" t="s">
        <v>1403</v>
      </c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25"/>
      <c r="X786" s="25"/>
      <c r="Y786" s="34"/>
      <c r="Z786" s="34"/>
      <c r="AA786" s="34"/>
      <c r="AB786" s="34"/>
      <c r="AC786" s="34"/>
      <c r="AD786" s="34"/>
      <c r="AE786" s="25"/>
      <c r="AF786" s="25"/>
      <c r="AG786" s="34"/>
      <c r="AH786" s="34"/>
      <c r="AI786" s="37"/>
      <c r="AJ786" s="34"/>
      <c r="AK786" s="25"/>
      <c r="AL786" s="38"/>
      <c r="AM786" s="41"/>
      <c r="AN786" s="25"/>
      <c r="AO786" s="40"/>
      <c r="AP786" s="40"/>
    </row>
    <row r="787" ht="15.0" customHeight="1">
      <c r="A787" s="32" t="s">
        <v>812</v>
      </c>
      <c r="B787" s="34" t="s">
        <v>1404</v>
      </c>
      <c r="C787" s="34" t="s">
        <v>1403</v>
      </c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25"/>
      <c r="X787" s="25"/>
      <c r="Y787" s="34"/>
      <c r="Z787" s="34"/>
      <c r="AA787" s="34"/>
      <c r="AB787" s="34"/>
      <c r="AC787" s="34"/>
      <c r="AD787" s="34"/>
      <c r="AE787" s="25"/>
      <c r="AF787" s="25"/>
      <c r="AG787" s="34"/>
      <c r="AH787" s="34"/>
      <c r="AI787" s="37"/>
      <c r="AJ787" s="34"/>
      <c r="AK787" s="25"/>
      <c r="AL787" s="38"/>
      <c r="AM787" s="41"/>
      <c r="AN787" s="25"/>
      <c r="AO787" s="40"/>
      <c r="AP787" s="40"/>
    </row>
    <row r="788" ht="15.0" customHeight="1">
      <c r="A788" s="32" t="s">
        <v>813</v>
      </c>
      <c r="B788" s="34" t="s">
        <v>1404</v>
      </c>
      <c r="C788" s="34" t="s">
        <v>1403</v>
      </c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25"/>
      <c r="X788" s="25"/>
      <c r="Y788" s="34"/>
      <c r="Z788" s="34"/>
      <c r="AA788" s="34"/>
      <c r="AB788" s="34"/>
      <c r="AC788" s="34"/>
      <c r="AD788" s="34"/>
      <c r="AE788" s="25"/>
      <c r="AF788" s="25"/>
      <c r="AG788" s="34"/>
      <c r="AH788" s="34"/>
      <c r="AI788" s="37"/>
      <c r="AJ788" s="34"/>
      <c r="AK788" s="25"/>
      <c r="AL788" s="38"/>
      <c r="AM788" s="41"/>
      <c r="AN788" s="25"/>
      <c r="AO788" s="40"/>
      <c r="AP788" s="40"/>
    </row>
    <row r="789" ht="15.0" customHeight="1">
      <c r="A789" s="32" t="s">
        <v>814</v>
      </c>
      <c r="B789" s="34" t="s">
        <v>1404</v>
      </c>
      <c r="C789" s="34" t="s">
        <v>1403</v>
      </c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25"/>
      <c r="X789" s="25"/>
      <c r="Y789" s="34"/>
      <c r="Z789" s="34"/>
      <c r="AA789" s="34"/>
      <c r="AB789" s="34"/>
      <c r="AC789" s="34"/>
      <c r="AD789" s="34"/>
      <c r="AE789" s="25"/>
      <c r="AF789" s="25"/>
      <c r="AG789" s="34"/>
      <c r="AH789" s="34"/>
      <c r="AI789" s="37"/>
      <c r="AJ789" s="34"/>
      <c r="AK789" s="25"/>
      <c r="AL789" s="38"/>
      <c r="AM789" s="41"/>
      <c r="AN789" s="25"/>
      <c r="AO789" s="40"/>
      <c r="AP789" s="40"/>
    </row>
    <row r="790" ht="15.0" customHeight="1">
      <c r="A790" s="32" t="s">
        <v>815</v>
      </c>
      <c r="B790" s="34" t="s">
        <v>1404</v>
      </c>
      <c r="C790" s="34" t="s">
        <v>1403</v>
      </c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25"/>
      <c r="X790" s="25"/>
      <c r="Y790" s="34"/>
      <c r="Z790" s="34"/>
      <c r="AA790" s="34"/>
      <c r="AB790" s="34"/>
      <c r="AC790" s="34"/>
      <c r="AD790" s="34"/>
      <c r="AE790" s="25"/>
      <c r="AF790" s="25"/>
      <c r="AG790" s="34"/>
      <c r="AH790" s="34"/>
      <c r="AI790" s="37"/>
      <c r="AJ790" s="34"/>
      <c r="AK790" s="25"/>
      <c r="AL790" s="38"/>
      <c r="AM790" s="41"/>
      <c r="AN790" s="25"/>
      <c r="AO790" s="40"/>
      <c r="AP790" s="40"/>
    </row>
    <row r="791" ht="15.0" customHeight="1">
      <c r="A791" s="32" t="s">
        <v>816</v>
      </c>
      <c r="B791" s="34" t="s">
        <v>1404</v>
      </c>
      <c r="C791" s="34" t="s">
        <v>1403</v>
      </c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25"/>
      <c r="X791" s="25"/>
      <c r="Y791" s="34"/>
      <c r="Z791" s="34"/>
      <c r="AA791" s="34"/>
      <c r="AB791" s="34"/>
      <c r="AC791" s="34"/>
      <c r="AD791" s="34"/>
      <c r="AE791" s="25"/>
      <c r="AF791" s="25"/>
      <c r="AG791" s="34"/>
      <c r="AH791" s="34"/>
      <c r="AI791" s="37"/>
      <c r="AJ791" s="34"/>
      <c r="AK791" s="25"/>
      <c r="AL791" s="38"/>
      <c r="AM791" s="41"/>
      <c r="AN791" s="25"/>
      <c r="AO791" s="40"/>
      <c r="AP791" s="40"/>
    </row>
    <row r="792" ht="15.0" customHeight="1">
      <c r="A792" s="32" t="s">
        <v>817</v>
      </c>
      <c r="B792" s="34" t="s">
        <v>1404</v>
      </c>
      <c r="C792" s="34" t="s">
        <v>1403</v>
      </c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25"/>
      <c r="X792" s="25"/>
      <c r="Y792" s="34"/>
      <c r="Z792" s="34"/>
      <c r="AA792" s="34"/>
      <c r="AB792" s="34"/>
      <c r="AC792" s="34"/>
      <c r="AD792" s="34"/>
      <c r="AE792" s="25"/>
      <c r="AF792" s="25"/>
      <c r="AG792" s="34"/>
      <c r="AH792" s="34"/>
      <c r="AI792" s="37"/>
      <c r="AJ792" s="34"/>
      <c r="AK792" s="25"/>
      <c r="AL792" s="38"/>
      <c r="AM792" s="41"/>
      <c r="AN792" s="25"/>
      <c r="AO792" s="40"/>
      <c r="AP792" s="40"/>
    </row>
    <row r="793" ht="15.0" customHeight="1">
      <c r="A793" s="32" t="s">
        <v>818</v>
      </c>
      <c r="B793" s="34" t="s">
        <v>1404</v>
      </c>
      <c r="C793" s="34" t="s">
        <v>1403</v>
      </c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25"/>
      <c r="X793" s="25"/>
      <c r="Y793" s="34"/>
      <c r="Z793" s="34"/>
      <c r="AA793" s="34"/>
      <c r="AB793" s="34"/>
      <c r="AC793" s="34"/>
      <c r="AD793" s="34"/>
      <c r="AE793" s="25"/>
      <c r="AF793" s="25"/>
      <c r="AG793" s="34"/>
      <c r="AH793" s="34"/>
      <c r="AI793" s="37"/>
      <c r="AJ793" s="34"/>
      <c r="AK793" s="25"/>
      <c r="AL793" s="38"/>
      <c r="AM793" s="41"/>
      <c r="AN793" s="25"/>
      <c r="AO793" s="40"/>
      <c r="AP793" s="40"/>
    </row>
    <row r="794" ht="15.0" customHeight="1">
      <c r="A794" s="32" t="s">
        <v>819</v>
      </c>
      <c r="B794" s="34" t="s">
        <v>1404</v>
      </c>
      <c r="C794" s="34" t="s">
        <v>1403</v>
      </c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25"/>
      <c r="X794" s="25"/>
      <c r="Y794" s="34"/>
      <c r="Z794" s="34"/>
      <c r="AA794" s="34"/>
      <c r="AB794" s="34"/>
      <c r="AC794" s="34"/>
      <c r="AD794" s="34"/>
      <c r="AE794" s="25"/>
      <c r="AF794" s="25"/>
      <c r="AG794" s="34"/>
      <c r="AH794" s="34"/>
      <c r="AI794" s="37"/>
      <c r="AJ794" s="34"/>
      <c r="AK794" s="25"/>
      <c r="AL794" s="38"/>
      <c r="AM794" s="41"/>
      <c r="AN794" s="25"/>
      <c r="AO794" s="40"/>
      <c r="AP794" s="40"/>
    </row>
    <row r="795" ht="15.0" customHeight="1">
      <c r="A795" s="32" t="s">
        <v>820</v>
      </c>
      <c r="B795" s="34" t="s">
        <v>1404</v>
      </c>
      <c r="C795" s="34" t="s">
        <v>1403</v>
      </c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25"/>
      <c r="X795" s="25"/>
      <c r="Y795" s="34"/>
      <c r="Z795" s="34"/>
      <c r="AA795" s="34"/>
      <c r="AB795" s="34"/>
      <c r="AC795" s="34"/>
      <c r="AD795" s="34"/>
      <c r="AE795" s="25"/>
      <c r="AF795" s="25"/>
      <c r="AG795" s="34"/>
      <c r="AH795" s="34"/>
      <c r="AI795" s="37"/>
      <c r="AJ795" s="34"/>
      <c r="AK795" s="25"/>
      <c r="AL795" s="38"/>
      <c r="AM795" s="41"/>
      <c r="AN795" s="25"/>
      <c r="AO795" s="40"/>
      <c r="AP795" s="40"/>
    </row>
    <row r="796" ht="15.0" customHeight="1">
      <c r="A796" s="32" t="s">
        <v>821</v>
      </c>
      <c r="B796" s="34" t="s">
        <v>1404</v>
      </c>
      <c r="C796" s="34" t="s">
        <v>1403</v>
      </c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25"/>
      <c r="X796" s="25"/>
      <c r="Y796" s="34"/>
      <c r="Z796" s="34"/>
      <c r="AA796" s="34"/>
      <c r="AB796" s="34"/>
      <c r="AC796" s="34"/>
      <c r="AD796" s="34"/>
      <c r="AE796" s="25"/>
      <c r="AF796" s="25"/>
      <c r="AG796" s="34"/>
      <c r="AH796" s="34"/>
      <c r="AI796" s="37"/>
      <c r="AJ796" s="34"/>
      <c r="AK796" s="25"/>
      <c r="AL796" s="38"/>
      <c r="AM796" s="41"/>
      <c r="AN796" s="25"/>
      <c r="AO796" s="40"/>
      <c r="AP796" s="40"/>
    </row>
    <row r="797" ht="15.0" customHeight="1">
      <c r="A797" s="32" t="s">
        <v>822</v>
      </c>
      <c r="B797" s="34" t="s">
        <v>1404</v>
      </c>
      <c r="C797" s="34" t="s">
        <v>1403</v>
      </c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25"/>
      <c r="X797" s="25"/>
      <c r="Y797" s="34"/>
      <c r="Z797" s="34"/>
      <c r="AA797" s="34"/>
      <c r="AB797" s="34"/>
      <c r="AC797" s="34"/>
      <c r="AD797" s="34"/>
      <c r="AE797" s="25"/>
      <c r="AF797" s="25"/>
      <c r="AG797" s="34"/>
      <c r="AH797" s="34"/>
      <c r="AI797" s="37"/>
      <c r="AJ797" s="34"/>
      <c r="AK797" s="25"/>
      <c r="AL797" s="38"/>
      <c r="AM797" s="41"/>
      <c r="AN797" s="25"/>
      <c r="AO797" s="40"/>
      <c r="AP797" s="40"/>
    </row>
    <row r="798" ht="15.0" customHeight="1">
      <c r="A798" s="32" t="s">
        <v>823</v>
      </c>
      <c r="B798" s="34" t="s">
        <v>1404</v>
      </c>
      <c r="C798" s="34" t="s">
        <v>1403</v>
      </c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25"/>
      <c r="X798" s="25"/>
      <c r="Y798" s="34"/>
      <c r="Z798" s="34"/>
      <c r="AA798" s="34"/>
      <c r="AB798" s="34"/>
      <c r="AC798" s="34"/>
      <c r="AD798" s="34"/>
      <c r="AE798" s="25"/>
      <c r="AF798" s="25"/>
      <c r="AG798" s="34"/>
      <c r="AH798" s="34"/>
      <c r="AI798" s="37"/>
      <c r="AJ798" s="34"/>
      <c r="AK798" s="25"/>
      <c r="AL798" s="38"/>
      <c r="AM798" s="41"/>
      <c r="AN798" s="25"/>
      <c r="AO798" s="40"/>
      <c r="AP798" s="40"/>
    </row>
    <row r="799" ht="15.0" customHeight="1">
      <c r="A799" s="32" t="s">
        <v>824</v>
      </c>
      <c r="B799" s="34" t="s">
        <v>1404</v>
      </c>
      <c r="C799" s="34" t="s">
        <v>1403</v>
      </c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25"/>
      <c r="X799" s="25"/>
      <c r="Y799" s="34"/>
      <c r="Z799" s="34"/>
      <c r="AA799" s="34"/>
      <c r="AB799" s="34"/>
      <c r="AC799" s="34"/>
      <c r="AD799" s="34"/>
      <c r="AE799" s="25"/>
      <c r="AF799" s="25"/>
      <c r="AG799" s="34"/>
      <c r="AH799" s="34"/>
      <c r="AI799" s="37"/>
      <c r="AJ799" s="34"/>
      <c r="AK799" s="25"/>
      <c r="AL799" s="38"/>
      <c r="AM799" s="41"/>
      <c r="AN799" s="25"/>
      <c r="AO799" s="40"/>
      <c r="AP799" s="40"/>
    </row>
    <row r="800" ht="15.0" customHeight="1">
      <c r="A800" s="32" t="s">
        <v>825</v>
      </c>
      <c r="B800" s="34" t="s">
        <v>1404</v>
      </c>
      <c r="C800" s="34" t="s">
        <v>1403</v>
      </c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25"/>
      <c r="X800" s="25"/>
      <c r="Y800" s="34"/>
      <c r="Z800" s="34"/>
      <c r="AA800" s="34"/>
      <c r="AB800" s="34"/>
      <c r="AC800" s="34"/>
      <c r="AD800" s="34"/>
      <c r="AE800" s="25"/>
      <c r="AF800" s="25"/>
      <c r="AG800" s="34"/>
      <c r="AH800" s="34"/>
      <c r="AI800" s="37"/>
      <c r="AJ800" s="34"/>
      <c r="AK800" s="25"/>
      <c r="AL800" s="38"/>
      <c r="AM800" s="41"/>
      <c r="AN800" s="25"/>
      <c r="AO800" s="40"/>
      <c r="AP800" s="40"/>
    </row>
    <row r="801" ht="15.0" customHeight="1">
      <c r="A801" s="32" t="s">
        <v>826</v>
      </c>
      <c r="B801" s="34" t="s">
        <v>1404</v>
      </c>
      <c r="C801" s="34" t="s">
        <v>1403</v>
      </c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25"/>
      <c r="X801" s="25"/>
      <c r="Y801" s="34"/>
      <c r="Z801" s="34"/>
      <c r="AA801" s="34"/>
      <c r="AB801" s="34"/>
      <c r="AC801" s="34"/>
      <c r="AD801" s="34"/>
      <c r="AE801" s="25"/>
      <c r="AF801" s="25"/>
      <c r="AG801" s="34"/>
      <c r="AH801" s="34"/>
      <c r="AI801" s="37"/>
      <c r="AJ801" s="34"/>
      <c r="AK801" s="25"/>
      <c r="AL801" s="38"/>
      <c r="AM801" s="41"/>
      <c r="AN801" s="25"/>
      <c r="AO801" s="40"/>
      <c r="AP801" s="40"/>
    </row>
    <row r="802" ht="15.0" customHeight="1">
      <c r="A802" s="32" t="s">
        <v>827</v>
      </c>
      <c r="B802" s="34" t="s">
        <v>1404</v>
      </c>
      <c r="C802" s="34" t="s">
        <v>1403</v>
      </c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25"/>
      <c r="X802" s="25"/>
      <c r="Y802" s="34"/>
      <c r="Z802" s="34"/>
      <c r="AA802" s="34"/>
      <c r="AB802" s="34"/>
      <c r="AC802" s="34"/>
      <c r="AD802" s="34"/>
      <c r="AE802" s="25"/>
      <c r="AF802" s="25"/>
      <c r="AG802" s="34"/>
      <c r="AH802" s="34"/>
      <c r="AI802" s="37"/>
      <c r="AJ802" s="34"/>
      <c r="AK802" s="25"/>
      <c r="AL802" s="38"/>
      <c r="AM802" s="41"/>
      <c r="AN802" s="25"/>
      <c r="AO802" s="40"/>
      <c r="AP802" s="40"/>
    </row>
    <row r="803" ht="15.0" customHeight="1">
      <c r="A803" s="32" t="s">
        <v>828</v>
      </c>
      <c r="B803" s="34" t="s">
        <v>1404</v>
      </c>
      <c r="C803" s="34" t="s">
        <v>1403</v>
      </c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25"/>
      <c r="X803" s="25"/>
      <c r="Y803" s="34"/>
      <c r="Z803" s="34"/>
      <c r="AA803" s="34"/>
      <c r="AB803" s="34"/>
      <c r="AC803" s="34"/>
      <c r="AD803" s="34"/>
      <c r="AE803" s="25"/>
      <c r="AF803" s="25"/>
      <c r="AG803" s="34"/>
      <c r="AH803" s="34"/>
      <c r="AI803" s="37"/>
      <c r="AJ803" s="34"/>
      <c r="AK803" s="25"/>
      <c r="AL803" s="38"/>
      <c r="AM803" s="41"/>
      <c r="AN803" s="25"/>
      <c r="AO803" s="40"/>
      <c r="AP803" s="40"/>
    </row>
    <row r="804" ht="15.0" customHeight="1">
      <c r="A804" s="32" t="s">
        <v>829</v>
      </c>
      <c r="B804" s="34" t="s">
        <v>1404</v>
      </c>
      <c r="C804" s="34" t="s">
        <v>1403</v>
      </c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25"/>
      <c r="X804" s="25"/>
      <c r="Y804" s="34"/>
      <c r="Z804" s="34"/>
      <c r="AA804" s="34"/>
      <c r="AB804" s="34"/>
      <c r="AC804" s="34"/>
      <c r="AD804" s="34"/>
      <c r="AE804" s="25"/>
      <c r="AF804" s="25"/>
      <c r="AG804" s="34"/>
      <c r="AH804" s="34"/>
      <c r="AI804" s="37"/>
      <c r="AJ804" s="34"/>
      <c r="AK804" s="25"/>
      <c r="AL804" s="38"/>
      <c r="AM804" s="41"/>
      <c r="AN804" s="25"/>
      <c r="AO804" s="40"/>
      <c r="AP804" s="40"/>
    </row>
    <row r="805" ht="15.0" customHeight="1">
      <c r="A805" s="32" t="s">
        <v>830</v>
      </c>
      <c r="B805" s="34" t="s">
        <v>1404</v>
      </c>
      <c r="C805" s="34" t="s">
        <v>1403</v>
      </c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25"/>
      <c r="X805" s="25"/>
      <c r="Y805" s="34"/>
      <c r="Z805" s="34"/>
      <c r="AA805" s="34"/>
      <c r="AB805" s="34"/>
      <c r="AC805" s="34"/>
      <c r="AD805" s="34"/>
      <c r="AE805" s="25"/>
      <c r="AF805" s="25"/>
      <c r="AG805" s="34"/>
      <c r="AH805" s="34"/>
      <c r="AI805" s="37"/>
      <c r="AJ805" s="34"/>
      <c r="AK805" s="25"/>
      <c r="AL805" s="38"/>
      <c r="AM805" s="41"/>
      <c r="AN805" s="25"/>
      <c r="AO805" s="40"/>
      <c r="AP805" s="40"/>
    </row>
    <row r="806" ht="15.0" customHeight="1">
      <c r="A806" s="32" t="s">
        <v>831</v>
      </c>
      <c r="B806" s="34" t="s">
        <v>1404</v>
      </c>
      <c r="C806" s="34" t="s">
        <v>1403</v>
      </c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25"/>
      <c r="X806" s="25"/>
      <c r="Y806" s="34"/>
      <c r="Z806" s="34"/>
      <c r="AA806" s="34"/>
      <c r="AB806" s="34"/>
      <c r="AC806" s="34"/>
      <c r="AD806" s="34"/>
      <c r="AE806" s="25"/>
      <c r="AF806" s="25"/>
      <c r="AG806" s="34"/>
      <c r="AH806" s="34"/>
      <c r="AI806" s="37"/>
      <c r="AJ806" s="34"/>
      <c r="AK806" s="25"/>
      <c r="AL806" s="38"/>
      <c r="AM806" s="41"/>
      <c r="AN806" s="25"/>
      <c r="AO806" s="40"/>
      <c r="AP806" s="40"/>
    </row>
    <row r="807" ht="15.0" customHeight="1">
      <c r="A807" s="32" t="s">
        <v>832</v>
      </c>
      <c r="B807" s="34" t="s">
        <v>1404</v>
      </c>
      <c r="C807" s="34" t="s">
        <v>1403</v>
      </c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25"/>
      <c r="X807" s="25"/>
      <c r="Y807" s="34"/>
      <c r="Z807" s="34"/>
      <c r="AA807" s="34"/>
      <c r="AB807" s="34"/>
      <c r="AC807" s="34"/>
      <c r="AD807" s="34"/>
      <c r="AE807" s="25"/>
      <c r="AF807" s="25"/>
      <c r="AG807" s="34"/>
      <c r="AH807" s="34"/>
      <c r="AI807" s="37"/>
      <c r="AJ807" s="34"/>
      <c r="AK807" s="25"/>
      <c r="AL807" s="38"/>
      <c r="AM807" s="41"/>
      <c r="AN807" s="25"/>
      <c r="AO807" s="40"/>
      <c r="AP807" s="40"/>
    </row>
    <row r="808" ht="15.0" customHeight="1">
      <c r="A808" s="32" t="s">
        <v>833</v>
      </c>
      <c r="B808" s="34" t="s">
        <v>1404</v>
      </c>
      <c r="C808" s="34" t="s">
        <v>1403</v>
      </c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25"/>
      <c r="X808" s="25"/>
      <c r="Y808" s="34"/>
      <c r="Z808" s="34"/>
      <c r="AA808" s="34"/>
      <c r="AB808" s="34"/>
      <c r="AC808" s="34"/>
      <c r="AD808" s="34"/>
      <c r="AE808" s="25"/>
      <c r="AF808" s="25"/>
      <c r="AG808" s="34"/>
      <c r="AH808" s="34"/>
      <c r="AI808" s="37"/>
      <c r="AJ808" s="34"/>
      <c r="AK808" s="25"/>
      <c r="AL808" s="38"/>
      <c r="AM808" s="41"/>
      <c r="AN808" s="25"/>
      <c r="AO808" s="40"/>
      <c r="AP808" s="40"/>
    </row>
    <row r="809" ht="15.0" customHeight="1">
      <c r="A809" s="32" t="s">
        <v>834</v>
      </c>
      <c r="B809" s="34" t="s">
        <v>1404</v>
      </c>
      <c r="C809" s="34" t="s">
        <v>1403</v>
      </c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25"/>
      <c r="X809" s="25"/>
      <c r="Y809" s="34"/>
      <c r="Z809" s="34"/>
      <c r="AA809" s="34"/>
      <c r="AB809" s="34"/>
      <c r="AC809" s="34"/>
      <c r="AD809" s="34"/>
      <c r="AE809" s="25"/>
      <c r="AF809" s="25"/>
      <c r="AG809" s="34"/>
      <c r="AH809" s="34"/>
      <c r="AI809" s="37"/>
      <c r="AJ809" s="34"/>
      <c r="AK809" s="25"/>
      <c r="AL809" s="38"/>
      <c r="AM809" s="41"/>
      <c r="AN809" s="25"/>
      <c r="AO809" s="40"/>
      <c r="AP809" s="40"/>
    </row>
    <row r="810" ht="15.0" customHeight="1">
      <c r="A810" s="32" t="s">
        <v>835</v>
      </c>
      <c r="B810" s="34" t="s">
        <v>1404</v>
      </c>
      <c r="C810" s="34" t="s">
        <v>1403</v>
      </c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25"/>
      <c r="X810" s="25"/>
      <c r="Y810" s="34"/>
      <c r="Z810" s="34"/>
      <c r="AA810" s="34"/>
      <c r="AB810" s="34"/>
      <c r="AC810" s="34"/>
      <c r="AD810" s="34"/>
      <c r="AE810" s="25"/>
      <c r="AF810" s="25"/>
      <c r="AG810" s="34"/>
      <c r="AH810" s="34"/>
      <c r="AI810" s="37"/>
      <c r="AJ810" s="34"/>
      <c r="AK810" s="25"/>
      <c r="AL810" s="38"/>
      <c r="AM810" s="41"/>
      <c r="AN810" s="25"/>
      <c r="AO810" s="40"/>
      <c r="AP810" s="40"/>
    </row>
    <row r="811" ht="15.0" customHeight="1">
      <c r="A811" s="32" t="s">
        <v>836</v>
      </c>
      <c r="B811" s="34" t="s">
        <v>1404</v>
      </c>
      <c r="C811" s="34" t="s">
        <v>1403</v>
      </c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25"/>
      <c r="X811" s="25"/>
      <c r="Y811" s="34"/>
      <c r="Z811" s="34"/>
      <c r="AA811" s="34"/>
      <c r="AB811" s="34"/>
      <c r="AC811" s="34"/>
      <c r="AD811" s="34"/>
      <c r="AE811" s="25"/>
      <c r="AF811" s="25"/>
      <c r="AG811" s="34"/>
      <c r="AH811" s="34"/>
      <c r="AI811" s="37"/>
      <c r="AJ811" s="34"/>
      <c r="AK811" s="25"/>
      <c r="AL811" s="38"/>
      <c r="AM811" s="41"/>
      <c r="AN811" s="25"/>
      <c r="AO811" s="40"/>
      <c r="AP811" s="40"/>
    </row>
    <row r="812" ht="15.0" customHeight="1">
      <c r="A812" s="32" t="s">
        <v>837</v>
      </c>
      <c r="B812" s="34" t="s">
        <v>1404</v>
      </c>
      <c r="C812" s="34" t="s">
        <v>1403</v>
      </c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25"/>
      <c r="X812" s="25"/>
      <c r="Y812" s="34"/>
      <c r="Z812" s="34"/>
      <c r="AA812" s="34"/>
      <c r="AB812" s="34"/>
      <c r="AC812" s="34"/>
      <c r="AD812" s="34"/>
      <c r="AE812" s="25"/>
      <c r="AF812" s="25"/>
      <c r="AG812" s="34"/>
      <c r="AH812" s="34"/>
      <c r="AI812" s="37"/>
      <c r="AJ812" s="34"/>
      <c r="AK812" s="25"/>
      <c r="AL812" s="38"/>
      <c r="AM812" s="41"/>
      <c r="AN812" s="25"/>
      <c r="AO812" s="40"/>
      <c r="AP812" s="40"/>
    </row>
    <row r="813" ht="15.0" customHeight="1">
      <c r="A813" s="32" t="s">
        <v>838</v>
      </c>
      <c r="B813" s="34" t="s">
        <v>1404</v>
      </c>
      <c r="C813" s="34" t="s">
        <v>1403</v>
      </c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25"/>
      <c r="X813" s="25"/>
      <c r="Y813" s="34"/>
      <c r="Z813" s="34"/>
      <c r="AA813" s="34"/>
      <c r="AB813" s="34"/>
      <c r="AC813" s="34"/>
      <c r="AD813" s="34"/>
      <c r="AE813" s="25"/>
      <c r="AF813" s="25"/>
      <c r="AG813" s="34"/>
      <c r="AH813" s="34"/>
      <c r="AI813" s="37"/>
      <c r="AJ813" s="34"/>
      <c r="AK813" s="25"/>
      <c r="AL813" s="38"/>
      <c r="AM813" s="41"/>
      <c r="AN813" s="25"/>
      <c r="AO813" s="40"/>
      <c r="AP813" s="40"/>
    </row>
    <row r="814" ht="15.0" customHeight="1">
      <c r="A814" s="32" t="s">
        <v>839</v>
      </c>
      <c r="B814" s="34" t="s">
        <v>1404</v>
      </c>
      <c r="C814" s="34" t="s">
        <v>1403</v>
      </c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25"/>
      <c r="X814" s="25"/>
      <c r="Y814" s="34"/>
      <c r="Z814" s="34"/>
      <c r="AA814" s="34"/>
      <c r="AB814" s="34"/>
      <c r="AC814" s="34"/>
      <c r="AD814" s="34"/>
      <c r="AE814" s="25"/>
      <c r="AF814" s="25"/>
      <c r="AG814" s="34"/>
      <c r="AH814" s="34"/>
      <c r="AI814" s="37"/>
      <c r="AJ814" s="34"/>
      <c r="AK814" s="25"/>
      <c r="AL814" s="38"/>
      <c r="AM814" s="41"/>
      <c r="AN814" s="25"/>
      <c r="AO814" s="40"/>
      <c r="AP814" s="40"/>
    </row>
    <row r="815" ht="15.0" customHeight="1">
      <c r="A815" s="32" t="s">
        <v>840</v>
      </c>
      <c r="B815" s="34" t="s">
        <v>1404</v>
      </c>
      <c r="C815" s="34" t="s">
        <v>1403</v>
      </c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25"/>
      <c r="X815" s="25"/>
      <c r="Y815" s="34"/>
      <c r="Z815" s="34"/>
      <c r="AA815" s="34"/>
      <c r="AB815" s="34"/>
      <c r="AC815" s="34"/>
      <c r="AD815" s="34"/>
      <c r="AE815" s="25"/>
      <c r="AF815" s="25"/>
      <c r="AG815" s="34"/>
      <c r="AH815" s="34"/>
      <c r="AI815" s="37"/>
      <c r="AJ815" s="34"/>
      <c r="AK815" s="25"/>
      <c r="AL815" s="38"/>
      <c r="AM815" s="41"/>
      <c r="AN815" s="25"/>
      <c r="AO815" s="40"/>
      <c r="AP815" s="40"/>
    </row>
    <row r="816" ht="15.0" customHeight="1">
      <c r="A816" s="32" t="s">
        <v>841</v>
      </c>
      <c r="B816" s="34" t="s">
        <v>1404</v>
      </c>
      <c r="C816" s="34" t="s">
        <v>1403</v>
      </c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25"/>
      <c r="X816" s="25"/>
      <c r="Y816" s="34"/>
      <c r="Z816" s="34"/>
      <c r="AA816" s="34"/>
      <c r="AB816" s="34"/>
      <c r="AC816" s="34"/>
      <c r="AD816" s="34"/>
      <c r="AE816" s="25"/>
      <c r="AF816" s="25"/>
      <c r="AG816" s="34"/>
      <c r="AH816" s="34"/>
      <c r="AI816" s="37"/>
      <c r="AJ816" s="34"/>
      <c r="AK816" s="25"/>
      <c r="AL816" s="38"/>
      <c r="AM816" s="41"/>
      <c r="AN816" s="25"/>
      <c r="AO816" s="40"/>
      <c r="AP816" s="40"/>
    </row>
    <row r="817" ht="15.0" customHeight="1">
      <c r="A817" s="32" t="s">
        <v>842</v>
      </c>
      <c r="B817" s="34" t="s">
        <v>1404</v>
      </c>
      <c r="C817" s="34" t="s">
        <v>1403</v>
      </c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25"/>
      <c r="X817" s="25"/>
      <c r="Y817" s="34"/>
      <c r="Z817" s="34"/>
      <c r="AA817" s="34"/>
      <c r="AB817" s="34"/>
      <c r="AC817" s="34"/>
      <c r="AD817" s="34"/>
      <c r="AE817" s="25"/>
      <c r="AF817" s="25"/>
      <c r="AG817" s="34"/>
      <c r="AH817" s="34"/>
      <c r="AI817" s="37"/>
      <c r="AJ817" s="34"/>
      <c r="AK817" s="25"/>
      <c r="AL817" s="38"/>
      <c r="AM817" s="41"/>
      <c r="AN817" s="25"/>
      <c r="AO817" s="40"/>
      <c r="AP817" s="40"/>
    </row>
    <row r="818" ht="15.0" customHeight="1">
      <c r="A818" s="32" t="s">
        <v>843</v>
      </c>
      <c r="B818" s="34" t="s">
        <v>1404</v>
      </c>
      <c r="C818" s="34" t="s">
        <v>1403</v>
      </c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25"/>
      <c r="X818" s="25"/>
      <c r="Y818" s="34"/>
      <c r="Z818" s="34"/>
      <c r="AA818" s="34"/>
      <c r="AB818" s="34"/>
      <c r="AC818" s="34"/>
      <c r="AD818" s="34"/>
      <c r="AE818" s="25"/>
      <c r="AF818" s="25"/>
      <c r="AG818" s="34"/>
      <c r="AH818" s="34"/>
      <c r="AI818" s="37"/>
      <c r="AJ818" s="34"/>
      <c r="AK818" s="25"/>
      <c r="AL818" s="38"/>
      <c r="AM818" s="41"/>
      <c r="AN818" s="25"/>
      <c r="AO818" s="40"/>
      <c r="AP818" s="40"/>
    </row>
    <row r="819" ht="15.0" customHeight="1">
      <c r="A819" s="32" t="s">
        <v>844</v>
      </c>
      <c r="B819" s="34" t="s">
        <v>1404</v>
      </c>
      <c r="C819" s="34" t="s">
        <v>1403</v>
      </c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25"/>
      <c r="X819" s="25"/>
      <c r="Y819" s="34"/>
      <c r="Z819" s="34"/>
      <c r="AA819" s="34"/>
      <c r="AB819" s="34"/>
      <c r="AC819" s="34"/>
      <c r="AD819" s="34"/>
      <c r="AE819" s="25"/>
      <c r="AF819" s="25"/>
      <c r="AG819" s="34"/>
      <c r="AH819" s="34"/>
      <c r="AI819" s="37"/>
      <c r="AJ819" s="34"/>
      <c r="AK819" s="25"/>
      <c r="AL819" s="38"/>
      <c r="AM819" s="41"/>
      <c r="AN819" s="25"/>
      <c r="AO819" s="40"/>
      <c r="AP819" s="40"/>
    </row>
    <row r="820" ht="15.0" customHeight="1">
      <c r="A820" s="32" t="s">
        <v>845</v>
      </c>
      <c r="B820" s="34" t="s">
        <v>1404</v>
      </c>
      <c r="C820" s="34" t="s">
        <v>1403</v>
      </c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25"/>
      <c r="X820" s="25"/>
      <c r="Y820" s="34"/>
      <c r="Z820" s="34"/>
      <c r="AA820" s="34"/>
      <c r="AB820" s="34"/>
      <c r="AC820" s="34"/>
      <c r="AD820" s="34"/>
      <c r="AE820" s="25"/>
      <c r="AF820" s="25"/>
      <c r="AG820" s="34"/>
      <c r="AH820" s="34"/>
      <c r="AI820" s="37"/>
      <c r="AJ820" s="34"/>
      <c r="AK820" s="25"/>
      <c r="AL820" s="38"/>
      <c r="AM820" s="41"/>
      <c r="AN820" s="25"/>
      <c r="AO820" s="40"/>
      <c r="AP820" s="40"/>
    </row>
    <row r="821" ht="15.0" customHeight="1">
      <c r="A821" s="32" t="s">
        <v>846</v>
      </c>
      <c r="B821" s="34" t="s">
        <v>1404</v>
      </c>
      <c r="C821" s="34" t="s">
        <v>1403</v>
      </c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25"/>
      <c r="X821" s="25"/>
      <c r="Y821" s="34"/>
      <c r="Z821" s="34"/>
      <c r="AA821" s="34"/>
      <c r="AB821" s="34"/>
      <c r="AC821" s="34"/>
      <c r="AD821" s="34"/>
      <c r="AE821" s="25"/>
      <c r="AF821" s="25"/>
      <c r="AG821" s="34"/>
      <c r="AH821" s="34"/>
      <c r="AI821" s="37"/>
      <c r="AJ821" s="34"/>
      <c r="AK821" s="25"/>
      <c r="AL821" s="38"/>
      <c r="AM821" s="41"/>
      <c r="AN821" s="25"/>
      <c r="AO821" s="40"/>
      <c r="AP821" s="40"/>
    </row>
    <row r="822" ht="15.0" customHeight="1">
      <c r="A822" s="32" t="s">
        <v>847</v>
      </c>
      <c r="B822" s="34" t="s">
        <v>1404</v>
      </c>
      <c r="C822" s="34" t="s">
        <v>1403</v>
      </c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25"/>
      <c r="X822" s="25"/>
      <c r="Y822" s="34"/>
      <c r="Z822" s="34"/>
      <c r="AA822" s="34"/>
      <c r="AB822" s="34"/>
      <c r="AC822" s="34"/>
      <c r="AD822" s="34"/>
      <c r="AE822" s="25"/>
      <c r="AF822" s="25"/>
      <c r="AG822" s="34"/>
      <c r="AH822" s="34"/>
      <c r="AI822" s="37"/>
      <c r="AJ822" s="34"/>
      <c r="AK822" s="25"/>
      <c r="AL822" s="38"/>
      <c r="AM822" s="41"/>
      <c r="AN822" s="25"/>
      <c r="AO822" s="40"/>
      <c r="AP822" s="40"/>
    </row>
    <row r="823" ht="15.0" customHeight="1">
      <c r="A823" s="32" t="s">
        <v>848</v>
      </c>
      <c r="B823" s="34" t="s">
        <v>1404</v>
      </c>
      <c r="C823" s="34" t="s">
        <v>1403</v>
      </c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25"/>
      <c r="X823" s="25"/>
      <c r="Y823" s="34"/>
      <c r="Z823" s="34"/>
      <c r="AA823" s="34"/>
      <c r="AB823" s="34"/>
      <c r="AC823" s="34"/>
      <c r="AD823" s="34"/>
      <c r="AE823" s="25"/>
      <c r="AF823" s="25"/>
      <c r="AG823" s="34"/>
      <c r="AH823" s="34"/>
      <c r="AI823" s="37"/>
      <c r="AJ823" s="34"/>
      <c r="AK823" s="25"/>
      <c r="AL823" s="38"/>
      <c r="AM823" s="41"/>
      <c r="AN823" s="25"/>
      <c r="AO823" s="40"/>
      <c r="AP823" s="40"/>
    </row>
    <row r="824" ht="15.0" customHeight="1">
      <c r="A824" s="32" t="s">
        <v>849</v>
      </c>
      <c r="B824" s="34" t="s">
        <v>1404</v>
      </c>
      <c r="C824" s="34" t="s">
        <v>1403</v>
      </c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25"/>
      <c r="X824" s="25"/>
      <c r="Y824" s="34"/>
      <c r="Z824" s="34"/>
      <c r="AA824" s="34"/>
      <c r="AB824" s="34"/>
      <c r="AC824" s="34"/>
      <c r="AD824" s="34"/>
      <c r="AE824" s="25"/>
      <c r="AF824" s="25"/>
      <c r="AG824" s="34"/>
      <c r="AH824" s="34"/>
      <c r="AI824" s="37"/>
      <c r="AJ824" s="34"/>
      <c r="AK824" s="25"/>
      <c r="AL824" s="38"/>
      <c r="AM824" s="41"/>
      <c r="AN824" s="25"/>
      <c r="AO824" s="40"/>
      <c r="AP824" s="40"/>
    </row>
    <row r="825" ht="15.0" customHeight="1">
      <c r="A825" s="32" t="s">
        <v>850</v>
      </c>
      <c r="B825" s="34" t="s">
        <v>1404</v>
      </c>
      <c r="C825" s="34" t="s">
        <v>1403</v>
      </c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25"/>
      <c r="X825" s="25"/>
      <c r="Y825" s="34"/>
      <c r="Z825" s="34"/>
      <c r="AA825" s="34"/>
      <c r="AB825" s="34"/>
      <c r="AC825" s="34"/>
      <c r="AD825" s="34"/>
      <c r="AE825" s="25"/>
      <c r="AF825" s="25"/>
      <c r="AG825" s="34"/>
      <c r="AH825" s="34"/>
      <c r="AI825" s="37"/>
      <c r="AJ825" s="34"/>
      <c r="AK825" s="25"/>
      <c r="AL825" s="38"/>
      <c r="AM825" s="41"/>
      <c r="AN825" s="25"/>
      <c r="AO825" s="40"/>
      <c r="AP825" s="40"/>
    </row>
    <row r="826" ht="15.0" customHeight="1">
      <c r="A826" s="32" t="s">
        <v>851</v>
      </c>
      <c r="B826" s="34" t="s">
        <v>1404</v>
      </c>
      <c r="C826" s="34" t="s">
        <v>1403</v>
      </c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25"/>
      <c r="X826" s="25"/>
      <c r="Y826" s="34"/>
      <c r="Z826" s="34"/>
      <c r="AA826" s="34"/>
      <c r="AB826" s="34"/>
      <c r="AC826" s="34"/>
      <c r="AD826" s="34"/>
      <c r="AE826" s="25"/>
      <c r="AF826" s="25"/>
      <c r="AG826" s="34"/>
      <c r="AH826" s="34"/>
      <c r="AI826" s="37"/>
      <c r="AJ826" s="34"/>
      <c r="AK826" s="25"/>
      <c r="AL826" s="38"/>
      <c r="AM826" s="41"/>
      <c r="AN826" s="25"/>
      <c r="AO826" s="40"/>
      <c r="AP826" s="40"/>
    </row>
    <row r="827" ht="15.0" customHeight="1">
      <c r="A827" s="32" t="s">
        <v>852</v>
      </c>
      <c r="B827" s="34" t="s">
        <v>1404</v>
      </c>
      <c r="C827" s="34" t="s">
        <v>1403</v>
      </c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25"/>
      <c r="X827" s="25"/>
      <c r="Y827" s="34"/>
      <c r="Z827" s="34"/>
      <c r="AA827" s="34"/>
      <c r="AB827" s="34"/>
      <c r="AC827" s="34"/>
      <c r="AD827" s="34"/>
      <c r="AE827" s="25"/>
      <c r="AF827" s="25"/>
      <c r="AG827" s="34"/>
      <c r="AH827" s="34"/>
      <c r="AI827" s="37"/>
      <c r="AJ827" s="34"/>
      <c r="AK827" s="25"/>
      <c r="AL827" s="38"/>
      <c r="AM827" s="41"/>
      <c r="AN827" s="25"/>
      <c r="AO827" s="40"/>
      <c r="AP827" s="40"/>
    </row>
    <row r="828" ht="15.0" customHeight="1">
      <c r="A828" s="32" t="s">
        <v>853</v>
      </c>
      <c r="B828" s="34" t="s">
        <v>1404</v>
      </c>
      <c r="C828" s="34" t="s">
        <v>1403</v>
      </c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25"/>
      <c r="X828" s="25"/>
      <c r="Y828" s="34"/>
      <c r="Z828" s="34"/>
      <c r="AA828" s="34"/>
      <c r="AB828" s="34"/>
      <c r="AC828" s="34"/>
      <c r="AD828" s="34"/>
      <c r="AE828" s="25"/>
      <c r="AF828" s="25"/>
      <c r="AG828" s="34"/>
      <c r="AH828" s="34"/>
      <c r="AI828" s="37"/>
      <c r="AJ828" s="34"/>
      <c r="AK828" s="25"/>
      <c r="AL828" s="38"/>
      <c r="AM828" s="41"/>
      <c r="AN828" s="25"/>
      <c r="AO828" s="40"/>
      <c r="AP828" s="40"/>
    </row>
    <row r="829" ht="15.0" customHeight="1">
      <c r="A829" s="32" t="s">
        <v>854</v>
      </c>
      <c r="B829" s="34" t="s">
        <v>1404</v>
      </c>
      <c r="C829" s="34" t="s">
        <v>1403</v>
      </c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25"/>
      <c r="X829" s="25"/>
      <c r="Y829" s="34"/>
      <c r="Z829" s="34"/>
      <c r="AA829" s="34"/>
      <c r="AB829" s="34"/>
      <c r="AC829" s="34"/>
      <c r="AD829" s="34"/>
      <c r="AE829" s="25"/>
      <c r="AF829" s="25"/>
      <c r="AG829" s="34"/>
      <c r="AH829" s="34"/>
      <c r="AI829" s="37"/>
      <c r="AJ829" s="34"/>
      <c r="AK829" s="25"/>
      <c r="AL829" s="38"/>
      <c r="AM829" s="41"/>
      <c r="AN829" s="25"/>
      <c r="AO829" s="40"/>
      <c r="AP829" s="40"/>
    </row>
    <row r="830" ht="15.0" customHeight="1">
      <c r="A830" s="32" t="s">
        <v>855</v>
      </c>
      <c r="B830" s="34" t="s">
        <v>1404</v>
      </c>
      <c r="C830" s="34" t="s">
        <v>1403</v>
      </c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25"/>
      <c r="X830" s="25"/>
      <c r="Y830" s="34"/>
      <c r="Z830" s="34"/>
      <c r="AA830" s="34"/>
      <c r="AB830" s="34"/>
      <c r="AC830" s="34"/>
      <c r="AD830" s="34"/>
      <c r="AE830" s="25"/>
      <c r="AF830" s="25"/>
      <c r="AG830" s="34"/>
      <c r="AH830" s="34"/>
      <c r="AI830" s="37"/>
      <c r="AJ830" s="34"/>
      <c r="AK830" s="25"/>
      <c r="AL830" s="38"/>
      <c r="AM830" s="41"/>
      <c r="AN830" s="25"/>
      <c r="AO830" s="40"/>
      <c r="AP830" s="40"/>
    </row>
    <row r="831" ht="15.0" customHeight="1">
      <c r="A831" s="32" t="s">
        <v>856</v>
      </c>
      <c r="B831" s="34" t="s">
        <v>1404</v>
      </c>
      <c r="C831" s="34" t="s">
        <v>1403</v>
      </c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25"/>
      <c r="X831" s="25"/>
      <c r="Y831" s="34"/>
      <c r="Z831" s="34"/>
      <c r="AA831" s="34"/>
      <c r="AB831" s="34"/>
      <c r="AC831" s="34"/>
      <c r="AD831" s="34"/>
      <c r="AE831" s="25"/>
      <c r="AF831" s="25"/>
      <c r="AG831" s="34"/>
      <c r="AH831" s="34"/>
      <c r="AI831" s="37"/>
      <c r="AJ831" s="34"/>
      <c r="AK831" s="25"/>
      <c r="AL831" s="38"/>
      <c r="AM831" s="41"/>
      <c r="AN831" s="25"/>
      <c r="AO831" s="40"/>
      <c r="AP831" s="40"/>
    </row>
    <row r="832" ht="15.0" customHeight="1">
      <c r="A832" s="32" t="s">
        <v>857</v>
      </c>
      <c r="B832" s="34" t="s">
        <v>1404</v>
      </c>
      <c r="C832" s="34" t="s">
        <v>1403</v>
      </c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25"/>
      <c r="X832" s="25"/>
      <c r="Y832" s="34"/>
      <c r="Z832" s="34"/>
      <c r="AA832" s="34"/>
      <c r="AB832" s="34"/>
      <c r="AC832" s="34"/>
      <c r="AD832" s="34"/>
      <c r="AE832" s="25"/>
      <c r="AF832" s="25"/>
      <c r="AG832" s="34"/>
      <c r="AH832" s="34"/>
      <c r="AI832" s="37"/>
      <c r="AJ832" s="34"/>
      <c r="AK832" s="25"/>
      <c r="AL832" s="38"/>
      <c r="AM832" s="41"/>
      <c r="AN832" s="25"/>
      <c r="AO832" s="40"/>
      <c r="AP832" s="40"/>
    </row>
    <row r="833" ht="15.0" customHeight="1">
      <c r="A833" s="32" t="s">
        <v>858</v>
      </c>
      <c r="B833" s="34" t="s">
        <v>1404</v>
      </c>
      <c r="C833" s="34" t="s">
        <v>1403</v>
      </c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25"/>
      <c r="X833" s="25"/>
      <c r="Y833" s="34"/>
      <c r="Z833" s="34"/>
      <c r="AA833" s="34"/>
      <c r="AB833" s="34"/>
      <c r="AC833" s="34"/>
      <c r="AD833" s="34"/>
      <c r="AE833" s="25"/>
      <c r="AF833" s="25"/>
      <c r="AG833" s="34"/>
      <c r="AH833" s="34"/>
      <c r="AI833" s="37"/>
      <c r="AJ833" s="34"/>
      <c r="AK833" s="25"/>
      <c r="AL833" s="38"/>
      <c r="AM833" s="41"/>
      <c r="AN833" s="25"/>
      <c r="AO833" s="40"/>
      <c r="AP833" s="40"/>
    </row>
    <row r="834" ht="15.0" customHeight="1">
      <c r="A834" s="32" t="s">
        <v>859</v>
      </c>
      <c r="B834" s="34" t="s">
        <v>1404</v>
      </c>
      <c r="C834" s="34" t="s">
        <v>1403</v>
      </c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25"/>
      <c r="X834" s="25"/>
      <c r="Y834" s="34"/>
      <c r="Z834" s="34"/>
      <c r="AA834" s="34"/>
      <c r="AB834" s="34"/>
      <c r="AC834" s="34"/>
      <c r="AD834" s="34"/>
      <c r="AE834" s="25"/>
      <c r="AF834" s="25"/>
      <c r="AG834" s="34"/>
      <c r="AH834" s="34"/>
      <c r="AI834" s="37"/>
      <c r="AJ834" s="34"/>
      <c r="AK834" s="25"/>
      <c r="AL834" s="38"/>
      <c r="AM834" s="41"/>
      <c r="AN834" s="25"/>
      <c r="AO834" s="40"/>
      <c r="AP834" s="40"/>
    </row>
    <row r="835" ht="15.0" customHeight="1">
      <c r="A835" s="32" t="s">
        <v>860</v>
      </c>
      <c r="B835" s="34" t="s">
        <v>1404</v>
      </c>
      <c r="C835" s="34" t="s">
        <v>1403</v>
      </c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25"/>
      <c r="X835" s="25"/>
      <c r="Y835" s="34"/>
      <c r="Z835" s="34"/>
      <c r="AA835" s="34"/>
      <c r="AB835" s="34"/>
      <c r="AC835" s="34"/>
      <c r="AD835" s="34"/>
      <c r="AE835" s="25"/>
      <c r="AF835" s="25"/>
      <c r="AG835" s="34"/>
      <c r="AH835" s="34"/>
      <c r="AI835" s="37"/>
      <c r="AJ835" s="34"/>
      <c r="AK835" s="25"/>
      <c r="AL835" s="38"/>
      <c r="AM835" s="41"/>
      <c r="AN835" s="25"/>
      <c r="AO835" s="40"/>
      <c r="AP835" s="40"/>
    </row>
    <row r="836" ht="15.0" customHeight="1">
      <c r="A836" s="32" t="s">
        <v>861</v>
      </c>
      <c r="B836" s="34" t="s">
        <v>1404</v>
      </c>
      <c r="C836" s="34" t="s">
        <v>1403</v>
      </c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25"/>
      <c r="X836" s="25"/>
      <c r="Y836" s="34"/>
      <c r="Z836" s="34"/>
      <c r="AA836" s="34"/>
      <c r="AB836" s="34"/>
      <c r="AC836" s="34"/>
      <c r="AD836" s="34"/>
      <c r="AE836" s="25"/>
      <c r="AF836" s="25"/>
      <c r="AG836" s="34"/>
      <c r="AH836" s="34"/>
      <c r="AI836" s="37"/>
      <c r="AJ836" s="34"/>
      <c r="AK836" s="25"/>
      <c r="AL836" s="38"/>
      <c r="AM836" s="41"/>
      <c r="AN836" s="25"/>
      <c r="AO836" s="40"/>
      <c r="AP836" s="40"/>
    </row>
    <row r="837" ht="15.0" customHeight="1">
      <c r="A837" s="32" t="s">
        <v>862</v>
      </c>
      <c r="B837" s="34" t="s">
        <v>1404</v>
      </c>
      <c r="C837" s="34" t="s">
        <v>1403</v>
      </c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25"/>
      <c r="X837" s="25"/>
      <c r="Y837" s="34"/>
      <c r="Z837" s="34"/>
      <c r="AA837" s="34"/>
      <c r="AB837" s="34"/>
      <c r="AC837" s="34"/>
      <c r="AD837" s="34"/>
      <c r="AE837" s="25"/>
      <c r="AF837" s="25"/>
      <c r="AG837" s="34"/>
      <c r="AH837" s="34"/>
      <c r="AI837" s="37"/>
      <c r="AJ837" s="34"/>
      <c r="AK837" s="25"/>
      <c r="AL837" s="38"/>
      <c r="AM837" s="41"/>
      <c r="AN837" s="25"/>
      <c r="AO837" s="40"/>
      <c r="AP837" s="40"/>
    </row>
    <row r="838" ht="15.0" customHeight="1">
      <c r="A838" s="32" t="s">
        <v>863</v>
      </c>
      <c r="B838" s="34" t="s">
        <v>1404</v>
      </c>
      <c r="C838" s="34" t="s">
        <v>1403</v>
      </c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25"/>
      <c r="X838" s="25"/>
      <c r="Y838" s="34"/>
      <c r="Z838" s="34"/>
      <c r="AA838" s="34"/>
      <c r="AB838" s="34"/>
      <c r="AC838" s="34"/>
      <c r="AD838" s="34"/>
      <c r="AE838" s="25"/>
      <c r="AF838" s="25"/>
      <c r="AG838" s="34"/>
      <c r="AH838" s="34"/>
      <c r="AI838" s="37"/>
      <c r="AJ838" s="34"/>
      <c r="AK838" s="25"/>
      <c r="AL838" s="38"/>
      <c r="AM838" s="41"/>
      <c r="AN838" s="25"/>
      <c r="AO838" s="40"/>
      <c r="AP838" s="40"/>
    </row>
    <row r="839" ht="15.0" customHeight="1">
      <c r="A839" s="32" t="s">
        <v>864</v>
      </c>
      <c r="B839" s="34" t="s">
        <v>1404</v>
      </c>
      <c r="C839" s="34" t="s">
        <v>1403</v>
      </c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25"/>
      <c r="X839" s="25"/>
      <c r="Y839" s="34"/>
      <c r="Z839" s="34"/>
      <c r="AA839" s="34"/>
      <c r="AB839" s="34"/>
      <c r="AC839" s="34"/>
      <c r="AD839" s="34"/>
      <c r="AE839" s="25"/>
      <c r="AF839" s="25"/>
      <c r="AG839" s="34"/>
      <c r="AH839" s="34"/>
      <c r="AI839" s="37"/>
      <c r="AJ839" s="34"/>
      <c r="AK839" s="25"/>
      <c r="AL839" s="38"/>
      <c r="AM839" s="41"/>
      <c r="AN839" s="25"/>
      <c r="AO839" s="40"/>
      <c r="AP839" s="40"/>
    </row>
    <row r="840" ht="15.0" customHeight="1">
      <c r="A840" s="32" t="s">
        <v>865</v>
      </c>
      <c r="B840" s="34" t="s">
        <v>1404</v>
      </c>
      <c r="C840" s="34" t="s">
        <v>1403</v>
      </c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25"/>
      <c r="X840" s="25"/>
      <c r="Y840" s="34"/>
      <c r="Z840" s="34"/>
      <c r="AA840" s="34"/>
      <c r="AB840" s="34"/>
      <c r="AC840" s="34"/>
      <c r="AD840" s="34"/>
      <c r="AE840" s="25"/>
      <c r="AF840" s="25"/>
      <c r="AG840" s="34"/>
      <c r="AH840" s="34"/>
      <c r="AI840" s="37"/>
      <c r="AJ840" s="34"/>
      <c r="AK840" s="25"/>
      <c r="AL840" s="38"/>
      <c r="AM840" s="41"/>
      <c r="AN840" s="25"/>
      <c r="AO840" s="40"/>
      <c r="AP840" s="40"/>
    </row>
    <row r="841" ht="15.0" customHeight="1">
      <c r="A841" s="32" t="s">
        <v>866</v>
      </c>
      <c r="B841" s="34" t="s">
        <v>1404</v>
      </c>
      <c r="C841" s="34" t="s">
        <v>1403</v>
      </c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25"/>
      <c r="X841" s="25"/>
      <c r="Y841" s="34"/>
      <c r="Z841" s="34"/>
      <c r="AA841" s="34"/>
      <c r="AB841" s="34"/>
      <c r="AC841" s="34"/>
      <c r="AD841" s="34"/>
      <c r="AE841" s="25"/>
      <c r="AF841" s="25"/>
      <c r="AG841" s="34"/>
      <c r="AH841" s="34"/>
      <c r="AI841" s="37"/>
      <c r="AJ841" s="34"/>
      <c r="AK841" s="25"/>
      <c r="AL841" s="38"/>
      <c r="AM841" s="41"/>
      <c r="AN841" s="25"/>
      <c r="AO841" s="40"/>
      <c r="AP841" s="40"/>
    </row>
    <row r="842" ht="15.0" customHeight="1">
      <c r="A842" s="32" t="s">
        <v>867</v>
      </c>
      <c r="B842" s="34" t="s">
        <v>1404</v>
      </c>
      <c r="C842" s="34" t="s">
        <v>1403</v>
      </c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25"/>
      <c r="X842" s="25"/>
      <c r="Y842" s="34"/>
      <c r="Z842" s="34"/>
      <c r="AA842" s="34"/>
      <c r="AB842" s="34"/>
      <c r="AC842" s="34"/>
      <c r="AD842" s="34"/>
      <c r="AE842" s="25"/>
      <c r="AF842" s="25"/>
      <c r="AG842" s="34"/>
      <c r="AH842" s="34"/>
      <c r="AI842" s="37"/>
      <c r="AJ842" s="34"/>
      <c r="AK842" s="25"/>
      <c r="AL842" s="38"/>
      <c r="AM842" s="41"/>
      <c r="AN842" s="25"/>
      <c r="AO842" s="40"/>
      <c r="AP842" s="40"/>
    </row>
    <row r="843" ht="15.0" customHeight="1">
      <c r="A843" s="32" t="s">
        <v>868</v>
      </c>
      <c r="B843" s="34" t="s">
        <v>1404</v>
      </c>
      <c r="C843" s="34" t="s">
        <v>1403</v>
      </c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25"/>
      <c r="X843" s="25"/>
      <c r="Y843" s="34"/>
      <c r="Z843" s="34"/>
      <c r="AA843" s="34"/>
      <c r="AB843" s="34"/>
      <c r="AC843" s="34"/>
      <c r="AD843" s="34"/>
      <c r="AE843" s="25"/>
      <c r="AF843" s="25"/>
      <c r="AG843" s="34"/>
      <c r="AH843" s="34"/>
      <c r="AI843" s="37"/>
      <c r="AJ843" s="34"/>
      <c r="AK843" s="25"/>
      <c r="AL843" s="38"/>
      <c r="AM843" s="41"/>
      <c r="AN843" s="25"/>
      <c r="AO843" s="40"/>
      <c r="AP843" s="40"/>
    </row>
    <row r="844" ht="15.0" customHeight="1">
      <c r="A844" s="32" t="s">
        <v>869</v>
      </c>
      <c r="B844" s="34" t="s">
        <v>1404</v>
      </c>
      <c r="C844" s="34" t="s">
        <v>1403</v>
      </c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25"/>
      <c r="X844" s="25"/>
      <c r="Y844" s="34"/>
      <c r="Z844" s="34"/>
      <c r="AA844" s="34"/>
      <c r="AB844" s="34"/>
      <c r="AC844" s="34"/>
      <c r="AD844" s="34"/>
      <c r="AE844" s="25"/>
      <c r="AF844" s="25"/>
      <c r="AG844" s="34"/>
      <c r="AH844" s="34"/>
      <c r="AI844" s="37"/>
      <c r="AJ844" s="34"/>
      <c r="AK844" s="25"/>
      <c r="AL844" s="38"/>
      <c r="AM844" s="41"/>
      <c r="AN844" s="25"/>
      <c r="AO844" s="40"/>
      <c r="AP844" s="40"/>
    </row>
    <row r="845" ht="15.0" customHeight="1">
      <c r="A845" s="32" t="s">
        <v>870</v>
      </c>
      <c r="B845" s="34" t="s">
        <v>1404</v>
      </c>
      <c r="C845" s="34" t="s">
        <v>1403</v>
      </c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25"/>
      <c r="X845" s="25"/>
      <c r="Y845" s="34"/>
      <c r="Z845" s="34"/>
      <c r="AA845" s="34"/>
      <c r="AB845" s="34"/>
      <c r="AC845" s="34"/>
      <c r="AD845" s="34"/>
      <c r="AE845" s="25"/>
      <c r="AF845" s="25"/>
      <c r="AG845" s="34"/>
      <c r="AH845" s="34"/>
      <c r="AI845" s="37"/>
      <c r="AJ845" s="34"/>
      <c r="AK845" s="25"/>
      <c r="AL845" s="38"/>
      <c r="AM845" s="41"/>
      <c r="AN845" s="25"/>
      <c r="AO845" s="40"/>
      <c r="AP845" s="40"/>
    </row>
    <row r="846" ht="15.0" customHeight="1">
      <c r="A846" s="32" t="s">
        <v>871</v>
      </c>
      <c r="B846" s="34" t="s">
        <v>1404</v>
      </c>
      <c r="C846" s="34" t="s">
        <v>1403</v>
      </c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25"/>
      <c r="X846" s="25"/>
      <c r="Y846" s="34"/>
      <c r="Z846" s="34"/>
      <c r="AA846" s="34"/>
      <c r="AB846" s="34"/>
      <c r="AC846" s="34"/>
      <c r="AD846" s="34"/>
      <c r="AE846" s="25"/>
      <c r="AF846" s="25"/>
      <c r="AG846" s="34"/>
      <c r="AH846" s="34"/>
      <c r="AI846" s="37"/>
      <c r="AJ846" s="34"/>
      <c r="AK846" s="25"/>
      <c r="AL846" s="38"/>
      <c r="AM846" s="41"/>
      <c r="AN846" s="25"/>
      <c r="AO846" s="40"/>
      <c r="AP846" s="40"/>
    </row>
    <row r="847" ht="15.0" customHeight="1">
      <c r="A847" s="32" t="s">
        <v>872</v>
      </c>
      <c r="B847" s="34" t="s">
        <v>1404</v>
      </c>
      <c r="C847" s="34" t="s">
        <v>1403</v>
      </c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25"/>
      <c r="X847" s="25"/>
      <c r="Y847" s="34"/>
      <c r="Z847" s="34"/>
      <c r="AA847" s="34"/>
      <c r="AB847" s="34"/>
      <c r="AC847" s="34"/>
      <c r="AD847" s="34"/>
      <c r="AE847" s="25"/>
      <c r="AF847" s="25"/>
      <c r="AG847" s="34"/>
      <c r="AH847" s="34"/>
      <c r="AI847" s="37"/>
      <c r="AJ847" s="34"/>
      <c r="AK847" s="25"/>
      <c r="AL847" s="38"/>
      <c r="AM847" s="41"/>
      <c r="AN847" s="25"/>
      <c r="AO847" s="40"/>
      <c r="AP847" s="40"/>
    </row>
    <row r="848" ht="15.0" customHeight="1">
      <c r="A848" s="32" t="s">
        <v>873</v>
      </c>
      <c r="B848" s="34" t="s">
        <v>1404</v>
      </c>
      <c r="C848" s="34" t="s">
        <v>1403</v>
      </c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25"/>
      <c r="X848" s="25"/>
      <c r="Y848" s="34"/>
      <c r="Z848" s="34"/>
      <c r="AA848" s="34"/>
      <c r="AB848" s="34"/>
      <c r="AC848" s="34"/>
      <c r="AD848" s="34"/>
      <c r="AE848" s="25"/>
      <c r="AF848" s="25"/>
      <c r="AG848" s="34"/>
      <c r="AH848" s="34"/>
      <c r="AI848" s="37"/>
      <c r="AJ848" s="34"/>
      <c r="AK848" s="25"/>
      <c r="AL848" s="38"/>
      <c r="AM848" s="41"/>
      <c r="AN848" s="25"/>
      <c r="AO848" s="40"/>
      <c r="AP848" s="40"/>
    </row>
    <row r="849" ht="15.0" customHeight="1">
      <c r="A849" s="32" t="s">
        <v>874</v>
      </c>
      <c r="B849" s="34" t="s">
        <v>1404</v>
      </c>
      <c r="C849" s="34" t="s">
        <v>1403</v>
      </c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25"/>
      <c r="X849" s="25"/>
      <c r="Y849" s="34"/>
      <c r="Z849" s="34"/>
      <c r="AA849" s="34"/>
      <c r="AB849" s="34"/>
      <c r="AC849" s="34"/>
      <c r="AD849" s="34"/>
      <c r="AE849" s="25"/>
      <c r="AF849" s="25"/>
      <c r="AG849" s="34"/>
      <c r="AH849" s="34"/>
      <c r="AI849" s="37"/>
      <c r="AJ849" s="34"/>
      <c r="AK849" s="25"/>
      <c r="AL849" s="38"/>
      <c r="AM849" s="41"/>
      <c r="AN849" s="25"/>
      <c r="AO849" s="40"/>
      <c r="AP849" s="40"/>
    </row>
    <row r="850" ht="15.0" customHeight="1">
      <c r="A850" s="32" t="s">
        <v>875</v>
      </c>
      <c r="B850" s="34" t="s">
        <v>1404</v>
      </c>
      <c r="C850" s="34" t="s">
        <v>1403</v>
      </c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25"/>
      <c r="X850" s="25"/>
      <c r="Y850" s="34"/>
      <c r="Z850" s="34"/>
      <c r="AA850" s="34"/>
      <c r="AB850" s="34"/>
      <c r="AC850" s="34"/>
      <c r="AD850" s="34"/>
      <c r="AE850" s="25"/>
      <c r="AF850" s="25"/>
      <c r="AG850" s="34"/>
      <c r="AH850" s="34"/>
      <c r="AI850" s="37"/>
      <c r="AJ850" s="34"/>
      <c r="AK850" s="25"/>
      <c r="AL850" s="38"/>
      <c r="AM850" s="41"/>
      <c r="AN850" s="25"/>
      <c r="AO850" s="40"/>
      <c r="AP850" s="40"/>
    </row>
    <row r="851" ht="15.0" customHeight="1">
      <c r="A851" s="32" t="s">
        <v>876</v>
      </c>
      <c r="B851" s="34" t="s">
        <v>1404</v>
      </c>
      <c r="C851" s="34" t="s">
        <v>1403</v>
      </c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25"/>
      <c r="X851" s="25"/>
      <c r="Y851" s="34"/>
      <c r="Z851" s="34"/>
      <c r="AA851" s="34"/>
      <c r="AB851" s="34"/>
      <c r="AC851" s="34"/>
      <c r="AD851" s="34"/>
      <c r="AE851" s="25"/>
      <c r="AF851" s="25"/>
      <c r="AG851" s="34"/>
      <c r="AH851" s="34"/>
      <c r="AI851" s="37"/>
      <c r="AJ851" s="34"/>
      <c r="AK851" s="25"/>
      <c r="AL851" s="38"/>
      <c r="AM851" s="41"/>
      <c r="AN851" s="25"/>
      <c r="AO851" s="40"/>
      <c r="AP851" s="40"/>
    </row>
    <row r="852" ht="15.0" customHeight="1">
      <c r="A852" s="32" t="s">
        <v>877</v>
      </c>
      <c r="B852" s="34" t="s">
        <v>1404</v>
      </c>
      <c r="C852" s="34" t="s">
        <v>1403</v>
      </c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25"/>
      <c r="X852" s="25"/>
      <c r="Y852" s="34"/>
      <c r="Z852" s="34"/>
      <c r="AA852" s="34"/>
      <c r="AB852" s="34"/>
      <c r="AC852" s="34"/>
      <c r="AD852" s="34"/>
      <c r="AE852" s="25"/>
      <c r="AF852" s="25"/>
      <c r="AG852" s="34"/>
      <c r="AH852" s="34"/>
      <c r="AI852" s="37"/>
      <c r="AJ852" s="34"/>
      <c r="AK852" s="25"/>
      <c r="AL852" s="38"/>
      <c r="AM852" s="41"/>
      <c r="AN852" s="25"/>
      <c r="AO852" s="40"/>
      <c r="AP852" s="40"/>
    </row>
    <row r="853" ht="15.0" customHeight="1">
      <c r="A853" s="32" t="s">
        <v>878</v>
      </c>
      <c r="B853" s="34" t="s">
        <v>1404</v>
      </c>
      <c r="C853" s="34" t="s">
        <v>1403</v>
      </c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25"/>
      <c r="X853" s="25"/>
      <c r="Y853" s="34"/>
      <c r="Z853" s="34"/>
      <c r="AA853" s="34"/>
      <c r="AB853" s="34"/>
      <c r="AC853" s="34"/>
      <c r="AD853" s="34"/>
      <c r="AE853" s="25"/>
      <c r="AF853" s="25"/>
      <c r="AG853" s="34"/>
      <c r="AH853" s="34"/>
      <c r="AI853" s="37"/>
      <c r="AJ853" s="34"/>
      <c r="AK853" s="25"/>
      <c r="AL853" s="38"/>
      <c r="AM853" s="41"/>
      <c r="AN853" s="25"/>
      <c r="AO853" s="40"/>
      <c r="AP853" s="40"/>
    </row>
    <row r="854" ht="15.0" customHeight="1">
      <c r="A854" s="32" t="s">
        <v>879</v>
      </c>
      <c r="B854" s="34" t="s">
        <v>1404</v>
      </c>
      <c r="C854" s="34" t="s">
        <v>1403</v>
      </c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25"/>
      <c r="X854" s="25"/>
      <c r="Y854" s="34"/>
      <c r="Z854" s="34"/>
      <c r="AA854" s="34"/>
      <c r="AB854" s="34"/>
      <c r="AC854" s="34"/>
      <c r="AD854" s="34"/>
      <c r="AE854" s="25"/>
      <c r="AF854" s="25"/>
      <c r="AG854" s="34"/>
      <c r="AH854" s="34"/>
      <c r="AI854" s="37"/>
      <c r="AJ854" s="34"/>
      <c r="AK854" s="25"/>
      <c r="AL854" s="38"/>
      <c r="AM854" s="41"/>
      <c r="AN854" s="25"/>
      <c r="AO854" s="40"/>
      <c r="AP854" s="40"/>
    </row>
    <row r="855" ht="15.0" customHeight="1">
      <c r="A855" s="32" t="s">
        <v>880</v>
      </c>
      <c r="B855" s="34" t="s">
        <v>1404</v>
      </c>
      <c r="C855" s="34" t="s">
        <v>1403</v>
      </c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25"/>
      <c r="X855" s="25"/>
      <c r="Y855" s="34"/>
      <c r="Z855" s="34"/>
      <c r="AA855" s="34"/>
      <c r="AB855" s="34"/>
      <c r="AC855" s="34"/>
      <c r="AD855" s="34"/>
      <c r="AE855" s="25"/>
      <c r="AF855" s="25"/>
      <c r="AG855" s="34"/>
      <c r="AH855" s="34"/>
      <c r="AI855" s="37"/>
      <c r="AJ855" s="34"/>
      <c r="AK855" s="25"/>
      <c r="AL855" s="38"/>
      <c r="AM855" s="41"/>
      <c r="AN855" s="25"/>
      <c r="AO855" s="40"/>
      <c r="AP855" s="40"/>
    </row>
    <row r="856" ht="15.0" customHeight="1">
      <c r="A856" s="32" t="s">
        <v>881</v>
      </c>
      <c r="B856" s="34" t="s">
        <v>1404</v>
      </c>
      <c r="C856" s="34" t="s">
        <v>1403</v>
      </c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25"/>
      <c r="X856" s="25"/>
      <c r="Y856" s="34"/>
      <c r="Z856" s="34"/>
      <c r="AA856" s="34"/>
      <c r="AB856" s="34"/>
      <c r="AC856" s="34"/>
      <c r="AD856" s="34"/>
      <c r="AE856" s="25"/>
      <c r="AF856" s="25"/>
      <c r="AG856" s="34"/>
      <c r="AH856" s="34"/>
      <c r="AI856" s="37"/>
      <c r="AJ856" s="34"/>
      <c r="AK856" s="25"/>
      <c r="AL856" s="38"/>
      <c r="AM856" s="41"/>
      <c r="AN856" s="25"/>
      <c r="AO856" s="40"/>
      <c r="AP856" s="40"/>
    </row>
    <row r="857" ht="15.0" customHeight="1">
      <c r="A857" s="32" t="s">
        <v>882</v>
      </c>
      <c r="B857" s="34" t="s">
        <v>1404</v>
      </c>
      <c r="C857" s="34" t="s">
        <v>1403</v>
      </c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25"/>
      <c r="X857" s="25"/>
      <c r="Y857" s="34"/>
      <c r="Z857" s="34"/>
      <c r="AA857" s="34"/>
      <c r="AB857" s="34"/>
      <c r="AC857" s="34"/>
      <c r="AD857" s="34"/>
      <c r="AE857" s="25"/>
      <c r="AF857" s="25"/>
      <c r="AG857" s="34"/>
      <c r="AH857" s="34"/>
      <c r="AI857" s="37"/>
      <c r="AJ857" s="34"/>
      <c r="AK857" s="25"/>
      <c r="AL857" s="38"/>
      <c r="AM857" s="41"/>
      <c r="AN857" s="25"/>
      <c r="AO857" s="40"/>
      <c r="AP857" s="40"/>
    </row>
    <row r="858" ht="15.0" customHeight="1">
      <c r="A858" s="32" t="s">
        <v>883</v>
      </c>
      <c r="B858" s="34" t="s">
        <v>1404</v>
      </c>
      <c r="C858" s="34" t="s">
        <v>1403</v>
      </c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25"/>
      <c r="X858" s="25"/>
      <c r="Y858" s="34"/>
      <c r="Z858" s="34"/>
      <c r="AA858" s="34"/>
      <c r="AB858" s="34"/>
      <c r="AC858" s="34"/>
      <c r="AD858" s="34"/>
      <c r="AE858" s="25"/>
      <c r="AF858" s="25"/>
      <c r="AG858" s="34"/>
      <c r="AH858" s="34"/>
      <c r="AI858" s="37"/>
      <c r="AJ858" s="34"/>
      <c r="AK858" s="25"/>
      <c r="AL858" s="38"/>
      <c r="AM858" s="41"/>
      <c r="AN858" s="25"/>
      <c r="AO858" s="40"/>
      <c r="AP858" s="40"/>
    </row>
    <row r="859" ht="15.0" customHeight="1">
      <c r="A859" s="32" t="s">
        <v>884</v>
      </c>
      <c r="B859" s="34" t="s">
        <v>1404</v>
      </c>
      <c r="C859" s="34" t="s">
        <v>1403</v>
      </c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25"/>
      <c r="X859" s="25"/>
      <c r="Y859" s="34"/>
      <c r="Z859" s="34"/>
      <c r="AA859" s="34"/>
      <c r="AB859" s="34"/>
      <c r="AC859" s="34"/>
      <c r="AD859" s="34"/>
      <c r="AE859" s="25"/>
      <c r="AF859" s="25"/>
      <c r="AG859" s="34"/>
      <c r="AH859" s="34"/>
      <c r="AI859" s="37"/>
      <c r="AJ859" s="34"/>
      <c r="AK859" s="25"/>
      <c r="AL859" s="38"/>
      <c r="AM859" s="41"/>
      <c r="AN859" s="25"/>
      <c r="AO859" s="40"/>
      <c r="AP859" s="40"/>
    </row>
    <row r="860" ht="15.0" customHeight="1">
      <c r="A860" s="32" t="s">
        <v>885</v>
      </c>
      <c r="B860" s="34" t="s">
        <v>1404</v>
      </c>
      <c r="C860" s="34" t="s">
        <v>1403</v>
      </c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25"/>
      <c r="X860" s="25"/>
      <c r="Y860" s="34"/>
      <c r="Z860" s="34"/>
      <c r="AA860" s="34"/>
      <c r="AB860" s="34"/>
      <c r="AC860" s="34"/>
      <c r="AD860" s="34"/>
      <c r="AE860" s="25"/>
      <c r="AF860" s="25"/>
      <c r="AG860" s="34"/>
      <c r="AH860" s="34"/>
      <c r="AI860" s="37"/>
      <c r="AJ860" s="34"/>
      <c r="AK860" s="25"/>
      <c r="AL860" s="38"/>
      <c r="AM860" s="41"/>
      <c r="AN860" s="25"/>
      <c r="AO860" s="40"/>
      <c r="AP860" s="40"/>
    </row>
    <row r="861" ht="15.0" customHeight="1">
      <c r="A861" s="32" t="s">
        <v>886</v>
      </c>
      <c r="B861" s="34" t="s">
        <v>1404</v>
      </c>
      <c r="C861" s="34" t="s">
        <v>1403</v>
      </c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25"/>
      <c r="X861" s="25"/>
      <c r="Y861" s="34"/>
      <c r="Z861" s="34"/>
      <c r="AA861" s="34"/>
      <c r="AB861" s="34"/>
      <c r="AC861" s="34"/>
      <c r="AD861" s="34"/>
      <c r="AE861" s="25"/>
      <c r="AF861" s="25"/>
      <c r="AG861" s="34"/>
      <c r="AH861" s="34"/>
      <c r="AI861" s="37"/>
      <c r="AJ861" s="34"/>
      <c r="AK861" s="25"/>
      <c r="AL861" s="38"/>
      <c r="AM861" s="41"/>
      <c r="AN861" s="25"/>
      <c r="AO861" s="40"/>
      <c r="AP861" s="40"/>
    </row>
    <row r="862" ht="15.0" customHeight="1">
      <c r="A862" s="32" t="s">
        <v>887</v>
      </c>
      <c r="B862" s="34" t="s">
        <v>1404</v>
      </c>
      <c r="C862" s="34" t="s">
        <v>1403</v>
      </c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25"/>
      <c r="X862" s="25"/>
      <c r="Y862" s="34"/>
      <c r="Z862" s="34"/>
      <c r="AA862" s="34"/>
      <c r="AB862" s="34"/>
      <c r="AC862" s="34"/>
      <c r="AD862" s="34"/>
      <c r="AE862" s="25"/>
      <c r="AF862" s="25"/>
      <c r="AG862" s="34"/>
      <c r="AH862" s="34"/>
      <c r="AI862" s="37"/>
      <c r="AJ862" s="34"/>
      <c r="AK862" s="25"/>
      <c r="AL862" s="38"/>
      <c r="AM862" s="41"/>
      <c r="AN862" s="25"/>
      <c r="AO862" s="40"/>
      <c r="AP862" s="40"/>
    </row>
    <row r="863" ht="15.0" customHeight="1">
      <c r="A863" s="32" t="s">
        <v>888</v>
      </c>
      <c r="B863" s="34" t="s">
        <v>1404</v>
      </c>
      <c r="C863" s="34" t="s">
        <v>1403</v>
      </c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25"/>
      <c r="X863" s="25"/>
      <c r="Y863" s="34"/>
      <c r="Z863" s="34"/>
      <c r="AA863" s="34"/>
      <c r="AB863" s="34"/>
      <c r="AC863" s="34"/>
      <c r="AD863" s="34"/>
      <c r="AE863" s="25"/>
      <c r="AF863" s="25"/>
      <c r="AG863" s="34"/>
      <c r="AH863" s="34"/>
      <c r="AI863" s="37"/>
      <c r="AJ863" s="34"/>
      <c r="AK863" s="25"/>
      <c r="AL863" s="38"/>
      <c r="AM863" s="41"/>
      <c r="AN863" s="25"/>
      <c r="AO863" s="40"/>
      <c r="AP863" s="40"/>
    </row>
    <row r="864" ht="15.0" customHeight="1">
      <c r="A864" s="32" t="s">
        <v>889</v>
      </c>
      <c r="B864" s="34" t="s">
        <v>1404</v>
      </c>
      <c r="C864" s="34" t="s">
        <v>1403</v>
      </c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25"/>
      <c r="X864" s="25"/>
      <c r="Y864" s="34"/>
      <c r="Z864" s="34"/>
      <c r="AA864" s="34"/>
      <c r="AB864" s="34"/>
      <c r="AC864" s="34"/>
      <c r="AD864" s="34"/>
      <c r="AE864" s="25"/>
      <c r="AF864" s="25"/>
      <c r="AG864" s="34"/>
      <c r="AH864" s="34"/>
      <c r="AI864" s="37"/>
      <c r="AJ864" s="34"/>
      <c r="AK864" s="25"/>
      <c r="AL864" s="38"/>
      <c r="AM864" s="41"/>
      <c r="AN864" s="25"/>
      <c r="AO864" s="40"/>
      <c r="AP864" s="40"/>
    </row>
    <row r="865" ht="15.0" customHeight="1">
      <c r="A865" s="32" t="s">
        <v>890</v>
      </c>
      <c r="B865" s="34" t="s">
        <v>1404</v>
      </c>
      <c r="C865" s="34" t="s">
        <v>1403</v>
      </c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25"/>
      <c r="X865" s="25"/>
      <c r="Y865" s="34"/>
      <c r="Z865" s="34"/>
      <c r="AA865" s="34"/>
      <c r="AB865" s="34"/>
      <c r="AC865" s="34"/>
      <c r="AD865" s="34"/>
      <c r="AE865" s="25"/>
      <c r="AF865" s="25"/>
      <c r="AG865" s="34"/>
      <c r="AH865" s="34"/>
      <c r="AI865" s="37"/>
      <c r="AJ865" s="34"/>
      <c r="AK865" s="25"/>
      <c r="AL865" s="38"/>
      <c r="AM865" s="41"/>
      <c r="AN865" s="25"/>
      <c r="AO865" s="40"/>
      <c r="AP865" s="40"/>
    </row>
    <row r="866" ht="15.0" customHeight="1">
      <c r="A866" s="32" t="s">
        <v>891</v>
      </c>
      <c r="B866" s="34" t="s">
        <v>1404</v>
      </c>
      <c r="C866" s="34" t="s">
        <v>1403</v>
      </c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25"/>
      <c r="X866" s="25"/>
      <c r="Y866" s="34"/>
      <c r="Z866" s="34"/>
      <c r="AA866" s="34"/>
      <c r="AB866" s="34"/>
      <c r="AC866" s="34"/>
      <c r="AD866" s="34"/>
      <c r="AE866" s="25"/>
      <c r="AF866" s="25"/>
      <c r="AG866" s="34"/>
      <c r="AH866" s="34"/>
      <c r="AI866" s="37"/>
      <c r="AJ866" s="34"/>
      <c r="AK866" s="25"/>
      <c r="AL866" s="38"/>
      <c r="AM866" s="41"/>
      <c r="AN866" s="25"/>
      <c r="AO866" s="40"/>
      <c r="AP866" s="40"/>
    </row>
    <row r="867" ht="15.0" customHeight="1">
      <c r="A867" s="32" t="s">
        <v>892</v>
      </c>
      <c r="B867" s="34" t="s">
        <v>1404</v>
      </c>
      <c r="C867" s="34" t="s">
        <v>1403</v>
      </c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25"/>
      <c r="X867" s="25"/>
      <c r="Y867" s="34"/>
      <c r="Z867" s="34"/>
      <c r="AA867" s="34"/>
      <c r="AB867" s="34"/>
      <c r="AC867" s="34"/>
      <c r="AD867" s="34"/>
      <c r="AE867" s="25"/>
      <c r="AF867" s="25"/>
      <c r="AG867" s="34"/>
      <c r="AH867" s="34"/>
      <c r="AI867" s="37"/>
      <c r="AJ867" s="34"/>
      <c r="AK867" s="25"/>
      <c r="AL867" s="38"/>
      <c r="AM867" s="41"/>
      <c r="AN867" s="25"/>
      <c r="AO867" s="40"/>
      <c r="AP867" s="40"/>
    </row>
    <row r="868" ht="15.0" customHeight="1">
      <c r="A868" s="32" t="s">
        <v>893</v>
      </c>
      <c r="B868" s="34" t="s">
        <v>1404</v>
      </c>
      <c r="C868" s="34" t="s">
        <v>1403</v>
      </c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25"/>
      <c r="X868" s="25"/>
      <c r="Y868" s="34"/>
      <c r="Z868" s="34"/>
      <c r="AA868" s="34"/>
      <c r="AB868" s="34"/>
      <c r="AC868" s="34"/>
      <c r="AD868" s="34"/>
      <c r="AE868" s="25"/>
      <c r="AF868" s="25"/>
      <c r="AG868" s="34"/>
      <c r="AH868" s="34"/>
      <c r="AI868" s="37"/>
      <c r="AJ868" s="34"/>
      <c r="AK868" s="25"/>
      <c r="AL868" s="38"/>
      <c r="AM868" s="41"/>
      <c r="AN868" s="25"/>
      <c r="AO868" s="40"/>
      <c r="AP868" s="40"/>
    </row>
    <row r="869" ht="15.0" customHeight="1">
      <c r="A869" s="32" t="s">
        <v>894</v>
      </c>
      <c r="B869" s="34" t="s">
        <v>1404</v>
      </c>
      <c r="C869" s="34" t="s">
        <v>1403</v>
      </c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25"/>
      <c r="X869" s="25"/>
      <c r="Y869" s="34"/>
      <c r="Z869" s="34"/>
      <c r="AA869" s="34"/>
      <c r="AB869" s="34"/>
      <c r="AC869" s="34"/>
      <c r="AD869" s="34"/>
      <c r="AE869" s="25"/>
      <c r="AF869" s="25"/>
      <c r="AG869" s="34"/>
      <c r="AH869" s="34"/>
      <c r="AI869" s="37"/>
      <c r="AJ869" s="34"/>
      <c r="AK869" s="25"/>
      <c r="AL869" s="38"/>
      <c r="AM869" s="41"/>
      <c r="AN869" s="25"/>
      <c r="AO869" s="40"/>
      <c r="AP869" s="40"/>
    </row>
    <row r="870" ht="15.0" customHeight="1">
      <c r="A870" s="32" t="s">
        <v>895</v>
      </c>
      <c r="B870" s="34" t="s">
        <v>1404</v>
      </c>
      <c r="C870" s="34" t="s">
        <v>1403</v>
      </c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25"/>
      <c r="X870" s="25"/>
      <c r="Y870" s="34"/>
      <c r="Z870" s="34"/>
      <c r="AA870" s="34"/>
      <c r="AB870" s="34"/>
      <c r="AC870" s="34"/>
      <c r="AD870" s="34"/>
      <c r="AE870" s="25"/>
      <c r="AF870" s="25"/>
      <c r="AG870" s="34"/>
      <c r="AH870" s="34"/>
      <c r="AI870" s="37"/>
      <c r="AJ870" s="34"/>
      <c r="AK870" s="25"/>
      <c r="AL870" s="38"/>
      <c r="AM870" s="41"/>
      <c r="AN870" s="25"/>
      <c r="AO870" s="40"/>
      <c r="AP870" s="40"/>
    </row>
    <row r="871" ht="15.0" customHeight="1">
      <c r="A871" s="32" t="s">
        <v>896</v>
      </c>
      <c r="B871" s="34" t="s">
        <v>1404</v>
      </c>
      <c r="C871" s="34" t="s">
        <v>1403</v>
      </c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25"/>
      <c r="X871" s="25"/>
      <c r="Y871" s="34"/>
      <c r="Z871" s="34"/>
      <c r="AA871" s="34"/>
      <c r="AB871" s="34"/>
      <c r="AC871" s="34"/>
      <c r="AD871" s="34"/>
      <c r="AE871" s="25"/>
      <c r="AF871" s="25"/>
      <c r="AG871" s="34"/>
      <c r="AH871" s="34"/>
      <c r="AI871" s="37"/>
      <c r="AJ871" s="34"/>
      <c r="AK871" s="25"/>
      <c r="AL871" s="38"/>
      <c r="AM871" s="41"/>
      <c r="AN871" s="25"/>
      <c r="AO871" s="40"/>
      <c r="AP871" s="40"/>
    </row>
    <row r="872" ht="15.0" customHeight="1">
      <c r="A872" s="32" t="s">
        <v>897</v>
      </c>
      <c r="B872" s="34" t="s">
        <v>1404</v>
      </c>
      <c r="C872" s="34" t="s">
        <v>1403</v>
      </c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25"/>
      <c r="X872" s="25"/>
      <c r="Y872" s="34"/>
      <c r="Z872" s="34"/>
      <c r="AA872" s="34"/>
      <c r="AB872" s="34"/>
      <c r="AC872" s="34"/>
      <c r="AD872" s="34"/>
      <c r="AE872" s="25"/>
      <c r="AF872" s="25"/>
      <c r="AG872" s="34"/>
      <c r="AH872" s="34"/>
      <c r="AI872" s="37"/>
      <c r="AJ872" s="34"/>
      <c r="AK872" s="25"/>
      <c r="AL872" s="38"/>
      <c r="AM872" s="41"/>
      <c r="AN872" s="25"/>
      <c r="AO872" s="40"/>
      <c r="AP872" s="40"/>
    </row>
    <row r="873" ht="15.0" customHeight="1">
      <c r="A873" s="32" t="s">
        <v>898</v>
      </c>
      <c r="B873" s="34" t="s">
        <v>1404</v>
      </c>
      <c r="C873" s="34" t="s">
        <v>1403</v>
      </c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25"/>
      <c r="X873" s="25"/>
      <c r="Y873" s="34"/>
      <c r="Z873" s="34"/>
      <c r="AA873" s="34"/>
      <c r="AB873" s="34"/>
      <c r="AC873" s="34"/>
      <c r="AD873" s="34"/>
      <c r="AE873" s="25"/>
      <c r="AF873" s="25"/>
      <c r="AG873" s="34"/>
      <c r="AH873" s="34"/>
      <c r="AI873" s="37"/>
      <c r="AJ873" s="34"/>
      <c r="AK873" s="25"/>
      <c r="AL873" s="38"/>
      <c r="AM873" s="41"/>
      <c r="AN873" s="25"/>
      <c r="AO873" s="40"/>
      <c r="AP873" s="40"/>
    </row>
    <row r="874" ht="15.0" customHeight="1">
      <c r="A874" s="32" t="s">
        <v>899</v>
      </c>
      <c r="B874" s="34" t="s">
        <v>1404</v>
      </c>
      <c r="C874" s="34" t="s">
        <v>1403</v>
      </c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25"/>
      <c r="X874" s="25"/>
      <c r="Y874" s="34"/>
      <c r="Z874" s="34"/>
      <c r="AA874" s="34"/>
      <c r="AB874" s="34"/>
      <c r="AC874" s="34"/>
      <c r="AD874" s="34"/>
      <c r="AE874" s="25"/>
      <c r="AF874" s="25"/>
      <c r="AG874" s="34"/>
      <c r="AH874" s="34"/>
      <c r="AI874" s="37"/>
      <c r="AJ874" s="34"/>
      <c r="AK874" s="25"/>
      <c r="AL874" s="38"/>
      <c r="AM874" s="41"/>
      <c r="AN874" s="25"/>
      <c r="AO874" s="40"/>
      <c r="AP874" s="40"/>
    </row>
    <row r="875" ht="15.0" customHeight="1">
      <c r="A875" s="32" t="s">
        <v>900</v>
      </c>
      <c r="B875" s="34" t="s">
        <v>1404</v>
      </c>
      <c r="C875" s="34" t="s">
        <v>1403</v>
      </c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25"/>
      <c r="X875" s="25"/>
      <c r="Y875" s="34"/>
      <c r="Z875" s="34"/>
      <c r="AA875" s="34"/>
      <c r="AB875" s="34"/>
      <c r="AC875" s="34"/>
      <c r="AD875" s="34"/>
      <c r="AE875" s="25"/>
      <c r="AF875" s="25"/>
      <c r="AG875" s="34"/>
      <c r="AH875" s="34"/>
      <c r="AI875" s="37"/>
      <c r="AJ875" s="34"/>
      <c r="AK875" s="25"/>
      <c r="AL875" s="38"/>
      <c r="AM875" s="41"/>
      <c r="AN875" s="25"/>
      <c r="AO875" s="40"/>
      <c r="AP875" s="40"/>
    </row>
    <row r="876" ht="15.0" customHeight="1">
      <c r="A876" s="32" t="s">
        <v>901</v>
      </c>
      <c r="B876" s="34" t="s">
        <v>1404</v>
      </c>
      <c r="C876" s="34" t="s">
        <v>1403</v>
      </c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25"/>
      <c r="X876" s="25"/>
      <c r="Y876" s="34"/>
      <c r="Z876" s="34"/>
      <c r="AA876" s="34"/>
      <c r="AB876" s="34"/>
      <c r="AC876" s="34"/>
      <c r="AD876" s="34"/>
      <c r="AE876" s="25"/>
      <c r="AF876" s="25"/>
      <c r="AG876" s="34"/>
      <c r="AH876" s="34"/>
      <c r="AI876" s="37"/>
      <c r="AJ876" s="34"/>
      <c r="AK876" s="25"/>
      <c r="AL876" s="38"/>
      <c r="AM876" s="41"/>
      <c r="AN876" s="25"/>
      <c r="AO876" s="40"/>
      <c r="AP876" s="40"/>
    </row>
    <row r="877" ht="15.0" customHeight="1">
      <c r="A877" s="32" t="s">
        <v>902</v>
      </c>
      <c r="B877" s="34" t="s">
        <v>1404</v>
      </c>
      <c r="C877" s="34" t="s">
        <v>1403</v>
      </c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25"/>
      <c r="X877" s="25"/>
      <c r="Y877" s="34"/>
      <c r="Z877" s="34"/>
      <c r="AA877" s="34"/>
      <c r="AB877" s="34"/>
      <c r="AC877" s="34"/>
      <c r="AD877" s="34"/>
      <c r="AE877" s="25"/>
      <c r="AF877" s="25"/>
      <c r="AG877" s="34"/>
      <c r="AH877" s="34"/>
      <c r="AI877" s="37"/>
      <c r="AJ877" s="34"/>
      <c r="AK877" s="25"/>
      <c r="AL877" s="38"/>
      <c r="AM877" s="41"/>
      <c r="AN877" s="25"/>
      <c r="AO877" s="40"/>
      <c r="AP877" s="40"/>
    </row>
    <row r="878" ht="15.0" customHeight="1">
      <c r="A878" s="32" t="s">
        <v>903</v>
      </c>
      <c r="B878" s="34" t="s">
        <v>1404</v>
      </c>
      <c r="C878" s="34" t="s">
        <v>1403</v>
      </c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25"/>
      <c r="X878" s="25"/>
      <c r="Y878" s="34"/>
      <c r="Z878" s="34"/>
      <c r="AA878" s="34"/>
      <c r="AB878" s="34"/>
      <c r="AC878" s="34"/>
      <c r="AD878" s="34"/>
      <c r="AE878" s="25"/>
      <c r="AF878" s="25"/>
      <c r="AG878" s="34"/>
      <c r="AH878" s="34"/>
      <c r="AI878" s="37"/>
      <c r="AJ878" s="34"/>
      <c r="AK878" s="25"/>
      <c r="AL878" s="38"/>
      <c r="AM878" s="41"/>
      <c r="AN878" s="25"/>
      <c r="AO878" s="40"/>
      <c r="AP878" s="40"/>
    </row>
    <row r="879" ht="15.0" customHeight="1">
      <c r="A879" s="32" t="s">
        <v>904</v>
      </c>
      <c r="B879" s="34" t="s">
        <v>1404</v>
      </c>
      <c r="C879" s="34" t="s">
        <v>1403</v>
      </c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25"/>
      <c r="X879" s="25"/>
      <c r="Y879" s="34"/>
      <c r="Z879" s="34"/>
      <c r="AA879" s="34"/>
      <c r="AB879" s="34"/>
      <c r="AC879" s="34"/>
      <c r="AD879" s="34"/>
      <c r="AE879" s="25"/>
      <c r="AF879" s="25"/>
      <c r="AG879" s="34"/>
      <c r="AH879" s="34"/>
      <c r="AI879" s="37"/>
      <c r="AJ879" s="34"/>
      <c r="AK879" s="25"/>
      <c r="AL879" s="38"/>
      <c r="AM879" s="41"/>
      <c r="AN879" s="25"/>
      <c r="AO879" s="40"/>
      <c r="AP879" s="40"/>
    </row>
    <row r="880" ht="15.0" customHeight="1">
      <c r="A880" s="32" t="s">
        <v>905</v>
      </c>
      <c r="B880" s="34" t="s">
        <v>1404</v>
      </c>
      <c r="C880" s="34" t="s">
        <v>1403</v>
      </c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25"/>
      <c r="X880" s="25"/>
      <c r="Y880" s="34"/>
      <c r="Z880" s="34"/>
      <c r="AA880" s="34"/>
      <c r="AB880" s="34"/>
      <c r="AC880" s="34"/>
      <c r="AD880" s="34"/>
      <c r="AE880" s="25"/>
      <c r="AF880" s="25"/>
      <c r="AG880" s="34"/>
      <c r="AH880" s="34"/>
      <c r="AI880" s="37"/>
      <c r="AJ880" s="34"/>
      <c r="AK880" s="25"/>
      <c r="AL880" s="38"/>
      <c r="AM880" s="41"/>
      <c r="AN880" s="25"/>
      <c r="AO880" s="40"/>
      <c r="AP880" s="40"/>
    </row>
    <row r="881" ht="15.0" customHeight="1">
      <c r="A881" s="32" t="s">
        <v>906</v>
      </c>
      <c r="B881" s="34" t="s">
        <v>1404</v>
      </c>
      <c r="C881" s="34" t="s">
        <v>1403</v>
      </c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25"/>
      <c r="X881" s="25"/>
      <c r="Y881" s="34"/>
      <c r="Z881" s="34"/>
      <c r="AA881" s="34"/>
      <c r="AB881" s="34"/>
      <c r="AC881" s="34"/>
      <c r="AD881" s="34"/>
      <c r="AE881" s="25"/>
      <c r="AF881" s="25"/>
      <c r="AG881" s="34"/>
      <c r="AH881" s="34"/>
      <c r="AI881" s="37"/>
      <c r="AJ881" s="34"/>
      <c r="AK881" s="25"/>
      <c r="AL881" s="38"/>
      <c r="AM881" s="41"/>
      <c r="AN881" s="25"/>
      <c r="AO881" s="40"/>
      <c r="AP881" s="40"/>
    </row>
    <row r="882" ht="15.0" customHeight="1">
      <c r="A882" s="32" t="s">
        <v>907</v>
      </c>
      <c r="B882" s="34" t="s">
        <v>1404</v>
      </c>
      <c r="C882" s="34" t="s">
        <v>1403</v>
      </c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25"/>
      <c r="X882" s="25"/>
      <c r="Y882" s="34"/>
      <c r="Z882" s="34"/>
      <c r="AA882" s="34"/>
      <c r="AB882" s="34"/>
      <c r="AC882" s="34"/>
      <c r="AD882" s="34"/>
      <c r="AE882" s="25"/>
      <c r="AF882" s="25"/>
      <c r="AG882" s="34"/>
      <c r="AH882" s="34"/>
      <c r="AI882" s="37"/>
      <c r="AJ882" s="34"/>
      <c r="AK882" s="25"/>
      <c r="AL882" s="38"/>
      <c r="AM882" s="41"/>
      <c r="AN882" s="25"/>
      <c r="AO882" s="40"/>
      <c r="AP882" s="40"/>
    </row>
    <row r="883" ht="15.0" customHeight="1">
      <c r="A883" s="32" t="s">
        <v>908</v>
      </c>
      <c r="B883" s="34" t="s">
        <v>1404</v>
      </c>
      <c r="C883" s="34" t="s">
        <v>1403</v>
      </c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25"/>
      <c r="X883" s="25"/>
      <c r="Y883" s="34"/>
      <c r="Z883" s="34"/>
      <c r="AA883" s="34"/>
      <c r="AB883" s="34"/>
      <c r="AC883" s="34"/>
      <c r="AD883" s="34"/>
      <c r="AE883" s="25"/>
      <c r="AF883" s="25"/>
      <c r="AG883" s="34"/>
      <c r="AH883" s="34"/>
      <c r="AI883" s="37"/>
      <c r="AJ883" s="34"/>
      <c r="AK883" s="25"/>
      <c r="AL883" s="38"/>
      <c r="AM883" s="41"/>
      <c r="AN883" s="25"/>
      <c r="AO883" s="40"/>
      <c r="AP883" s="40"/>
    </row>
    <row r="884" ht="15.0" customHeight="1">
      <c r="A884" s="32" t="s">
        <v>909</v>
      </c>
      <c r="B884" s="34" t="s">
        <v>1404</v>
      </c>
      <c r="C884" s="34" t="s">
        <v>1403</v>
      </c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25"/>
      <c r="X884" s="25"/>
      <c r="Y884" s="34"/>
      <c r="Z884" s="34"/>
      <c r="AA884" s="34"/>
      <c r="AB884" s="34"/>
      <c r="AC884" s="34"/>
      <c r="AD884" s="34"/>
      <c r="AE884" s="25"/>
      <c r="AF884" s="25"/>
      <c r="AG884" s="34"/>
      <c r="AH884" s="34"/>
      <c r="AI884" s="37"/>
      <c r="AJ884" s="34"/>
      <c r="AK884" s="25"/>
      <c r="AL884" s="38"/>
      <c r="AM884" s="41"/>
      <c r="AN884" s="25"/>
      <c r="AO884" s="40"/>
      <c r="AP884" s="40"/>
    </row>
    <row r="885" ht="15.0" customHeight="1">
      <c r="A885" s="32" t="s">
        <v>910</v>
      </c>
      <c r="B885" s="34" t="s">
        <v>1404</v>
      </c>
      <c r="C885" s="34" t="s">
        <v>1403</v>
      </c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25"/>
      <c r="X885" s="25"/>
      <c r="Y885" s="34"/>
      <c r="Z885" s="34"/>
      <c r="AA885" s="34"/>
      <c r="AB885" s="34"/>
      <c r="AC885" s="34"/>
      <c r="AD885" s="34"/>
      <c r="AE885" s="25"/>
      <c r="AF885" s="25"/>
      <c r="AG885" s="34"/>
      <c r="AH885" s="34"/>
      <c r="AI885" s="37"/>
      <c r="AJ885" s="34"/>
      <c r="AK885" s="25"/>
      <c r="AL885" s="38"/>
      <c r="AM885" s="41"/>
      <c r="AN885" s="25"/>
      <c r="AO885" s="40"/>
      <c r="AP885" s="40"/>
    </row>
    <row r="886" ht="15.0" customHeight="1">
      <c r="A886" s="32" t="s">
        <v>911</v>
      </c>
      <c r="B886" s="34" t="s">
        <v>1404</v>
      </c>
      <c r="C886" s="34" t="s">
        <v>1403</v>
      </c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25"/>
      <c r="X886" s="25"/>
      <c r="Y886" s="34"/>
      <c r="Z886" s="34"/>
      <c r="AA886" s="34"/>
      <c r="AB886" s="34"/>
      <c r="AC886" s="34"/>
      <c r="AD886" s="34"/>
      <c r="AE886" s="25"/>
      <c r="AF886" s="25"/>
      <c r="AG886" s="34"/>
      <c r="AH886" s="34"/>
      <c r="AI886" s="37"/>
      <c r="AJ886" s="34"/>
      <c r="AK886" s="25"/>
      <c r="AL886" s="38"/>
      <c r="AM886" s="41"/>
      <c r="AN886" s="25"/>
      <c r="AO886" s="40"/>
      <c r="AP886" s="40"/>
    </row>
    <row r="887" ht="15.0" customHeight="1">
      <c r="A887" s="32" t="s">
        <v>912</v>
      </c>
      <c r="B887" s="34" t="s">
        <v>1404</v>
      </c>
      <c r="C887" s="34" t="s">
        <v>1403</v>
      </c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25"/>
      <c r="X887" s="25"/>
      <c r="Y887" s="34"/>
      <c r="Z887" s="34"/>
      <c r="AA887" s="34"/>
      <c r="AB887" s="34"/>
      <c r="AC887" s="34"/>
      <c r="AD887" s="34"/>
      <c r="AE887" s="25"/>
      <c r="AF887" s="25"/>
      <c r="AG887" s="34"/>
      <c r="AH887" s="34"/>
      <c r="AI887" s="37"/>
      <c r="AJ887" s="34"/>
      <c r="AK887" s="25"/>
      <c r="AL887" s="38"/>
      <c r="AM887" s="41"/>
      <c r="AN887" s="25"/>
      <c r="AO887" s="40"/>
      <c r="AP887" s="40"/>
    </row>
    <row r="888" ht="15.0" customHeight="1">
      <c r="A888" s="32" t="s">
        <v>913</v>
      </c>
      <c r="B888" s="34" t="s">
        <v>1404</v>
      </c>
      <c r="C888" s="34" t="s">
        <v>1403</v>
      </c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25"/>
      <c r="X888" s="25"/>
      <c r="Y888" s="34"/>
      <c r="Z888" s="34"/>
      <c r="AA888" s="34"/>
      <c r="AB888" s="34"/>
      <c r="AC888" s="34"/>
      <c r="AD888" s="34"/>
      <c r="AE888" s="25"/>
      <c r="AF888" s="25"/>
      <c r="AG888" s="34"/>
      <c r="AH888" s="34"/>
      <c r="AI888" s="37"/>
      <c r="AJ888" s="34"/>
      <c r="AK888" s="25"/>
      <c r="AL888" s="38"/>
      <c r="AM888" s="41"/>
      <c r="AN888" s="25"/>
      <c r="AO888" s="40"/>
      <c r="AP888" s="40"/>
    </row>
    <row r="889" ht="15.0" customHeight="1">
      <c r="A889" s="32" t="s">
        <v>914</v>
      </c>
      <c r="B889" s="34" t="s">
        <v>1404</v>
      </c>
      <c r="C889" s="34" t="s">
        <v>1403</v>
      </c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25"/>
      <c r="X889" s="25"/>
      <c r="Y889" s="34"/>
      <c r="Z889" s="34"/>
      <c r="AA889" s="34"/>
      <c r="AB889" s="34"/>
      <c r="AC889" s="34"/>
      <c r="AD889" s="34"/>
      <c r="AE889" s="25"/>
      <c r="AF889" s="25"/>
      <c r="AG889" s="34"/>
      <c r="AH889" s="34"/>
      <c r="AI889" s="37"/>
      <c r="AJ889" s="34"/>
      <c r="AK889" s="25"/>
      <c r="AL889" s="38"/>
      <c r="AM889" s="41"/>
      <c r="AN889" s="25"/>
      <c r="AO889" s="40"/>
      <c r="AP889" s="40"/>
    </row>
    <row r="890" ht="15.0" customHeight="1">
      <c r="A890" s="32" t="s">
        <v>915</v>
      </c>
      <c r="B890" s="34" t="s">
        <v>1404</v>
      </c>
      <c r="C890" s="34" t="s">
        <v>1403</v>
      </c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25"/>
      <c r="X890" s="25"/>
      <c r="Y890" s="34"/>
      <c r="Z890" s="34"/>
      <c r="AA890" s="34"/>
      <c r="AB890" s="34"/>
      <c r="AC890" s="34"/>
      <c r="AD890" s="34"/>
      <c r="AE890" s="25"/>
      <c r="AF890" s="25"/>
      <c r="AG890" s="34"/>
      <c r="AH890" s="34"/>
      <c r="AI890" s="37"/>
      <c r="AJ890" s="34"/>
      <c r="AK890" s="25"/>
      <c r="AL890" s="38"/>
      <c r="AM890" s="41"/>
      <c r="AN890" s="25"/>
      <c r="AO890" s="40"/>
      <c r="AP890" s="40"/>
    </row>
    <row r="891" ht="15.0" customHeight="1">
      <c r="A891" s="32" t="s">
        <v>916</v>
      </c>
      <c r="B891" s="34" t="s">
        <v>1404</v>
      </c>
      <c r="C891" s="34" t="s">
        <v>1403</v>
      </c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25"/>
      <c r="X891" s="25"/>
      <c r="Y891" s="34"/>
      <c r="Z891" s="34"/>
      <c r="AA891" s="34"/>
      <c r="AB891" s="34"/>
      <c r="AC891" s="34"/>
      <c r="AD891" s="34"/>
      <c r="AE891" s="25"/>
      <c r="AF891" s="25"/>
      <c r="AG891" s="34"/>
      <c r="AH891" s="34"/>
      <c r="AI891" s="37"/>
      <c r="AJ891" s="34"/>
      <c r="AK891" s="25"/>
      <c r="AL891" s="38"/>
      <c r="AM891" s="41"/>
      <c r="AN891" s="25"/>
      <c r="AO891" s="40"/>
      <c r="AP891" s="40"/>
    </row>
    <row r="892" ht="15.0" customHeight="1">
      <c r="A892" s="32" t="s">
        <v>917</v>
      </c>
      <c r="B892" s="34" t="s">
        <v>1404</v>
      </c>
      <c r="C892" s="34" t="s">
        <v>1403</v>
      </c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25"/>
      <c r="X892" s="25"/>
      <c r="Y892" s="34"/>
      <c r="Z892" s="34"/>
      <c r="AA892" s="34"/>
      <c r="AB892" s="34"/>
      <c r="AC892" s="34"/>
      <c r="AD892" s="34"/>
      <c r="AE892" s="25"/>
      <c r="AF892" s="25"/>
      <c r="AG892" s="34"/>
      <c r="AH892" s="34"/>
      <c r="AI892" s="37"/>
      <c r="AJ892" s="34"/>
      <c r="AK892" s="25"/>
      <c r="AL892" s="38"/>
      <c r="AM892" s="41"/>
      <c r="AN892" s="25"/>
      <c r="AO892" s="40"/>
      <c r="AP892" s="40"/>
    </row>
    <row r="893" ht="15.0" customHeight="1">
      <c r="A893" s="32" t="s">
        <v>918</v>
      </c>
      <c r="B893" s="34" t="s">
        <v>1404</v>
      </c>
      <c r="C893" s="34" t="s">
        <v>1403</v>
      </c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25"/>
      <c r="X893" s="25"/>
      <c r="Y893" s="34"/>
      <c r="Z893" s="34"/>
      <c r="AA893" s="34"/>
      <c r="AB893" s="34"/>
      <c r="AC893" s="34"/>
      <c r="AD893" s="34"/>
      <c r="AE893" s="25"/>
      <c r="AF893" s="25"/>
      <c r="AG893" s="34"/>
      <c r="AH893" s="34"/>
      <c r="AI893" s="37"/>
      <c r="AJ893" s="34"/>
      <c r="AK893" s="25"/>
      <c r="AL893" s="38"/>
      <c r="AM893" s="41"/>
      <c r="AN893" s="25"/>
      <c r="AO893" s="40"/>
      <c r="AP893" s="40"/>
    </row>
    <row r="894" ht="15.0" customHeight="1">
      <c r="A894" s="32" t="s">
        <v>919</v>
      </c>
      <c r="B894" s="34" t="s">
        <v>1404</v>
      </c>
      <c r="C894" s="34" t="s">
        <v>1403</v>
      </c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25"/>
      <c r="X894" s="25"/>
      <c r="Y894" s="34"/>
      <c r="Z894" s="34"/>
      <c r="AA894" s="34"/>
      <c r="AB894" s="34"/>
      <c r="AC894" s="34"/>
      <c r="AD894" s="34"/>
      <c r="AE894" s="25"/>
      <c r="AF894" s="25"/>
      <c r="AG894" s="34"/>
      <c r="AH894" s="34"/>
      <c r="AI894" s="37"/>
      <c r="AJ894" s="34"/>
      <c r="AK894" s="25"/>
      <c r="AL894" s="38"/>
      <c r="AM894" s="41"/>
      <c r="AN894" s="25"/>
      <c r="AO894" s="40"/>
      <c r="AP894" s="40"/>
    </row>
    <row r="895" ht="15.0" customHeight="1">
      <c r="A895" s="32" t="s">
        <v>920</v>
      </c>
      <c r="B895" s="34" t="s">
        <v>1404</v>
      </c>
      <c r="C895" s="34" t="s">
        <v>1403</v>
      </c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25"/>
      <c r="X895" s="25"/>
      <c r="Y895" s="34"/>
      <c r="Z895" s="34"/>
      <c r="AA895" s="34"/>
      <c r="AB895" s="34"/>
      <c r="AC895" s="34"/>
      <c r="AD895" s="34"/>
      <c r="AE895" s="25"/>
      <c r="AF895" s="25"/>
      <c r="AG895" s="34"/>
      <c r="AH895" s="34"/>
      <c r="AI895" s="37"/>
      <c r="AJ895" s="34"/>
      <c r="AK895" s="25"/>
      <c r="AL895" s="38"/>
      <c r="AM895" s="41"/>
      <c r="AN895" s="25"/>
      <c r="AO895" s="40"/>
      <c r="AP895" s="40"/>
    </row>
    <row r="896" ht="15.0" customHeight="1">
      <c r="A896" s="32" t="s">
        <v>921</v>
      </c>
      <c r="B896" s="34" t="s">
        <v>1404</v>
      </c>
      <c r="C896" s="34" t="s">
        <v>1403</v>
      </c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25"/>
      <c r="X896" s="25"/>
      <c r="Y896" s="34"/>
      <c r="Z896" s="34"/>
      <c r="AA896" s="34"/>
      <c r="AB896" s="34"/>
      <c r="AC896" s="34"/>
      <c r="AD896" s="34"/>
      <c r="AE896" s="25"/>
      <c r="AF896" s="25"/>
      <c r="AG896" s="34"/>
      <c r="AH896" s="34"/>
      <c r="AI896" s="37"/>
      <c r="AJ896" s="34"/>
      <c r="AK896" s="25"/>
      <c r="AL896" s="38"/>
      <c r="AM896" s="41"/>
      <c r="AN896" s="25"/>
      <c r="AO896" s="40"/>
      <c r="AP896" s="40"/>
    </row>
    <row r="897" ht="15.0" customHeight="1">
      <c r="A897" s="32" t="s">
        <v>922</v>
      </c>
      <c r="B897" s="34" t="s">
        <v>1404</v>
      </c>
      <c r="C897" s="34" t="s">
        <v>1403</v>
      </c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25"/>
      <c r="X897" s="25"/>
      <c r="Y897" s="34"/>
      <c r="Z897" s="34"/>
      <c r="AA897" s="34"/>
      <c r="AB897" s="34"/>
      <c r="AC897" s="34"/>
      <c r="AD897" s="34"/>
      <c r="AE897" s="25"/>
      <c r="AF897" s="25"/>
      <c r="AG897" s="34"/>
      <c r="AH897" s="34"/>
      <c r="AI897" s="37"/>
      <c r="AJ897" s="34"/>
      <c r="AK897" s="25"/>
      <c r="AL897" s="38"/>
      <c r="AM897" s="41"/>
      <c r="AN897" s="25"/>
      <c r="AO897" s="40"/>
      <c r="AP897" s="40"/>
    </row>
    <row r="898" ht="15.0" customHeight="1">
      <c r="A898" s="32" t="s">
        <v>923</v>
      </c>
      <c r="B898" s="34" t="s">
        <v>1404</v>
      </c>
      <c r="C898" s="34" t="s">
        <v>1403</v>
      </c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25"/>
      <c r="X898" s="25"/>
      <c r="Y898" s="34"/>
      <c r="Z898" s="34"/>
      <c r="AA898" s="34"/>
      <c r="AB898" s="34"/>
      <c r="AC898" s="34"/>
      <c r="AD898" s="34"/>
      <c r="AE898" s="25"/>
      <c r="AF898" s="25"/>
      <c r="AG898" s="34"/>
      <c r="AH898" s="34"/>
      <c r="AI898" s="37"/>
      <c r="AJ898" s="34"/>
      <c r="AK898" s="25"/>
      <c r="AL898" s="38"/>
      <c r="AM898" s="41"/>
      <c r="AN898" s="25"/>
      <c r="AO898" s="40"/>
      <c r="AP898" s="40"/>
    </row>
    <row r="899" ht="15.0" customHeight="1">
      <c r="A899" s="32" t="s">
        <v>924</v>
      </c>
      <c r="B899" s="34" t="s">
        <v>1404</v>
      </c>
      <c r="C899" s="34" t="s">
        <v>1403</v>
      </c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25"/>
      <c r="X899" s="25"/>
      <c r="Y899" s="34"/>
      <c r="Z899" s="34"/>
      <c r="AA899" s="34"/>
      <c r="AB899" s="34"/>
      <c r="AC899" s="34"/>
      <c r="AD899" s="34"/>
      <c r="AE899" s="25"/>
      <c r="AF899" s="25"/>
      <c r="AG899" s="34"/>
      <c r="AH899" s="34"/>
      <c r="AI899" s="37"/>
      <c r="AJ899" s="34"/>
      <c r="AK899" s="25"/>
      <c r="AL899" s="38"/>
      <c r="AM899" s="41"/>
      <c r="AN899" s="25"/>
      <c r="AO899" s="40"/>
      <c r="AP899" s="40"/>
    </row>
    <row r="900" ht="15.0" customHeight="1">
      <c r="A900" s="32" t="s">
        <v>925</v>
      </c>
      <c r="B900" s="34" t="s">
        <v>1404</v>
      </c>
      <c r="C900" s="34" t="s">
        <v>1403</v>
      </c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25"/>
      <c r="X900" s="25"/>
      <c r="Y900" s="34"/>
      <c r="Z900" s="34"/>
      <c r="AA900" s="34"/>
      <c r="AB900" s="34"/>
      <c r="AC900" s="34"/>
      <c r="AD900" s="34"/>
      <c r="AE900" s="25"/>
      <c r="AF900" s="25"/>
      <c r="AG900" s="34"/>
      <c r="AH900" s="34"/>
      <c r="AI900" s="37"/>
      <c r="AJ900" s="34"/>
      <c r="AK900" s="25"/>
      <c r="AL900" s="38"/>
      <c r="AM900" s="41"/>
      <c r="AN900" s="25"/>
      <c r="AO900" s="40"/>
      <c r="AP900" s="40"/>
    </row>
    <row r="901" ht="15.0" customHeight="1">
      <c r="A901" s="32" t="s">
        <v>926</v>
      </c>
      <c r="B901" s="34" t="s">
        <v>1404</v>
      </c>
      <c r="C901" s="34" t="s">
        <v>1403</v>
      </c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25"/>
      <c r="X901" s="25"/>
      <c r="Y901" s="34"/>
      <c r="Z901" s="34"/>
      <c r="AA901" s="34"/>
      <c r="AB901" s="34"/>
      <c r="AC901" s="34"/>
      <c r="AD901" s="34"/>
      <c r="AE901" s="25"/>
      <c r="AF901" s="25"/>
      <c r="AG901" s="34"/>
      <c r="AH901" s="34"/>
      <c r="AI901" s="37"/>
      <c r="AJ901" s="34"/>
      <c r="AK901" s="25"/>
      <c r="AL901" s="38"/>
      <c r="AM901" s="41"/>
      <c r="AN901" s="25"/>
      <c r="AO901" s="40"/>
      <c r="AP901" s="40"/>
    </row>
    <row r="902" ht="15.0" customHeight="1">
      <c r="A902" s="32" t="s">
        <v>927</v>
      </c>
      <c r="B902" s="34" t="s">
        <v>1404</v>
      </c>
      <c r="C902" s="34" t="s">
        <v>1403</v>
      </c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25"/>
      <c r="X902" s="25"/>
      <c r="Y902" s="34"/>
      <c r="Z902" s="34"/>
      <c r="AA902" s="34"/>
      <c r="AB902" s="34"/>
      <c r="AC902" s="34"/>
      <c r="AD902" s="34"/>
      <c r="AE902" s="25"/>
      <c r="AF902" s="25"/>
      <c r="AG902" s="34"/>
      <c r="AH902" s="34"/>
      <c r="AI902" s="37"/>
      <c r="AJ902" s="34"/>
      <c r="AK902" s="25"/>
      <c r="AL902" s="38"/>
      <c r="AM902" s="41"/>
      <c r="AN902" s="25"/>
      <c r="AO902" s="40"/>
      <c r="AP902" s="40"/>
    </row>
    <row r="903" ht="15.0" customHeight="1">
      <c r="A903" s="32" t="s">
        <v>928</v>
      </c>
      <c r="B903" s="34" t="s">
        <v>1404</v>
      </c>
      <c r="C903" s="34" t="s">
        <v>1403</v>
      </c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25"/>
      <c r="X903" s="25"/>
      <c r="Y903" s="34"/>
      <c r="Z903" s="34"/>
      <c r="AA903" s="34"/>
      <c r="AB903" s="34"/>
      <c r="AC903" s="34"/>
      <c r="AD903" s="34"/>
      <c r="AE903" s="25"/>
      <c r="AF903" s="25"/>
      <c r="AG903" s="34"/>
      <c r="AH903" s="34"/>
      <c r="AI903" s="37"/>
      <c r="AJ903" s="34"/>
      <c r="AK903" s="25"/>
      <c r="AL903" s="38"/>
      <c r="AM903" s="41"/>
      <c r="AN903" s="25"/>
      <c r="AO903" s="40"/>
      <c r="AP903" s="40"/>
    </row>
    <row r="904" ht="15.0" customHeight="1">
      <c r="A904" s="32" t="s">
        <v>929</v>
      </c>
      <c r="B904" s="34" t="s">
        <v>1404</v>
      </c>
      <c r="C904" s="34" t="s">
        <v>1403</v>
      </c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25"/>
      <c r="X904" s="25"/>
      <c r="Y904" s="34"/>
      <c r="Z904" s="34"/>
      <c r="AA904" s="34"/>
      <c r="AB904" s="34"/>
      <c r="AC904" s="34"/>
      <c r="AD904" s="34"/>
      <c r="AE904" s="25"/>
      <c r="AF904" s="25"/>
      <c r="AG904" s="34"/>
      <c r="AH904" s="34"/>
      <c r="AI904" s="37"/>
      <c r="AJ904" s="34"/>
      <c r="AK904" s="25"/>
      <c r="AL904" s="38"/>
      <c r="AM904" s="41"/>
      <c r="AN904" s="25"/>
      <c r="AO904" s="40"/>
      <c r="AP904" s="40"/>
    </row>
    <row r="905" ht="15.0" customHeight="1">
      <c r="A905" s="32" t="s">
        <v>930</v>
      </c>
      <c r="B905" s="34" t="s">
        <v>1404</v>
      </c>
      <c r="C905" s="34" t="s">
        <v>1403</v>
      </c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25"/>
      <c r="X905" s="25"/>
      <c r="Y905" s="34"/>
      <c r="Z905" s="34"/>
      <c r="AA905" s="34"/>
      <c r="AB905" s="34"/>
      <c r="AC905" s="34"/>
      <c r="AD905" s="34"/>
      <c r="AE905" s="25"/>
      <c r="AF905" s="25"/>
      <c r="AG905" s="34"/>
      <c r="AH905" s="34"/>
      <c r="AI905" s="37"/>
      <c r="AJ905" s="34"/>
      <c r="AK905" s="25"/>
      <c r="AL905" s="38"/>
      <c r="AM905" s="41"/>
      <c r="AN905" s="25"/>
      <c r="AO905" s="40"/>
      <c r="AP905" s="40"/>
    </row>
    <row r="906" ht="15.0" customHeight="1">
      <c r="A906" s="32" t="s">
        <v>931</v>
      </c>
      <c r="B906" s="34" t="s">
        <v>1404</v>
      </c>
      <c r="C906" s="34" t="s">
        <v>1403</v>
      </c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25"/>
      <c r="X906" s="25"/>
      <c r="Y906" s="34"/>
      <c r="Z906" s="34"/>
      <c r="AA906" s="34"/>
      <c r="AB906" s="34"/>
      <c r="AC906" s="34"/>
      <c r="AD906" s="34"/>
      <c r="AE906" s="25"/>
      <c r="AF906" s="25"/>
      <c r="AG906" s="34"/>
      <c r="AH906" s="34"/>
      <c r="AI906" s="37"/>
      <c r="AJ906" s="34"/>
      <c r="AK906" s="25"/>
      <c r="AL906" s="38"/>
      <c r="AM906" s="41"/>
      <c r="AN906" s="25"/>
      <c r="AO906" s="40"/>
      <c r="AP906" s="40"/>
    </row>
    <row r="907" ht="15.0" customHeight="1">
      <c r="A907" s="32" t="s">
        <v>932</v>
      </c>
      <c r="B907" s="34" t="s">
        <v>1404</v>
      </c>
      <c r="C907" s="34" t="s">
        <v>1403</v>
      </c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25"/>
      <c r="X907" s="25"/>
      <c r="Y907" s="34"/>
      <c r="Z907" s="34"/>
      <c r="AA907" s="34"/>
      <c r="AB907" s="34"/>
      <c r="AC907" s="34"/>
      <c r="AD907" s="34"/>
      <c r="AE907" s="25"/>
      <c r="AF907" s="25"/>
      <c r="AG907" s="34"/>
      <c r="AH907" s="34"/>
      <c r="AI907" s="37"/>
      <c r="AJ907" s="34"/>
      <c r="AK907" s="25"/>
      <c r="AL907" s="38"/>
      <c r="AM907" s="41"/>
      <c r="AN907" s="25"/>
      <c r="AO907" s="40"/>
      <c r="AP907" s="40"/>
    </row>
    <row r="908" ht="15.0" customHeight="1">
      <c r="A908" s="32" t="s">
        <v>933</v>
      </c>
      <c r="B908" s="34" t="s">
        <v>1404</v>
      </c>
      <c r="C908" s="34" t="s">
        <v>1403</v>
      </c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25"/>
      <c r="X908" s="25"/>
      <c r="Y908" s="34"/>
      <c r="Z908" s="34"/>
      <c r="AA908" s="34"/>
      <c r="AB908" s="34"/>
      <c r="AC908" s="34"/>
      <c r="AD908" s="34"/>
      <c r="AE908" s="25"/>
      <c r="AF908" s="25"/>
      <c r="AG908" s="34"/>
      <c r="AH908" s="34"/>
      <c r="AI908" s="37"/>
      <c r="AJ908" s="34"/>
      <c r="AK908" s="25"/>
      <c r="AL908" s="38"/>
      <c r="AM908" s="41"/>
      <c r="AN908" s="25"/>
      <c r="AO908" s="40"/>
      <c r="AP908" s="40"/>
    </row>
    <row r="909" ht="15.0" customHeight="1">
      <c r="A909" s="32" t="s">
        <v>934</v>
      </c>
      <c r="B909" s="34" t="s">
        <v>1404</v>
      </c>
      <c r="C909" s="34" t="s">
        <v>1403</v>
      </c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25"/>
      <c r="X909" s="25"/>
      <c r="Y909" s="34"/>
      <c r="Z909" s="34"/>
      <c r="AA909" s="34"/>
      <c r="AB909" s="34"/>
      <c r="AC909" s="34"/>
      <c r="AD909" s="34"/>
      <c r="AE909" s="25"/>
      <c r="AF909" s="25"/>
      <c r="AG909" s="34"/>
      <c r="AH909" s="34"/>
      <c r="AI909" s="37"/>
      <c r="AJ909" s="34"/>
      <c r="AK909" s="25"/>
      <c r="AL909" s="38"/>
      <c r="AM909" s="41"/>
      <c r="AN909" s="25"/>
      <c r="AO909" s="40"/>
      <c r="AP909" s="40"/>
    </row>
    <row r="910" ht="15.0" customHeight="1">
      <c r="A910" s="32" t="s">
        <v>935</v>
      </c>
      <c r="B910" s="34" t="s">
        <v>1404</v>
      </c>
      <c r="C910" s="34" t="s">
        <v>1403</v>
      </c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25"/>
      <c r="X910" s="25"/>
      <c r="Y910" s="34"/>
      <c r="Z910" s="34"/>
      <c r="AA910" s="34"/>
      <c r="AB910" s="34"/>
      <c r="AC910" s="34"/>
      <c r="AD910" s="34"/>
      <c r="AE910" s="25"/>
      <c r="AF910" s="25"/>
      <c r="AG910" s="34"/>
      <c r="AH910" s="34"/>
      <c r="AI910" s="37"/>
      <c r="AJ910" s="34"/>
      <c r="AK910" s="25"/>
      <c r="AL910" s="38"/>
      <c r="AM910" s="41"/>
      <c r="AN910" s="25"/>
      <c r="AO910" s="40"/>
      <c r="AP910" s="40"/>
    </row>
    <row r="911" ht="15.0" customHeight="1">
      <c r="A911" s="32" t="s">
        <v>936</v>
      </c>
      <c r="B911" s="34" t="s">
        <v>1404</v>
      </c>
      <c r="C911" s="34" t="s">
        <v>1403</v>
      </c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25"/>
      <c r="X911" s="25"/>
      <c r="Y911" s="34"/>
      <c r="Z911" s="34"/>
      <c r="AA911" s="34"/>
      <c r="AB911" s="34"/>
      <c r="AC911" s="34"/>
      <c r="AD911" s="34"/>
      <c r="AE911" s="25"/>
      <c r="AF911" s="25"/>
      <c r="AG911" s="34"/>
      <c r="AH911" s="34"/>
      <c r="AI911" s="37"/>
      <c r="AJ911" s="34"/>
      <c r="AK911" s="25"/>
      <c r="AL911" s="38"/>
      <c r="AM911" s="41"/>
      <c r="AN911" s="25"/>
      <c r="AO911" s="40"/>
      <c r="AP911" s="40"/>
    </row>
    <row r="912" ht="15.0" customHeight="1">
      <c r="A912" s="32" t="s">
        <v>937</v>
      </c>
      <c r="B912" s="34" t="s">
        <v>1404</v>
      </c>
      <c r="C912" s="34" t="s">
        <v>1403</v>
      </c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25"/>
      <c r="X912" s="25"/>
      <c r="Y912" s="34"/>
      <c r="Z912" s="34"/>
      <c r="AA912" s="34"/>
      <c r="AB912" s="34"/>
      <c r="AC912" s="34"/>
      <c r="AD912" s="34"/>
      <c r="AE912" s="25"/>
      <c r="AF912" s="25"/>
      <c r="AG912" s="34"/>
      <c r="AH912" s="34"/>
      <c r="AI912" s="37"/>
      <c r="AJ912" s="34"/>
      <c r="AK912" s="25"/>
      <c r="AL912" s="38"/>
      <c r="AM912" s="41"/>
      <c r="AN912" s="25"/>
      <c r="AO912" s="40"/>
      <c r="AP912" s="40"/>
    </row>
    <row r="913" ht="15.0" customHeight="1">
      <c r="A913" s="32" t="s">
        <v>938</v>
      </c>
      <c r="B913" s="34" t="s">
        <v>1404</v>
      </c>
      <c r="C913" s="34" t="s">
        <v>1403</v>
      </c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25"/>
      <c r="X913" s="25"/>
      <c r="Y913" s="34"/>
      <c r="Z913" s="34"/>
      <c r="AA913" s="34"/>
      <c r="AB913" s="34"/>
      <c r="AC913" s="34"/>
      <c r="AD913" s="34"/>
      <c r="AE913" s="25"/>
      <c r="AF913" s="25"/>
      <c r="AG913" s="34"/>
      <c r="AH913" s="34"/>
      <c r="AI913" s="37"/>
      <c r="AJ913" s="34"/>
      <c r="AK913" s="25"/>
      <c r="AL913" s="38"/>
      <c r="AM913" s="41"/>
      <c r="AN913" s="25"/>
      <c r="AO913" s="40"/>
      <c r="AP913" s="40"/>
    </row>
    <row r="914" ht="15.0" customHeight="1">
      <c r="A914" s="32" t="s">
        <v>939</v>
      </c>
      <c r="B914" s="34" t="s">
        <v>1404</v>
      </c>
      <c r="C914" s="34" t="s">
        <v>1403</v>
      </c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25"/>
      <c r="X914" s="25"/>
      <c r="Y914" s="34"/>
      <c r="Z914" s="34"/>
      <c r="AA914" s="34"/>
      <c r="AB914" s="34"/>
      <c r="AC914" s="34"/>
      <c r="AD914" s="34"/>
      <c r="AE914" s="25"/>
      <c r="AF914" s="25"/>
      <c r="AG914" s="34"/>
      <c r="AH914" s="34"/>
      <c r="AI914" s="37"/>
      <c r="AJ914" s="34"/>
      <c r="AK914" s="25"/>
      <c r="AL914" s="38"/>
      <c r="AM914" s="41"/>
      <c r="AN914" s="25"/>
      <c r="AO914" s="40"/>
      <c r="AP914" s="40"/>
    </row>
    <row r="915" ht="15.0" customHeight="1">
      <c r="A915" s="32" t="s">
        <v>940</v>
      </c>
      <c r="B915" s="34" t="s">
        <v>1404</v>
      </c>
      <c r="C915" s="34" t="s">
        <v>1403</v>
      </c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25"/>
      <c r="X915" s="25"/>
      <c r="Y915" s="34"/>
      <c r="Z915" s="34"/>
      <c r="AA915" s="34"/>
      <c r="AB915" s="34"/>
      <c r="AC915" s="34"/>
      <c r="AD915" s="34"/>
      <c r="AE915" s="25"/>
      <c r="AF915" s="25"/>
      <c r="AG915" s="34"/>
      <c r="AH915" s="34"/>
      <c r="AI915" s="37"/>
      <c r="AJ915" s="34"/>
      <c r="AK915" s="25"/>
      <c r="AL915" s="38"/>
      <c r="AM915" s="41"/>
      <c r="AN915" s="25"/>
      <c r="AO915" s="40"/>
      <c r="AP915" s="40"/>
    </row>
    <row r="916" ht="15.0" customHeight="1">
      <c r="A916" s="32" t="s">
        <v>941</v>
      </c>
      <c r="B916" s="34" t="s">
        <v>1404</v>
      </c>
      <c r="C916" s="34" t="s">
        <v>1403</v>
      </c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25"/>
      <c r="X916" s="25"/>
      <c r="Y916" s="34"/>
      <c r="Z916" s="34"/>
      <c r="AA916" s="34"/>
      <c r="AB916" s="34"/>
      <c r="AC916" s="34"/>
      <c r="AD916" s="34"/>
      <c r="AE916" s="25"/>
      <c r="AF916" s="25"/>
      <c r="AG916" s="34"/>
      <c r="AH916" s="34"/>
      <c r="AI916" s="37"/>
      <c r="AJ916" s="34"/>
      <c r="AK916" s="25"/>
      <c r="AL916" s="38"/>
      <c r="AM916" s="41"/>
      <c r="AN916" s="25"/>
      <c r="AO916" s="40"/>
      <c r="AP916" s="40"/>
    </row>
    <row r="917" ht="15.0" customHeight="1">
      <c r="A917" s="32" t="s">
        <v>942</v>
      </c>
      <c r="B917" s="34" t="s">
        <v>1404</v>
      </c>
      <c r="C917" s="34" t="s">
        <v>1403</v>
      </c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25"/>
      <c r="X917" s="25"/>
      <c r="Y917" s="34"/>
      <c r="Z917" s="34"/>
      <c r="AA917" s="34"/>
      <c r="AB917" s="34"/>
      <c r="AC917" s="34"/>
      <c r="AD917" s="34"/>
      <c r="AE917" s="25"/>
      <c r="AF917" s="25"/>
      <c r="AG917" s="34"/>
      <c r="AH917" s="34"/>
      <c r="AI917" s="37"/>
      <c r="AJ917" s="34"/>
      <c r="AK917" s="25"/>
      <c r="AL917" s="38"/>
      <c r="AM917" s="41"/>
      <c r="AN917" s="25"/>
      <c r="AO917" s="40"/>
      <c r="AP917" s="40"/>
    </row>
    <row r="918" ht="15.0" customHeight="1">
      <c r="A918" s="32" t="s">
        <v>943</v>
      </c>
      <c r="B918" s="34" t="s">
        <v>1404</v>
      </c>
      <c r="C918" s="34" t="s">
        <v>1403</v>
      </c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25"/>
      <c r="X918" s="25"/>
      <c r="Y918" s="34"/>
      <c r="Z918" s="34"/>
      <c r="AA918" s="34"/>
      <c r="AB918" s="34"/>
      <c r="AC918" s="34"/>
      <c r="AD918" s="34"/>
      <c r="AE918" s="25"/>
      <c r="AF918" s="25"/>
      <c r="AG918" s="34"/>
      <c r="AH918" s="34"/>
      <c r="AI918" s="37"/>
      <c r="AJ918" s="34"/>
      <c r="AK918" s="25"/>
      <c r="AL918" s="38"/>
      <c r="AM918" s="41"/>
      <c r="AN918" s="25"/>
      <c r="AO918" s="40"/>
      <c r="AP918" s="40"/>
    </row>
    <row r="919" ht="15.0" customHeight="1">
      <c r="A919" s="32" t="s">
        <v>944</v>
      </c>
      <c r="B919" s="34" t="s">
        <v>1404</v>
      </c>
      <c r="C919" s="34" t="s">
        <v>1403</v>
      </c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25"/>
      <c r="X919" s="25"/>
      <c r="Y919" s="34"/>
      <c r="Z919" s="34"/>
      <c r="AA919" s="34"/>
      <c r="AB919" s="34"/>
      <c r="AC919" s="34"/>
      <c r="AD919" s="34"/>
      <c r="AE919" s="25"/>
      <c r="AF919" s="25"/>
      <c r="AG919" s="34"/>
      <c r="AH919" s="34"/>
      <c r="AI919" s="37"/>
      <c r="AJ919" s="34"/>
      <c r="AK919" s="25"/>
      <c r="AL919" s="38"/>
      <c r="AM919" s="41"/>
      <c r="AN919" s="25"/>
      <c r="AO919" s="40"/>
      <c r="AP919" s="40"/>
    </row>
    <row r="920" ht="15.0" customHeight="1">
      <c r="A920" s="32" t="s">
        <v>945</v>
      </c>
      <c r="B920" s="34" t="s">
        <v>1404</v>
      </c>
      <c r="C920" s="34" t="s">
        <v>1403</v>
      </c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25"/>
      <c r="X920" s="25"/>
      <c r="Y920" s="34"/>
      <c r="Z920" s="34"/>
      <c r="AA920" s="34"/>
      <c r="AB920" s="34"/>
      <c r="AC920" s="34"/>
      <c r="AD920" s="34"/>
      <c r="AE920" s="25"/>
      <c r="AF920" s="25"/>
      <c r="AG920" s="34"/>
      <c r="AH920" s="34"/>
      <c r="AI920" s="37"/>
      <c r="AJ920" s="34"/>
      <c r="AK920" s="25"/>
      <c r="AL920" s="38"/>
      <c r="AM920" s="41"/>
      <c r="AN920" s="25"/>
      <c r="AO920" s="40"/>
      <c r="AP920" s="40"/>
    </row>
    <row r="921" ht="15.0" customHeight="1">
      <c r="A921" s="32" t="s">
        <v>946</v>
      </c>
      <c r="B921" s="34" t="s">
        <v>1404</v>
      </c>
      <c r="C921" s="34" t="s">
        <v>1403</v>
      </c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25"/>
      <c r="X921" s="25"/>
      <c r="Y921" s="34"/>
      <c r="Z921" s="34"/>
      <c r="AA921" s="34"/>
      <c r="AB921" s="34"/>
      <c r="AC921" s="34"/>
      <c r="AD921" s="34"/>
      <c r="AE921" s="25"/>
      <c r="AF921" s="25"/>
      <c r="AG921" s="34"/>
      <c r="AH921" s="34"/>
      <c r="AI921" s="37"/>
      <c r="AJ921" s="34"/>
      <c r="AK921" s="25"/>
      <c r="AL921" s="38"/>
      <c r="AM921" s="41"/>
      <c r="AN921" s="25"/>
      <c r="AO921" s="40"/>
      <c r="AP921" s="40"/>
    </row>
    <row r="922" ht="15.0" customHeight="1">
      <c r="A922" s="32" t="s">
        <v>947</v>
      </c>
      <c r="B922" s="34" t="s">
        <v>1404</v>
      </c>
      <c r="C922" s="34" t="s">
        <v>1403</v>
      </c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25"/>
      <c r="X922" s="25"/>
      <c r="Y922" s="34"/>
      <c r="Z922" s="34"/>
      <c r="AA922" s="34"/>
      <c r="AB922" s="34"/>
      <c r="AC922" s="34"/>
      <c r="AD922" s="34"/>
      <c r="AE922" s="25"/>
      <c r="AF922" s="25"/>
      <c r="AG922" s="34"/>
      <c r="AH922" s="34"/>
      <c r="AI922" s="37"/>
      <c r="AJ922" s="34"/>
      <c r="AK922" s="25"/>
      <c r="AL922" s="38"/>
      <c r="AM922" s="41"/>
      <c r="AN922" s="25"/>
      <c r="AO922" s="40"/>
      <c r="AP922" s="40"/>
    </row>
    <row r="923" ht="15.0" customHeight="1">
      <c r="A923" s="32" t="s">
        <v>948</v>
      </c>
      <c r="B923" s="34" t="s">
        <v>1404</v>
      </c>
      <c r="C923" s="34" t="s">
        <v>1403</v>
      </c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25"/>
      <c r="X923" s="25"/>
      <c r="Y923" s="34"/>
      <c r="Z923" s="34"/>
      <c r="AA923" s="34"/>
      <c r="AB923" s="34"/>
      <c r="AC923" s="34"/>
      <c r="AD923" s="34"/>
      <c r="AE923" s="25"/>
      <c r="AF923" s="25"/>
      <c r="AG923" s="34"/>
      <c r="AH923" s="34"/>
      <c r="AI923" s="37"/>
      <c r="AJ923" s="34"/>
      <c r="AK923" s="25"/>
      <c r="AL923" s="38"/>
      <c r="AM923" s="41"/>
      <c r="AN923" s="25"/>
      <c r="AO923" s="40"/>
      <c r="AP923" s="40"/>
    </row>
    <row r="924" ht="15.0" customHeight="1">
      <c r="A924" s="32" t="s">
        <v>949</v>
      </c>
      <c r="B924" s="34" t="s">
        <v>1404</v>
      </c>
      <c r="C924" s="34" t="s">
        <v>1403</v>
      </c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25"/>
      <c r="X924" s="25"/>
      <c r="Y924" s="34"/>
      <c r="Z924" s="34"/>
      <c r="AA924" s="34"/>
      <c r="AB924" s="34"/>
      <c r="AC924" s="34"/>
      <c r="AD924" s="34"/>
      <c r="AE924" s="25"/>
      <c r="AF924" s="25"/>
      <c r="AG924" s="34"/>
      <c r="AH924" s="34"/>
      <c r="AI924" s="37"/>
      <c r="AJ924" s="34"/>
      <c r="AK924" s="25"/>
      <c r="AL924" s="38"/>
      <c r="AM924" s="41"/>
      <c r="AN924" s="25"/>
      <c r="AO924" s="40"/>
      <c r="AP924" s="40"/>
    </row>
    <row r="925" ht="15.0" customHeight="1">
      <c r="A925" s="32" t="s">
        <v>950</v>
      </c>
      <c r="B925" s="34" t="s">
        <v>1404</v>
      </c>
      <c r="C925" s="34" t="s">
        <v>1403</v>
      </c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25"/>
      <c r="X925" s="25"/>
      <c r="Y925" s="34"/>
      <c r="Z925" s="34"/>
      <c r="AA925" s="34"/>
      <c r="AB925" s="34"/>
      <c r="AC925" s="34"/>
      <c r="AD925" s="34"/>
      <c r="AE925" s="25"/>
      <c r="AF925" s="25"/>
      <c r="AG925" s="34"/>
      <c r="AH925" s="34"/>
      <c r="AI925" s="37"/>
      <c r="AJ925" s="34"/>
      <c r="AK925" s="25"/>
      <c r="AL925" s="38"/>
      <c r="AM925" s="41"/>
      <c r="AN925" s="25"/>
      <c r="AO925" s="40"/>
      <c r="AP925" s="40"/>
    </row>
    <row r="926" ht="15.0" customHeight="1">
      <c r="A926" s="32" t="s">
        <v>951</v>
      </c>
      <c r="B926" s="34" t="s">
        <v>1404</v>
      </c>
      <c r="C926" s="34" t="s">
        <v>1403</v>
      </c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25"/>
      <c r="X926" s="25"/>
      <c r="Y926" s="34"/>
      <c r="Z926" s="34"/>
      <c r="AA926" s="34"/>
      <c r="AB926" s="34"/>
      <c r="AC926" s="34"/>
      <c r="AD926" s="34"/>
      <c r="AE926" s="25"/>
      <c r="AF926" s="25"/>
      <c r="AG926" s="34"/>
      <c r="AH926" s="34"/>
      <c r="AI926" s="37"/>
      <c r="AJ926" s="34"/>
      <c r="AK926" s="25"/>
      <c r="AL926" s="38"/>
      <c r="AM926" s="41"/>
      <c r="AN926" s="25"/>
      <c r="AO926" s="40"/>
      <c r="AP926" s="40"/>
    </row>
    <row r="927" ht="15.0" customHeight="1">
      <c r="A927" s="32" t="s">
        <v>952</v>
      </c>
      <c r="B927" s="34" t="s">
        <v>1404</v>
      </c>
      <c r="C927" s="34" t="s">
        <v>1403</v>
      </c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25"/>
      <c r="X927" s="25"/>
      <c r="Y927" s="34"/>
      <c r="Z927" s="34"/>
      <c r="AA927" s="34"/>
      <c r="AB927" s="34"/>
      <c r="AC927" s="34"/>
      <c r="AD927" s="34"/>
      <c r="AE927" s="25"/>
      <c r="AF927" s="25"/>
      <c r="AG927" s="34"/>
      <c r="AH927" s="34"/>
      <c r="AI927" s="37"/>
      <c r="AJ927" s="34"/>
      <c r="AK927" s="25"/>
      <c r="AL927" s="38"/>
      <c r="AM927" s="41"/>
      <c r="AN927" s="25"/>
      <c r="AO927" s="40"/>
      <c r="AP927" s="40"/>
    </row>
    <row r="928" ht="15.0" customHeight="1">
      <c r="A928" s="32" t="s">
        <v>953</v>
      </c>
      <c r="B928" s="34" t="s">
        <v>1404</v>
      </c>
      <c r="C928" s="34" t="s">
        <v>1403</v>
      </c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25"/>
      <c r="X928" s="25"/>
      <c r="Y928" s="34"/>
      <c r="Z928" s="34"/>
      <c r="AA928" s="34"/>
      <c r="AB928" s="34"/>
      <c r="AC928" s="34"/>
      <c r="AD928" s="34"/>
      <c r="AE928" s="25"/>
      <c r="AF928" s="25"/>
      <c r="AG928" s="34"/>
      <c r="AH928" s="34"/>
      <c r="AI928" s="37"/>
      <c r="AJ928" s="34"/>
      <c r="AK928" s="25"/>
      <c r="AL928" s="38"/>
      <c r="AM928" s="41"/>
      <c r="AN928" s="25"/>
      <c r="AO928" s="40"/>
      <c r="AP928" s="40"/>
    </row>
    <row r="929" ht="15.0" customHeight="1">
      <c r="A929" s="32" t="s">
        <v>954</v>
      </c>
      <c r="B929" s="34" t="s">
        <v>1404</v>
      </c>
      <c r="C929" s="34" t="s">
        <v>1403</v>
      </c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25"/>
      <c r="X929" s="25"/>
      <c r="Y929" s="34"/>
      <c r="Z929" s="34"/>
      <c r="AA929" s="34"/>
      <c r="AB929" s="34"/>
      <c r="AC929" s="34"/>
      <c r="AD929" s="34"/>
      <c r="AE929" s="25"/>
      <c r="AF929" s="25"/>
      <c r="AG929" s="34"/>
      <c r="AH929" s="34"/>
      <c r="AI929" s="37"/>
      <c r="AJ929" s="34"/>
      <c r="AK929" s="25"/>
      <c r="AL929" s="38"/>
      <c r="AM929" s="41"/>
      <c r="AN929" s="25"/>
      <c r="AO929" s="40"/>
      <c r="AP929" s="40"/>
    </row>
    <row r="930" ht="15.0" customHeight="1">
      <c r="A930" s="32" t="s">
        <v>955</v>
      </c>
      <c r="B930" s="34" t="s">
        <v>1404</v>
      </c>
      <c r="C930" s="34" t="s">
        <v>1403</v>
      </c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25"/>
      <c r="X930" s="25"/>
      <c r="Y930" s="34"/>
      <c r="Z930" s="34"/>
      <c r="AA930" s="34"/>
      <c r="AB930" s="34"/>
      <c r="AC930" s="34"/>
      <c r="AD930" s="34"/>
      <c r="AE930" s="25"/>
      <c r="AF930" s="25"/>
      <c r="AG930" s="34"/>
      <c r="AH930" s="34"/>
      <c r="AI930" s="37"/>
      <c r="AJ930" s="34"/>
      <c r="AK930" s="25"/>
      <c r="AL930" s="38"/>
      <c r="AM930" s="41"/>
      <c r="AN930" s="25"/>
      <c r="AO930" s="40"/>
      <c r="AP930" s="40"/>
    </row>
    <row r="931" ht="15.0" customHeight="1">
      <c r="A931" s="32" t="s">
        <v>956</v>
      </c>
      <c r="B931" s="34" t="s">
        <v>1404</v>
      </c>
      <c r="C931" s="34" t="s">
        <v>1403</v>
      </c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25"/>
      <c r="X931" s="25"/>
      <c r="Y931" s="34"/>
      <c r="Z931" s="34"/>
      <c r="AA931" s="34"/>
      <c r="AB931" s="34"/>
      <c r="AC931" s="34"/>
      <c r="AD931" s="34"/>
      <c r="AE931" s="25"/>
      <c r="AF931" s="25"/>
      <c r="AG931" s="34"/>
      <c r="AH931" s="34"/>
      <c r="AI931" s="37"/>
      <c r="AJ931" s="34"/>
      <c r="AK931" s="25"/>
      <c r="AL931" s="38"/>
      <c r="AM931" s="41"/>
      <c r="AN931" s="25"/>
      <c r="AO931" s="40"/>
      <c r="AP931" s="40"/>
    </row>
    <row r="932" ht="15.0" customHeight="1">
      <c r="A932" s="32" t="s">
        <v>957</v>
      </c>
      <c r="B932" s="34" t="s">
        <v>1404</v>
      </c>
      <c r="C932" s="34" t="s">
        <v>1403</v>
      </c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25"/>
      <c r="X932" s="25"/>
      <c r="Y932" s="34"/>
      <c r="Z932" s="34"/>
      <c r="AA932" s="34"/>
      <c r="AB932" s="34"/>
      <c r="AC932" s="34"/>
      <c r="AD932" s="34"/>
      <c r="AE932" s="25"/>
      <c r="AF932" s="25"/>
      <c r="AG932" s="34"/>
      <c r="AH932" s="34"/>
      <c r="AI932" s="37"/>
      <c r="AJ932" s="34"/>
      <c r="AK932" s="25"/>
      <c r="AL932" s="38"/>
      <c r="AM932" s="41"/>
      <c r="AN932" s="25"/>
      <c r="AO932" s="40"/>
      <c r="AP932" s="40"/>
    </row>
    <row r="933" ht="15.0" customHeight="1">
      <c r="A933" s="32" t="s">
        <v>958</v>
      </c>
      <c r="B933" s="34" t="s">
        <v>1404</v>
      </c>
      <c r="C933" s="34" t="s">
        <v>1403</v>
      </c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25"/>
      <c r="X933" s="25"/>
      <c r="Y933" s="34"/>
      <c r="Z933" s="34"/>
      <c r="AA933" s="34"/>
      <c r="AB933" s="34"/>
      <c r="AC933" s="34"/>
      <c r="AD933" s="34"/>
      <c r="AE933" s="25"/>
      <c r="AF933" s="25"/>
      <c r="AG933" s="34"/>
      <c r="AH933" s="34"/>
      <c r="AI933" s="37"/>
      <c r="AJ933" s="34"/>
      <c r="AK933" s="25"/>
      <c r="AL933" s="38"/>
      <c r="AM933" s="41"/>
      <c r="AN933" s="25"/>
      <c r="AO933" s="40"/>
      <c r="AP933" s="40"/>
    </row>
    <row r="934" ht="15.0" customHeight="1">
      <c r="A934" s="32" t="s">
        <v>959</v>
      </c>
      <c r="B934" s="34" t="s">
        <v>1404</v>
      </c>
      <c r="C934" s="34" t="s">
        <v>1403</v>
      </c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25"/>
      <c r="X934" s="25"/>
      <c r="Y934" s="34"/>
      <c r="Z934" s="34"/>
      <c r="AA934" s="34"/>
      <c r="AB934" s="34"/>
      <c r="AC934" s="34"/>
      <c r="AD934" s="34"/>
      <c r="AE934" s="25"/>
      <c r="AF934" s="25"/>
      <c r="AG934" s="34"/>
      <c r="AH934" s="34"/>
      <c r="AI934" s="37"/>
      <c r="AJ934" s="34"/>
      <c r="AK934" s="25"/>
      <c r="AL934" s="38"/>
      <c r="AM934" s="41"/>
      <c r="AN934" s="25"/>
      <c r="AO934" s="40"/>
      <c r="AP934" s="40"/>
    </row>
    <row r="935" ht="15.0" customHeight="1">
      <c r="A935" s="32" t="s">
        <v>960</v>
      </c>
      <c r="B935" s="34" t="s">
        <v>1404</v>
      </c>
      <c r="C935" s="34" t="s">
        <v>1403</v>
      </c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25"/>
      <c r="X935" s="25"/>
      <c r="Y935" s="34"/>
      <c r="Z935" s="34"/>
      <c r="AA935" s="34"/>
      <c r="AB935" s="34"/>
      <c r="AC935" s="34"/>
      <c r="AD935" s="34"/>
      <c r="AE935" s="25"/>
      <c r="AF935" s="25"/>
      <c r="AG935" s="34"/>
      <c r="AH935" s="34"/>
      <c r="AI935" s="37"/>
      <c r="AJ935" s="34"/>
      <c r="AK935" s="25"/>
      <c r="AL935" s="38"/>
      <c r="AM935" s="41"/>
      <c r="AN935" s="25"/>
      <c r="AO935" s="40"/>
      <c r="AP935" s="40"/>
    </row>
    <row r="936" ht="15.0" customHeight="1">
      <c r="A936" s="32" t="s">
        <v>961</v>
      </c>
      <c r="B936" s="34" t="s">
        <v>1404</v>
      </c>
      <c r="C936" s="34" t="s">
        <v>1403</v>
      </c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25"/>
      <c r="X936" s="25"/>
      <c r="Y936" s="34"/>
      <c r="Z936" s="34"/>
      <c r="AA936" s="34"/>
      <c r="AB936" s="34"/>
      <c r="AC936" s="34"/>
      <c r="AD936" s="34"/>
      <c r="AE936" s="25"/>
      <c r="AF936" s="25"/>
      <c r="AG936" s="34"/>
      <c r="AH936" s="34"/>
      <c r="AI936" s="37"/>
      <c r="AJ936" s="34"/>
      <c r="AK936" s="25"/>
      <c r="AL936" s="38"/>
      <c r="AM936" s="41"/>
      <c r="AN936" s="25"/>
      <c r="AO936" s="40"/>
      <c r="AP936" s="40"/>
    </row>
    <row r="937" ht="15.0" customHeight="1">
      <c r="A937" s="32" t="s">
        <v>962</v>
      </c>
      <c r="B937" s="34" t="s">
        <v>1404</v>
      </c>
      <c r="C937" s="34" t="s">
        <v>1403</v>
      </c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25"/>
      <c r="X937" s="25"/>
      <c r="Y937" s="34"/>
      <c r="Z937" s="34"/>
      <c r="AA937" s="34"/>
      <c r="AB937" s="34"/>
      <c r="AC937" s="34"/>
      <c r="AD937" s="34"/>
      <c r="AE937" s="25"/>
      <c r="AF937" s="25"/>
      <c r="AG937" s="34"/>
      <c r="AH937" s="34"/>
      <c r="AI937" s="37"/>
      <c r="AJ937" s="34"/>
      <c r="AK937" s="25"/>
      <c r="AL937" s="38"/>
      <c r="AM937" s="41"/>
      <c r="AN937" s="25"/>
      <c r="AO937" s="40"/>
      <c r="AP937" s="40"/>
    </row>
    <row r="938" ht="15.0" customHeight="1">
      <c r="A938" s="32" t="s">
        <v>963</v>
      </c>
      <c r="B938" s="34" t="s">
        <v>1404</v>
      </c>
      <c r="C938" s="34" t="s">
        <v>1403</v>
      </c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25"/>
      <c r="X938" s="25"/>
      <c r="Y938" s="34"/>
      <c r="Z938" s="34"/>
      <c r="AA938" s="34"/>
      <c r="AB938" s="34"/>
      <c r="AC938" s="34"/>
      <c r="AD938" s="34"/>
      <c r="AE938" s="25"/>
      <c r="AF938" s="25"/>
      <c r="AG938" s="34"/>
      <c r="AH938" s="34"/>
      <c r="AI938" s="37"/>
      <c r="AJ938" s="34"/>
      <c r="AK938" s="25"/>
      <c r="AL938" s="38"/>
      <c r="AM938" s="41"/>
      <c r="AN938" s="25"/>
      <c r="AO938" s="40"/>
      <c r="AP938" s="40"/>
    </row>
    <row r="939" ht="15.0" customHeight="1">
      <c r="A939" s="32" t="s">
        <v>964</v>
      </c>
      <c r="B939" s="34" t="s">
        <v>1404</v>
      </c>
      <c r="C939" s="34" t="s">
        <v>1403</v>
      </c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25"/>
      <c r="X939" s="25"/>
      <c r="Y939" s="34"/>
      <c r="Z939" s="34"/>
      <c r="AA939" s="34"/>
      <c r="AB939" s="34"/>
      <c r="AC939" s="34"/>
      <c r="AD939" s="34"/>
      <c r="AE939" s="25"/>
      <c r="AF939" s="25"/>
      <c r="AG939" s="34"/>
      <c r="AH939" s="34"/>
      <c r="AI939" s="37"/>
      <c r="AJ939" s="34"/>
      <c r="AK939" s="25"/>
      <c r="AL939" s="38"/>
      <c r="AM939" s="41"/>
      <c r="AN939" s="25"/>
      <c r="AO939" s="40"/>
      <c r="AP939" s="40"/>
    </row>
    <row r="940" ht="15.0" customHeight="1">
      <c r="A940" s="32" t="s">
        <v>965</v>
      </c>
      <c r="B940" s="34" t="s">
        <v>1404</v>
      </c>
      <c r="C940" s="34" t="s">
        <v>1403</v>
      </c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25"/>
      <c r="X940" s="25"/>
      <c r="Y940" s="34"/>
      <c r="Z940" s="34"/>
      <c r="AA940" s="34"/>
      <c r="AB940" s="34"/>
      <c r="AC940" s="34"/>
      <c r="AD940" s="34"/>
      <c r="AE940" s="25"/>
      <c r="AF940" s="25"/>
      <c r="AG940" s="34"/>
      <c r="AH940" s="34"/>
      <c r="AI940" s="37"/>
      <c r="AJ940" s="34"/>
      <c r="AK940" s="25"/>
      <c r="AL940" s="38"/>
      <c r="AM940" s="41"/>
      <c r="AN940" s="25"/>
      <c r="AO940" s="40"/>
      <c r="AP940" s="40"/>
    </row>
    <row r="941" ht="15.0" customHeight="1">
      <c r="A941" s="32" t="s">
        <v>966</v>
      </c>
      <c r="B941" s="34" t="s">
        <v>1404</v>
      </c>
      <c r="C941" s="34" t="s">
        <v>1403</v>
      </c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25"/>
      <c r="X941" s="25"/>
      <c r="Y941" s="34"/>
      <c r="Z941" s="34"/>
      <c r="AA941" s="34"/>
      <c r="AB941" s="34"/>
      <c r="AC941" s="34"/>
      <c r="AD941" s="34"/>
      <c r="AE941" s="25"/>
      <c r="AF941" s="25"/>
      <c r="AG941" s="34"/>
      <c r="AH941" s="34"/>
      <c r="AI941" s="37"/>
      <c r="AJ941" s="34"/>
      <c r="AK941" s="25"/>
      <c r="AL941" s="38"/>
      <c r="AM941" s="41"/>
      <c r="AN941" s="25"/>
      <c r="AO941" s="40"/>
      <c r="AP941" s="40"/>
    </row>
    <row r="942" ht="15.0" customHeight="1">
      <c r="A942" s="32" t="s">
        <v>967</v>
      </c>
      <c r="B942" s="34" t="s">
        <v>1404</v>
      </c>
      <c r="C942" s="34" t="s">
        <v>1403</v>
      </c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25"/>
      <c r="X942" s="25"/>
      <c r="Y942" s="34"/>
      <c r="Z942" s="34"/>
      <c r="AA942" s="34"/>
      <c r="AB942" s="34"/>
      <c r="AC942" s="34"/>
      <c r="AD942" s="34"/>
      <c r="AE942" s="25"/>
      <c r="AF942" s="25"/>
      <c r="AG942" s="34"/>
      <c r="AH942" s="34"/>
      <c r="AI942" s="37"/>
      <c r="AJ942" s="34"/>
      <c r="AK942" s="25"/>
      <c r="AL942" s="38"/>
      <c r="AM942" s="41"/>
      <c r="AN942" s="25"/>
      <c r="AO942" s="40"/>
      <c r="AP942" s="40"/>
    </row>
    <row r="943" ht="15.0" customHeight="1">
      <c r="A943" s="32" t="s">
        <v>968</v>
      </c>
      <c r="B943" s="34" t="s">
        <v>1404</v>
      </c>
      <c r="C943" s="34" t="s">
        <v>1403</v>
      </c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25"/>
      <c r="X943" s="25"/>
      <c r="Y943" s="34"/>
      <c r="Z943" s="34"/>
      <c r="AA943" s="34"/>
      <c r="AB943" s="34"/>
      <c r="AC943" s="34"/>
      <c r="AD943" s="34"/>
      <c r="AE943" s="25"/>
      <c r="AF943" s="25"/>
      <c r="AG943" s="34"/>
      <c r="AH943" s="34"/>
      <c r="AI943" s="37"/>
      <c r="AJ943" s="34"/>
      <c r="AK943" s="25"/>
      <c r="AL943" s="38"/>
      <c r="AM943" s="41"/>
      <c r="AN943" s="25"/>
      <c r="AO943" s="40"/>
      <c r="AP943" s="40"/>
    </row>
    <row r="944" ht="15.0" customHeight="1">
      <c r="A944" s="32" t="s">
        <v>969</v>
      </c>
      <c r="B944" s="34" t="s">
        <v>1404</v>
      </c>
      <c r="C944" s="34" t="s">
        <v>1403</v>
      </c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25"/>
      <c r="X944" s="25"/>
      <c r="Y944" s="34"/>
      <c r="Z944" s="34"/>
      <c r="AA944" s="34"/>
      <c r="AB944" s="34"/>
      <c r="AC944" s="34"/>
      <c r="AD944" s="34"/>
      <c r="AE944" s="25"/>
      <c r="AF944" s="25"/>
      <c r="AG944" s="34"/>
      <c r="AH944" s="34"/>
      <c r="AI944" s="37"/>
      <c r="AJ944" s="34"/>
      <c r="AK944" s="25"/>
      <c r="AL944" s="38"/>
      <c r="AM944" s="41"/>
      <c r="AN944" s="25"/>
      <c r="AO944" s="40"/>
      <c r="AP944" s="40"/>
    </row>
    <row r="945" ht="15.0" customHeight="1">
      <c r="A945" s="32" t="s">
        <v>970</v>
      </c>
      <c r="B945" s="34" t="s">
        <v>1404</v>
      </c>
      <c r="C945" s="34" t="s">
        <v>1403</v>
      </c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25"/>
      <c r="X945" s="25"/>
      <c r="Y945" s="34"/>
      <c r="Z945" s="34"/>
      <c r="AA945" s="34"/>
      <c r="AB945" s="34"/>
      <c r="AC945" s="34"/>
      <c r="AD945" s="34"/>
      <c r="AE945" s="25"/>
      <c r="AF945" s="25"/>
      <c r="AG945" s="34"/>
      <c r="AH945" s="34"/>
      <c r="AI945" s="37"/>
      <c r="AJ945" s="34"/>
      <c r="AK945" s="25"/>
      <c r="AL945" s="38"/>
      <c r="AM945" s="41"/>
      <c r="AN945" s="25"/>
      <c r="AO945" s="40"/>
      <c r="AP945" s="40"/>
    </row>
    <row r="946" ht="15.0" customHeight="1">
      <c r="A946" s="32" t="s">
        <v>971</v>
      </c>
      <c r="B946" s="34" t="s">
        <v>1404</v>
      </c>
      <c r="C946" s="34" t="s">
        <v>1403</v>
      </c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25"/>
      <c r="X946" s="25"/>
      <c r="Y946" s="34"/>
      <c r="Z946" s="34"/>
      <c r="AA946" s="34"/>
      <c r="AB946" s="34"/>
      <c r="AC946" s="34"/>
      <c r="AD946" s="34"/>
      <c r="AE946" s="25"/>
      <c r="AF946" s="25"/>
      <c r="AG946" s="34"/>
      <c r="AH946" s="34"/>
      <c r="AI946" s="37"/>
      <c r="AJ946" s="34"/>
      <c r="AK946" s="25"/>
      <c r="AL946" s="38"/>
      <c r="AM946" s="41"/>
      <c r="AN946" s="25"/>
      <c r="AO946" s="40"/>
      <c r="AP946" s="40"/>
    </row>
    <row r="947" ht="15.0" customHeight="1">
      <c r="A947" s="32" t="s">
        <v>972</v>
      </c>
      <c r="B947" s="34" t="s">
        <v>1404</v>
      </c>
      <c r="C947" s="34" t="s">
        <v>1403</v>
      </c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25"/>
      <c r="X947" s="25"/>
      <c r="Y947" s="34"/>
      <c r="Z947" s="34"/>
      <c r="AA947" s="34"/>
      <c r="AB947" s="34"/>
      <c r="AC947" s="34"/>
      <c r="AD947" s="34"/>
      <c r="AE947" s="25"/>
      <c r="AF947" s="25"/>
      <c r="AG947" s="34"/>
      <c r="AH947" s="34"/>
      <c r="AI947" s="37"/>
      <c r="AJ947" s="34"/>
      <c r="AK947" s="25"/>
      <c r="AL947" s="38"/>
      <c r="AM947" s="41"/>
      <c r="AN947" s="25"/>
      <c r="AO947" s="40"/>
      <c r="AP947" s="40"/>
    </row>
    <row r="948" ht="15.0" customHeight="1">
      <c r="A948" s="32" t="s">
        <v>973</v>
      </c>
      <c r="B948" s="34" t="s">
        <v>1404</v>
      </c>
      <c r="C948" s="34" t="s">
        <v>1403</v>
      </c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25"/>
      <c r="X948" s="25"/>
      <c r="Y948" s="34"/>
      <c r="Z948" s="34"/>
      <c r="AA948" s="34"/>
      <c r="AB948" s="34"/>
      <c r="AC948" s="34"/>
      <c r="AD948" s="34"/>
      <c r="AE948" s="25"/>
      <c r="AF948" s="25"/>
      <c r="AG948" s="34"/>
      <c r="AH948" s="34"/>
      <c r="AI948" s="37"/>
      <c r="AJ948" s="34"/>
      <c r="AK948" s="25"/>
      <c r="AL948" s="38"/>
      <c r="AM948" s="41"/>
      <c r="AN948" s="25"/>
      <c r="AO948" s="40"/>
      <c r="AP948" s="40"/>
    </row>
    <row r="949" ht="15.0" customHeight="1">
      <c r="A949" s="32" t="s">
        <v>974</v>
      </c>
      <c r="B949" s="34" t="s">
        <v>1404</v>
      </c>
      <c r="C949" s="34" t="s">
        <v>1403</v>
      </c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25"/>
      <c r="X949" s="25"/>
      <c r="Y949" s="34"/>
      <c r="Z949" s="34"/>
      <c r="AA949" s="34"/>
      <c r="AB949" s="34"/>
      <c r="AC949" s="34"/>
      <c r="AD949" s="34"/>
      <c r="AE949" s="25"/>
      <c r="AF949" s="25"/>
      <c r="AG949" s="34"/>
      <c r="AH949" s="34"/>
      <c r="AI949" s="37"/>
      <c r="AJ949" s="34"/>
      <c r="AK949" s="25"/>
      <c r="AL949" s="38"/>
      <c r="AM949" s="41"/>
      <c r="AN949" s="25"/>
      <c r="AO949" s="40"/>
      <c r="AP949" s="40"/>
    </row>
    <row r="950" ht="15.0" customHeight="1">
      <c r="A950" s="32" t="s">
        <v>975</v>
      </c>
      <c r="B950" s="34" t="s">
        <v>1404</v>
      </c>
      <c r="C950" s="34" t="s">
        <v>1403</v>
      </c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25"/>
      <c r="X950" s="25"/>
      <c r="Y950" s="34"/>
      <c r="Z950" s="34"/>
      <c r="AA950" s="34"/>
      <c r="AB950" s="34"/>
      <c r="AC950" s="34"/>
      <c r="AD950" s="34"/>
      <c r="AE950" s="25"/>
      <c r="AF950" s="25"/>
      <c r="AG950" s="34"/>
      <c r="AH950" s="34"/>
      <c r="AI950" s="37"/>
      <c r="AJ950" s="34"/>
      <c r="AK950" s="25"/>
      <c r="AL950" s="38"/>
      <c r="AM950" s="41"/>
      <c r="AN950" s="25"/>
      <c r="AO950" s="40"/>
      <c r="AP950" s="40"/>
    </row>
    <row r="951" ht="15.0" customHeight="1">
      <c r="A951" s="32" t="s">
        <v>976</v>
      </c>
      <c r="B951" s="34" t="s">
        <v>1404</v>
      </c>
      <c r="C951" s="34" t="s">
        <v>1403</v>
      </c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25"/>
      <c r="X951" s="25"/>
      <c r="Y951" s="34"/>
      <c r="Z951" s="34"/>
      <c r="AA951" s="34"/>
      <c r="AB951" s="34"/>
      <c r="AC951" s="34"/>
      <c r="AD951" s="34"/>
      <c r="AE951" s="25"/>
      <c r="AF951" s="25"/>
      <c r="AG951" s="34"/>
      <c r="AH951" s="34"/>
      <c r="AI951" s="37"/>
      <c r="AJ951" s="34"/>
      <c r="AK951" s="25"/>
      <c r="AL951" s="38"/>
      <c r="AM951" s="41"/>
      <c r="AN951" s="25"/>
      <c r="AO951" s="40"/>
      <c r="AP951" s="40"/>
    </row>
    <row r="952" ht="15.0" customHeight="1">
      <c r="A952" s="32" t="s">
        <v>977</v>
      </c>
      <c r="B952" s="34" t="s">
        <v>1404</v>
      </c>
      <c r="C952" s="34" t="s">
        <v>1403</v>
      </c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25"/>
      <c r="X952" s="25"/>
      <c r="Y952" s="34"/>
      <c r="Z952" s="34"/>
      <c r="AA952" s="34"/>
      <c r="AB952" s="34"/>
      <c r="AC952" s="34"/>
      <c r="AD952" s="34"/>
      <c r="AE952" s="25"/>
      <c r="AF952" s="25"/>
      <c r="AG952" s="34"/>
      <c r="AH952" s="34"/>
      <c r="AI952" s="37"/>
      <c r="AJ952" s="34"/>
      <c r="AK952" s="25"/>
      <c r="AL952" s="38"/>
      <c r="AM952" s="41"/>
      <c r="AN952" s="25"/>
      <c r="AO952" s="40"/>
      <c r="AP952" s="40"/>
    </row>
    <row r="953" ht="15.0" customHeight="1">
      <c r="A953" s="32" t="s">
        <v>978</v>
      </c>
      <c r="B953" s="34" t="s">
        <v>1404</v>
      </c>
      <c r="C953" s="34" t="s">
        <v>1403</v>
      </c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25"/>
      <c r="X953" s="25"/>
      <c r="Y953" s="34"/>
      <c r="Z953" s="34"/>
      <c r="AA953" s="34"/>
      <c r="AB953" s="34"/>
      <c r="AC953" s="34"/>
      <c r="AD953" s="34"/>
      <c r="AE953" s="25"/>
      <c r="AF953" s="25"/>
      <c r="AG953" s="34"/>
      <c r="AH953" s="34"/>
      <c r="AI953" s="37"/>
      <c r="AJ953" s="34"/>
      <c r="AK953" s="25"/>
      <c r="AL953" s="38"/>
      <c r="AM953" s="41"/>
      <c r="AN953" s="25"/>
      <c r="AO953" s="40"/>
      <c r="AP953" s="40"/>
    </row>
    <row r="954" ht="15.0" customHeight="1">
      <c r="A954" s="32" t="s">
        <v>979</v>
      </c>
      <c r="B954" s="34" t="s">
        <v>1404</v>
      </c>
      <c r="C954" s="34" t="s">
        <v>1403</v>
      </c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25"/>
      <c r="X954" s="25"/>
      <c r="Y954" s="34"/>
      <c r="Z954" s="34"/>
      <c r="AA954" s="34"/>
      <c r="AB954" s="34"/>
      <c r="AC954" s="34"/>
      <c r="AD954" s="34"/>
      <c r="AE954" s="25"/>
      <c r="AF954" s="25"/>
      <c r="AG954" s="34"/>
      <c r="AH954" s="34"/>
      <c r="AI954" s="37"/>
      <c r="AJ954" s="34"/>
      <c r="AK954" s="25"/>
      <c r="AL954" s="38"/>
      <c r="AM954" s="41"/>
      <c r="AN954" s="25"/>
      <c r="AO954" s="40"/>
      <c r="AP954" s="40"/>
    </row>
    <row r="955" ht="15.0" customHeight="1">
      <c r="A955" s="32" t="s">
        <v>980</v>
      </c>
      <c r="B955" s="34" t="s">
        <v>1404</v>
      </c>
      <c r="C955" s="34" t="s">
        <v>1403</v>
      </c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25"/>
      <c r="X955" s="25"/>
      <c r="Y955" s="34"/>
      <c r="Z955" s="34"/>
      <c r="AA955" s="34"/>
      <c r="AB955" s="34"/>
      <c r="AC955" s="34"/>
      <c r="AD955" s="34"/>
      <c r="AE955" s="25"/>
      <c r="AF955" s="25"/>
      <c r="AG955" s="34"/>
      <c r="AH955" s="34"/>
      <c r="AI955" s="37"/>
      <c r="AJ955" s="34"/>
      <c r="AK955" s="25"/>
      <c r="AL955" s="38"/>
      <c r="AM955" s="41"/>
      <c r="AN955" s="25"/>
      <c r="AO955" s="40"/>
      <c r="AP955" s="40"/>
    </row>
    <row r="956" ht="15.0" customHeight="1">
      <c r="A956" s="32" t="s">
        <v>981</v>
      </c>
      <c r="B956" s="34" t="s">
        <v>1404</v>
      </c>
      <c r="C956" s="34" t="s">
        <v>1403</v>
      </c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25"/>
      <c r="X956" s="25"/>
      <c r="Y956" s="34"/>
      <c r="Z956" s="34"/>
      <c r="AA956" s="34"/>
      <c r="AB956" s="34"/>
      <c r="AC956" s="34"/>
      <c r="AD956" s="34"/>
      <c r="AE956" s="25"/>
      <c r="AF956" s="25"/>
      <c r="AG956" s="34"/>
      <c r="AH956" s="34"/>
      <c r="AI956" s="37"/>
      <c r="AJ956" s="34"/>
      <c r="AK956" s="25"/>
      <c r="AL956" s="38"/>
      <c r="AM956" s="41"/>
      <c r="AN956" s="25"/>
      <c r="AO956" s="40"/>
      <c r="AP956" s="40"/>
    </row>
    <row r="957" ht="15.0" customHeight="1">
      <c r="A957" s="32" t="s">
        <v>982</v>
      </c>
      <c r="B957" s="34" t="s">
        <v>1404</v>
      </c>
      <c r="C957" s="34" t="s">
        <v>1403</v>
      </c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25"/>
      <c r="X957" s="25"/>
      <c r="Y957" s="34"/>
      <c r="Z957" s="34"/>
      <c r="AA957" s="34"/>
      <c r="AB957" s="34"/>
      <c r="AC957" s="34"/>
      <c r="AD957" s="34"/>
      <c r="AE957" s="25"/>
      <c r="AF957" s="25"/>
      <c r="AG957" s="34"/>
      <c r="AH957" s="34"/>
      <c r="AI957" s="37"/>
      <c r="AJ957" s="34"/>
      <c r="AK957" s="25"/>
      <c r="AL957" s="38"/>
      <c r="AM957" s="41"/>
      <c r="AN957" s="25"/>
      <c r="AO957" s="40"/>
      <c r="AP957" s="40"/>
    </row>
    <row r="958" ht="15.0" customHeight="1">
      <c r="A958" s="32" t="s">
        <v>983</v>
      </c>
      <c r="B958" s="34" t="s">
        <v>1404</v>
      </c>
      <c r="C958" s="34" t="s">
        <v>1403</v>
      </c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25"/>
      <c r="X958" s="25"/>
      <c r="Y958" s="34"/>
      <c r="Z958" s="34"/>
      <c r="AA958" s="34"/>
      <c r="AB958" s="34"/>
      <c r="AC958" s="34"/>
      <c r="AD958" s="34"/>
      <c r="AE958" s="25"/>
      <c r="AF958" s="25"/>
      <c r="AG958" s="34"/>
      <c r="AH958" s="34"/>
      <c r="AI958" s="37"/>
      <c r="AJ958" s="34"/>
      <c r="AK958" s="25"/>
      <c r="AL958" s="38"/>
      <c r="AM958" s="41"/>
      <c r="AN958" s="25"/>
      <c r="AO958" s="40"/>
      <c r="AP958" s="40"/>
    </row>
    <row r="959" ht="15.0" customHeight="1">
      <c r="A959" s="32" t="s">
        <v>984</v>
      </c>
      <c r="B959" s="34" t="s">
        <v>1404</v>
      </c>
      <c r="C959" s="34" t="s">
        <v>1403</v>
      </c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25"/>
      <c r="X959" s="25"/>
      <c r="Y959" s="34"/>
      <c r="Z959" s="34"/>
      <c r="AA959" s="34"/>
      <c r="AB959" s="34"/>
      <c r="AC959" s="34"/>
      <c r="AD959" s="34"/>
      <c r="AE959" s="25"/>
      <c r="AF959" s="25"/>
      <c r="AG959" s="34"/>
      <c r="AH959" s="34"/>
      <c r="AI959" s="37"/>
      <c r="AJ959" s="34"/>
      <c r="AK959" s="25"/>
      <c r="AL959" s="38"/>
      <c r="AM959" s="41"/>
      <c r="AN959" s="25"/>
      <c r="AO959" s="40"/>
      <c r="AP959" s="40"/>
    </row>
    <row r="960" ht="15.0" customHeight="1">
      <c r="A960" s="32" t="s">
        <v>985</v>
      </c>
      <c r="B960" s="34" t="s">
        <v>1404</v>
      </c>
      <c r="C960" s="34" t="s">
        <v>1403</v>
      </c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25"/>
      <c r="X960" s="25"/>
      <c r="Y960" s="34"/>
      <c r="Z960" s="34"/>
      <c r="AA960" s="34"/>
      <c r="AB960" s="34"/>
      <c r="AC960" s="34"/>
      <c r="AD960" s="34"/>
      <c r="AE960" s="25"/>
      <c r="AF960" s="25"/>
      <c r="AG960" s="34"/>
      <c r="AH960" s="34"/>
      <c r="AI960" s="37"/>
      <c r="AJ960" s="34"/>
      <c r="AK960" s="25"/>
      <c r="AL960" s="38"/>
      <c r="AM960" s="41"/>
      <c r="AN960" s="25"/>
      <c r="AO960" s="40"/>
      <c r="AP960" s="40"/>
    </row>
    <row r="961" ht="15.0" customHeight="1">
      <c r="A961" s="32" t="s">
        <v>986</v>
      </c>
      <c r="B961" s="34" t="s">
        <v>1404</v>
      </c>
      <c r="C961" s="34" t="s">
        <v>1403</v>
      </c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25"/>
      <c r="X961" s="25"/>
      <c r="Y961" s="34"/>
      <c r="Z961" s="34"/>
      <c r="AA961" s="34"/>
      <c r="AB961" s="34"/>
      <c r="AC961" s="34"/>
      <c r="AD961" s="34"/>
      <c r="AE961" s="25"/>
      <c r="AF961" s="25"/>
      <c r="AG961" s="34"/>
      <c r="AH961" s="34"/>
      <c r="AI961" s="37"/>
      <c r="AJ961" s="34"/>
      <c r="AK961" s="25"/>
      <c r="AL961" s="38"/>
      <c r="AM961" s="41"/>
      <c r="AN961" s="25"/>
      <c r="AO961" s="40"/>
      <c r="AP961" s="40"/>
    </row>
    <row r="962" ht="15.0" customHeight="1">
      <c r="A962" s="32" t="s">
        <v>987</v>
      </c>
      <c r="B962" s="34" t="s">
        <v>1404</v>
      </c>
      <c r="C962" s="34" t="s">
        <v>1403</v>
      </c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25"/>
      <c r="X962" s="25"/>
      <c r="Y962" s="34"/>
      <c r="Z962" s="34"/>
      <c r="AA962" s="34"/>
      <c r="AB962" s="34"/>
      <c r="AC962" s="34"/>
      <c r="AD962" s="34"/>
      <c r="AE962" s="25"/>
      <c r="AF962" s="25"/>
      <c r="AG962" s="34"/>
      <c r="AH962" s="34"/>
      <c r="AI962" s="37"/>
      <c r="AJ962" s="34"/>
      <c r="AK962" s="25"/>
      <c r="AL962" s="38"/>
      <c r="AM962" s="41"/>
      <c r="AN962" s="25"/>
      <c r="AO962" s="40"/>
      <c r="AP962" s="40"/>
    </row>
    <row r="963" ht="15.0" customHeight="1">
      <c r="A963" s="32" t="s">
        <v>988</v>
      </c>
      <c r="B963" s="34" t="s">
        <v>1404</v>
      </c>
      <c r="C963" s="34" t="s">
        <v>1403</v>
      </c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25"/>
      <c r="X963" s="25"/>
      <c r="Y963" s="34"/>
      <c r="Z963" s="34"/>
      <c r="AA963" s="34"/>
      <c r="AB963" s="34"/>
      <c r="AC963" s="34"/>
      <c r="AD963" s="34"/>
      <c r="AE963" s="25"/>
      <c r="AF963" s="25"/>
      <c r="AG963" s="34"/>
      <c r="AH963" s="34"/>
      <c r="AI963" s="37"/>
      <c r="AJ963" s="34"/>
      <c r="AK963" s="25"/>
      <c r="AL963" s="38"/>
      <c r="AM963" s="41"/>
      <c r="AN963" s="25"/>
      <c r="AO963" s="40"/>
      <c r="AP963" s="40"/>
    </row>
    <row r="964" ht="15.0" customHeight="1">
      <c r="A964" s="32" t="s">
        <v>989</v>
      </c>
      <c r="B964" s="34" t="s">
        <v>1404</v>
      </c>
      <c r="C964" s="34" t="s">
        <v>1403</v>
      </c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25"/>
      <c r="X964" s="25"/>
      <c r="Y964" s="34"/>
      <c r="Z964" s="34"/>
      <c r="AA964" s="34"/>
      <c r="AB964" s="34"/>
      <c r="AC964" s="34"/>
      <c r="AD964" s="34"/>
      <c r="AE964" s="25"/>
      <c r="AF964" s="25"/>
      <c r="AG964" s="34"/>
      <c r="AH964" s="34"/>
      <c r="AI964" s="37"/>
      <c r="AJ964" s="34"/>
      <c r="AK964" s="25"/>
      <c r="AL964" s="38"/>
      <c r="AM964" s="41"/>
      <c r="AN964" s="25"/>
      <c r="AO964" s="40"/>
      <c r="AP964" s="40"/>
    </row>
    <row r="965" ht="15.0" customHeight="1">
      <c r="A965" s="32" t="s">
        <v>990</v>
      </c>
      <c r="B965" s="34" t="s">
        <v>1404</v>
      </c>
      <c r="C965" s="34" t="s">
        <v>1403</v>
      </c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25"/>
      <c r="X965" s="25"/>
      <c r="Y965" s="34"/>
      <c r="Z965" s="34"/>
      <c r="AA965" s="34"/>
      <c r="AB965" s="34"/>
      <c r="AC965" s="34"/>
      <c r="AD965" s="34"/>
      <c r="AE965" s="25"/>
      <c r="AF965" s="25"/>
      <c r="AG965" s="34"/>
      <c r="AH965" s="34"/>
      <c r="AI965" s="37"/>
      <c r="AJ965" s="34"/>
      <c r="AK965" s="25"/>
      <c r="AL965" s="38"/>
      <c r="AM965" s="41"/>
      <c r="AN965" s="25"/>
      <c r="AO965" s="40"/>
      <c r="AP965" s="40"/>
    </row>
    <row r="966" ht="15.0" customHeight="1">
      <c r="A966" s="32" t="s">
        <v>991</v>
      </c>
      <c r="B966" s="34" t="s">
        <v>1404</v>
      </c>
      <c r="C966" s="34" t="s">
        <v>1403</v>
      </c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25"/>
      <c r="X966" s="25"/>
      <c r="Y966" s="34"/>
      <c r="Z966" s="34"/>
      <c r="AA966" s="34"/>
      <c r="AB966" s="34"/>
      <c r="AC966" s="34"/>
      <c r="AD966" s="34"/>
      <c r="AE966" s="25"/>
      <c r="AF966" s="25"/>
      <c r="AG966" s="34"/>
      <c r="AH966" s="34"/>
      <c r="AI966" s="37"/>
      <c r="AJ966" s="34"/>
      <c r="AK966" s="25"/>
      <c r="AL966" s="38"/>
      <c r="AM966" s="41"/>
      <c r="AN966" s="25"/>
      <c r="AO966" s="40"/>
      <c r="AP966" s="40"/>
    </row>
    <row r="967" ht="15.0" customHeight="1">
      <c r="A967" s="32" t="s">
        <v>992</v>
      </c>
      <c r="B967" s="34" t="s">
        <v>1404</v>
      </c>
      <c r="C967" s="34" t="s">
        <v>1403</v>
      </c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25"/>
      <c r="X967" s="25"/>
      <c r="Y967" s="34"/>
      <c r="Z967" s="34"/>
      <c r="AA967" s="34"/>
      <c r="AB967" s="34"/>
      <c r="AC967" s="34"/>
      <c r="AD967" s="34"/>
      <c r="AE967" s="25"/>
      <c r="AF967" s="25"/>
      <c r="AG967" s="34"/>
      <c r="AH967" s="34"/>
      <c r="AI967" s="37"/>
      <c r="AJ967" s="34"/>
      <c r="AK967" s="25"/>
      <c r="AL967" s="38"/>
      <c r="AM967" s="41"/>
      <c r="AN967" s="25"/>
      <c r="AO967" s="40"/>
      <c r="AP967" s="40"/>
    </row>
    <row r="968" ht="15.0" customHeight="1">
      <c r="A968" s="32" t="s">
        <v>993</v>
      </c>
      <c r="B968" s="34" t="s">
        <v>1404</v>
      </c>
      <c r="C968" s="34" t="s">
        <v>1403</v>
      </c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25"/>
      <c r="X968" s="25"/>
      <c r="Y968" s="34"/>
      <c r="Z968" s="34"/>
      <c r="AA968" s="34"/>
      <c r="AB968" s="34"/>
      <c r="AC968" s="34"/>
      <c r="AD968" s="34"/>
      <c r="AE968" s="25"/>
      <c r="AF968" s="25"/>
      <c r="AG968" s="34"/>
      <c r="AH968" s="34"/>
      <c r="AI968" s="37"/>
      <c r="AJ968" s="34"/>
      <c r="AK968" s="25"/>
      <c r="AL968" s="38"/>
      <c r="AM968" s="41"/>
      <c r="AN968" s="25"/>
      <c r="AO968" s="40"/>
      <c r="AP968" s="40"/>
    </row>
    <row r="969" ht="15.0" customHeight="1">
      <c r="A969" s="32" t="s">
        <v>994</v>
      </c>
      <c r="B969" s="34" t="s">
        <v>1404</v>
      </c>
      <c r="C969" s="34" t="s">
        <v>1403</v>
      </c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25"/>
      <c r="X969" s="25"/>
      <c r="Y969" s="34"/>
      <c r="Z969" s="34"/>
      <c r="AA969" s="34"/>
      <c r="AB969" s="34"/>
      <c r="AC969" s="34"/>
      <c r="AD969" s="34"/>
      <c r="AE969" s="25"/>
      <c r="AF969" s="25"/>
      <c r="AG969" s="34"/>
      <c r="AH969" s="34"/>
      <c r="AI969" s="37"/>
      <c r="AJ969" s="34"/>
      <c r="AK969" s="25"/>
      <c r="AL969" s="38"/>
      <c r="AM969" s="41"/>
      <c r="AN969" s="25"/>
      <c r="AO969" s="40"/>
      <c r="AP969" s="40"/>
    </row>
    <row r="970" ht="15.0" customHeight="1">
      <c r="A970" s="32" t="s">
        <v>995</v>
      </c>
      <c r="B970" s="34" t="s">
        <v>1404</v>
      </c>
      <c r="C970" s="34" t="s">
        <v>1403</v>
      </c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25"/>
      <c r="X970" s="25"/>
      <c r="Y970" s="34"/>
      <c r="Z970" s="34"/>
      <c r="AA970" s="34"/>
      <c r="AB970" s="34"/>
      <c r="AC970" s="34"/>
      <c r="AD970" s="34"/>
      <c r="AE970" s="25"/>
      <c r="AF970" s="25"/>
      <c r="AG970" s="34"/>
      <c r="AH970" s="34"/>
      <c r="AI970" s="37"/>
      <c r="AJ970" s="34"/>
      <c r="AK970" s="25"/>
      <c r="AL970" s="38"/>
      <c r="AM970" s="41"/>
      <c r="AN970" s="25"/>
      <c r="AO970" s="40"/>
      <c r="AP970" s="40"/>
    </row>
    <row r="971" ht="15.0" customHeight="1">
      <c r="A971" s="32" t="s">
        <v>996</v>
      </c>
      <c r="B971" s="34" t="s">
        <v>1404</v>
      </c>
      <c r="C971" s="34" t="s">
        <v>1403</v>
      </c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25"/>
      <c r="X971" s="25"/>
      <c r="Y971" s="34"/>
      <c r="Z971" s="34"/>
      <c r="AA971" s="34"/>
      <c r="AB971" s="34"/>
      <c r="AC971" s="34"/>
      <c r="AD971" s="34"/>
      <c r="AE971" s="25"/>
      <c r="AF971" s="25"/>
      <c r="AG971" s="34"/>
      <c r="AH971" s="34"/>
      <c r="AI971" s="37"/>
      <c r="AJ971" s="34"/>
      <c r="AK971" s="25"/>
      <c r="AL971" s="38"/>
      <c r="AM971" s="41"/>
      <c r="AN971" s="25"/>
      <c r="AO971" s="40"/>
      <c r="AP971" s="40"/>
    </row>
    <row r="972" ht="15.0" customHeight="1">
      <c r="A972" s="32" t="s">
        <v>997</v>
      </c>
      <c r="B972" s="34" t="s">
        <v>1404</v>
      </c>
      <c r="C972" s="34" t="s">
        <v>1403</v>
      </c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25"/>
      <c r="X972" s="25"/>
      <c r="Y972" s="34"/>
      <c r="Z972" s="34"/>
      <c r="AA972" s="34"/>
      <c r="AB972" s="34"/>
      <c r="AC972" s="34"/>
      <c r="AD972" s="34"/>
      <c r="AE972" s="25"/>
      <c r="AF972" s="25"/>
      <c r="AG972" s="34"/>
      <c r="AH972" s="34"/>
      <c r="AI972" s="37"/>
      <c r="AJ972" s="34"/>
      <c r="AK972" s="25"/>
      <c r="AL972" s="38"/>
      <c r="AM972" s="41"/>
      <c r="AN972" s="25"/>
      <c r="AO972" s="40"/>
      <c r="AP972" s="40"/>
    </row>
    <row r="973" ht="15.0" customHeight="1">
      <c r="A973" s="32" t="s">
        <v>998</v>
      </c>
      <c r="B973" s="34" t="s">
        <v>1404</v>
      </c>
      <c r="C973" s="34" t="s">
        <v>1403</v>
      </c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25"/>
      <c r="X973" s="25"/>
      <c r="Y973" s="34"/>
      <c r="Z973" s="34"/>
      <c r="AA973" s="34"/>
      <c r="AB973" s="34"/>
      <c r="AC973" s="34"/>
      <c r="AD973" s="34"/>
      <c r="AE973" s="25"/>
      <c r="AF973" s="25"/>
      <c r="AG973" s="34"/>
      <c r="AH973" s="34"/>
      <c r="AI973" s="37"/>
      <c r="AJ973" s="34"/>
      <c r="AK973" s="25"/>
      <c r="AL973" s="38"/>
      <c r="AM973" s="41"/>
      <c r="AN973" s="25"/>
      <c r="AO973" s="40"/>
      <c r="AP973" s="40"/>
    </row>
    <row r="974" ht="15.0" customHeight="1">
      <c r="A974" s="32" t="s">
        <v>999</v>
      </c>
      <c r="B974" s="34" t="s">
        <v>1404</v>
      </c>
      <c r="C974" s="34" t="s">
        <v>1403</v>
      </c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25"/>
      <c r="X974" s="25"/>
      <c r="Y974" s="34"/>
      <c r="Z974" s="34"/>
      <c r="AA974" s="34"/>
      <c r="AB974" s="34"/>
      <c r="AC974" s="34"/>
      <c r="AD974" s="34"/>
      <c r="AE974" s="25"/>
      <c r="AF974" s="25"/>
      <c r="AG974" s="34"/>
      <c r="AH974" s="34"/>
      <c r="AI974" s="37"/>
      <c r="AJ974" s="34"/>
      <c r="AK974" s="25"/>
      <c r="AL974" s="38"/>
      <c r="AM974" s="41"/>
      <c r="AN974" s="25"/>
      <c r="AO974" s="40"/>
      <c r="AP974" s="40"/>
    </row>
    <row r="975" ht="15.0" customHeight="1">
      <c r="A975" s="32" t="s">
        <v>1000</v>
      </c>
      <c r="B975" s="34" t="s">
        <v>1404</v>
      </c>
      <c r="C975" s="34" t="s">
        <v>1403</v>
      </c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25"/>
      <c r="X975" s="25"/>
      <c r="Y975" s="34"/>
      <c r="Z975" s="34"/>
      <c r="AA975" s="34"/>
      <c r="AB975" s="34"/>
      <c r="AC975" s="34"/>
      <c r="AD975" s="34"/>
      <c r="AE975" s="25"/>
      <c r="AF975" s="25"/>
      <c r="AG975" s="34"/>
      <c r="AH975" s="34"/>
      <c r="AI975" s="37"/>
      <c r="AJ975" s="34"/>
      <c r="AK975" s="25"/>
      <c r="AL975" s="38"/>
      <c r="AM975" s="41"/>
      <c r="AN975" s="25"/>
      <c r="AO975" s="40"/>
      <c r="AP975" s="40"/>
    </row>
    <row r="976" ht="15.0" customHeight="1">
      <c r="A976" s="32" t="s">
        <v>1001</v>
      </c>
      <c r="B976" s="34" t="s">
        <v>1404</v>
      </c>
      <c r="C976" s="34" t="s">
        <v>1403</v>
      </c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25"/>
      <c r="X976" s="25"/>
      <c r="Y976" s="34"/>
      <c r="Z976" s="34"/>
      <c r="AA976" s="34"/>
      <c r="AB976" s="34"/>
      <c r="AC976" s="34"/>
      <c r="AD976" s="34"/>
      <c r="AE976" s="25"/>
      <c r="AF976" s="25"/>
      <c r="AG976" s="34"/>
      <c r="AH976" s="34"/>
      <c r="AI976" s="37"/>
      <c r="AJ976" s="34"/>
      <c r="AK976" s="25"/>
      <c r="AL976" s="38"/>
      <c r="AM976" s="41"/>
      <c r="AN976" s="25"/>
      <c r="AO976" s="40"/>
      <c r="AP976" s="40"/>
    </row>
    <row r="977" ht="15.0" customHeight="1">
      <c r="A977" s="32" t="s">
        <v>1002</v>
      </c>
      <c r="B977" s="34" t="s">
        <v>1404</v>
      </c>
      <c r="C977" s="34" t="s">
        <v>1403</v>
      </c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25"/>
      <c r="X977" s="25"/>
      <c r="Y977" s="34"/>
      <c r="Z977" s="34"/>
      <c r="AA977" s="34"/>
      <c r="AB977" s="34"/>
      <c r="AC977" s="34"/>
      <c r="AD977" s="34"/>
      <c r="AE977" s="25"/>
      <c r="AF977" s="25"/>
      <c r="AG977" s="34"/>
      <c r="AH977" s="34"/>
      <c r="AI977" s="37"/>
      <c r="AJ977" s="34"/>
      <c r="AK977" s="25"/>
      <c r="AL977" s="38"/>
      <c r="AM977" s="41"/>
      <c r="AN977" s="25"/>
      <c r="AO977" s="40"/>
      <c r="AP977" s="40"/>
    </row>
    <row r="978" ht="15.0" customHeight="1">
      <c r="A978" s="32" t="s">
        <v>1003</v>
      </c>
      <c r="B978" s="34" t="s">
        <v>1404</v>
      </c>
      <c r="C978" s="34" t="s">
        <v>1403</v>
      </c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25"/>
      <c r="X978" s="25"/>
      <c r="Y978" s="34"/>
      <c r="Z978" s="34"/>
      <c r="AA978" s="34"/>
      <c r="AB978" s="34"/>
      <c r="AC978" s="34"/>
      <c r="AD978" s="34"/>
      <c r="AE978" s="25"/>
      <c r="AF978" s="25"/>
      <c r="AG978" s="34"/>
      <c r="AH978" s="34"/>
      <c r="AI978" s="37"/>
      <c r="AJ978" s="34"/>
      <c r="AK978" s="25"/>
      <c r="AL978" s="38"/>
      <c r="AM978" s="41"/>
      <c r="AN978" s="25"/>
      <c r="AO978" s="40"/>
      <c r="AP978" s="40"/>
    </row>
    <row r="979" ht="15.0" customHeight="1">
      <c r="A979" s="32" t="s">
        <v>1004</v>
      </c>
      <c r="B979" s="34" t="s">
        <v>1404</v>
      </c>
      <c r="C979" s="34" t="s">
        <v>1403</v>
      </c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25"/>
      <c r="X979" s="25"/>
      <c r="Y979" s="34"/>
      <c r="Z979" s="34"/>
      <c r="AA979" s="34"/>
      <c r="AB979" s="34"/>
      <c r="AC979" s="34"/>
      <c r="AD979" s="34"/>
      <c r="AE979" s="25"/>
      <c r="AF979" s="25"/>
      <c r="AG979" s="34"/>
      <c r="AH979" s="34"/>
      <c r="AI979" s="37"/>
      <c r="AJ979" s="34"/>
      <c r="AK979" s="25"/>
      <c r="AL979" s="38"/>
      <c r="AM979" s="41"/>
      <c r="AN979" s="25"/>
      <c r="AO979" s="40"/>
      <c r="AP979" s="40"/>
    </row>
    <row r="980" ht="15.0" customHeight="1">
      <c r="A980" s="32" t="s">
        <v>1005</v>
      </c>
      <c r="B980" s="34" t="s">
        <v>1404</v>
      </c>
      <c r="C980" s="34" t="s">
        <v>1403</v>
      </c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25"/>
      <c r="X980" s="25"/>
      <c r="Y980" s="34"/>
      <c r="Z980" s="34"/>
      <c r="AA980" s="34"/>
      <c r="AB980" s="34"/>
      <c r="AC980" s="34"/>
      <c r="AD980" s="34"/>
      <c r="AE980" s="25"/>
      <c r="AF980" s="25"/>
      <c r="AG980" s="34"/>
      <c r="AH980" s="34"/>
      <c r="AI980" s="37"/>
      <c r="AJ980" s="34"/>
      <c r="AK980" s="25"/>
      <c r="AL980" s="38"/>
      <c r="AM980" s="41"/>
      <c r="AN980" s="25"/>
      <c r="AO980" s="40"/>
      <c r="AP980" s="40"/>
    </row>
    <row r="981" ht="15.0" customHeight="1">
      <c r="A981" s="32" t="s">
        <v>1006</v>
      </c>
      <c r="B981" s="34" t="s">
        <v>1404</v>
      </c>
      <c r="C981" s="34" t="s">
        <v>1403</v>
      </c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25"/>
      <c r="X981" s="25"/>
      <c r="Y981" s="34"/>
      <c r="Z981" s="34"/>
      <c r="AA981" s="34"/>
      <c r="AB981" s="34"/>
      <c r="AC981" s="34"/>
      <c r="AD981" s="34"/>
      <c r="AE981" s="25"/>
      <c r="AF981" s="25"/>
      <c r="AG981" s="34"/>
      <c r="AH981" s="34"/>
      <c r="AI981" s="37"/>
      <c r="AJ981" s="34"/>
      <c r="AK981" s="25"/>
      <c r="AL981" s="38"/>
      <c r="AM981" s="41"/>
      <c r="AN981" s="25"/>
      <c r="AO981" s="40"/>
      <c r="AP981" s="40"/>
    </row>
    <row r="982" ht="15.0" customHeight="1">
      <c r="A982" s="32" t="s">
        <v>1007</v>
      </c>
      <c r="B982" s="34" t="s">
        <v>1404</v>
      </c>
      <c r="C982" s="34" t="s">
        <v>1403</v>
      </c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25"/>
      <c r="X982" s="25"/>
      <c r="Y982" s="34"/>
      <c r="Z982" s="34"/>
      <c r="AA982" s="34"/>
      <c r="AB982" s="34"/>
      <c r="AC982" s="34"/>
      <c r="AD982" s="34"/>
      <c r="AE982" s="25"/>
      <c r="AF982" s="25"/>
      <c r="AG982" s="34"/>
      <c r="AH982" s="34"/>
      <c r="AI982" s="37"/>
      <c r="AJ982" s="34"/>
      <c r="AK982" s="25"/>
      <c r="AL982" s="38"/>
      <c r="AM982" s="41"/>
      <c r="AN982" s="25"/>
      <c r="AO982" s="40"/>
      <c r="AP982" s="40"/>
    </row>
    <row r="983" ht="15.0" customHeight="1">
      <c r="A983" s="32" t="s">
        <v>1008</v>
      </c>
      <c r="B983" s="34" t="s">
        <v>1404</v>
      </c>
      <c r="C983" s="34" t="s">
        <v>1403</v>
      </c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25"/>
      <c r="X983" s="25"/>
      <c r="Y983" s="34"/>
      <c r="Z983" s="34"/>
      <c r="AA983" s="34"/>
      <c r="AB983" s="34"/>
      <c r="AC983" s="34"/>
      <c r="AD983" s="34"/>
      <c r="AE983" s="25"/>
      <c r="AF983" s="25"/>
      <c r="AG983" s="34"/>
      <c r="AH983" s="34"/>
      <c r="AI983" s="37"/>
      <c r="AJ983" s="34"/>
      <c r="AK983" s="25"/>
      <c r="AL983" s="38"/>
      <c r="AM983" s="41"/>
      <c r="AN983" s="25"/>
      <c r="AO983" s="40"/>
      <c r="AP983" s="40"/>
    </row>
    <row r="984" ht="15.0" customHeight="1">
      <c r="A984" s="32" t="s">
        <v>1009</v>
      </c>
      <c r="B984" s="34" t="s">
        <v>1404</v>
      </c>
      <c r="C984" s="34" t="s">
        <v>1403</v>
      </c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25"/>
      <c r="X984" s="25"/>
      <c r="Y984" s="34"/>
      <c r="Z984" s="34"/>
      <c r="AA984" s="34"/>
      <c r="AB984" s="34"/>
      <c r="AC984" s="34"/>
      <c r="AD984" s="34"/>
      <c r="AE984" s="34"/>
      <c r="AF984" s="25"/>
      <c r="AG984" s="34"/>
      <c r="AH984" s="34"/>
      <c r="AI984" s="37"/>
      <c r="AJ984" s="34"/>
      <c r="AK984" s="34"/>
      <c r="AL984" s="38"/>
      <c r="AM984" s="41"/>
      <c r="AN984" s="25"/>
      <c r="AO984" s="40"/>
      <c r="AP984" s="40"/>
    </row>
    <row r="985" ht="15.0" customHeight="1">
      <c r="A985" s="32" t="s">
        <v>1010</v>
      </c>
      <c r="B985" s="34" t="s">
        <v>1404</v>
      </c>
      <c r="C985" s="34" t="s">
        <v>1403</v>
      </c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25"/>
      <c r="X985" s="25"/>
      <c r="Y985" s="34"/>
      <c r="Z985" s="34"/>
      <c r="AA985" s="34"/>
      <c r="AB985" s="34"/>
      <c r="AC985" s="34"/>
      <c r="AD985" s="34"/>
      <c r="AE985" s="34"/>
      <c r="AF985" s="25"/>
      <c r="AG985" s="34"/>
      <c r="AH985" s="34"/>
      <c r="AI985" s="37"/>
      <c r="AJ985" s="34"/>
      <c r="AK985" s="34"/>
      <c r="AL985" s="38"/>
      <c r="AM985" s="41"/>
      <c r="AN985" s="25"/>
      <c r="AO985" s="40"/>
      <c r="AP985" s="40"/>
    </row>
    <row r="986" ht="15.0" customHeight="1">
      <c r="A986" s="32" t="s">
        <v>1011</v>
      </c>
      <c r="B986" s="34" t="s">
        <v>1404</v>
      </c>
      <c r="C986" s="34" t="s">
        <v>1403</v>
      </c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25"/>
      <c r="X986" s="25"/>
      <c r="Y986" s="34"/>
      <c r="Z986" s="34"/>
      <c r="AA986" s="34"/>
      <c r="AB986" s="34"/>
      <c r="AC986" s="34"/>
      <c r="AD986" s="34"/>
      <c r="AE986" s="34"/>
      <c r="AF986" s="25"/>
      <c r="AG986" s="34"/>
      <c r="AH986" s="34"/>
      <c r="AI986" s="37"/>
      <c r="AJ986" s="34"/>
      <c r="AK986" s="34"/>
      <c r="AL986" s="38"/>
      <c r="AM986" s="41"/>
      <c r="AN986" s="25"/>
      <c r="AO986" s="40"/>
      <c r="AP986" s="40"/>
    </row>
    <row r="987" ht="15.0" customHeight="1">
      <c r="A987" s="32" t="s">
        <v>1012</v>
      </c>
      <c r="B987" s="34" t="s">
        <v>1404</v>
      </c>
      <c r="C987" s="34" t="s">
        <v>1403</v>
      </c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25"/>
      <c r="X987" s="25"/>
      <c r="Y987" s="34"/>
      <c r="Z987" s="34"/>
      <c r="AA987" s="34"/>
      <c r="AB987" s="34"/>
      <c r="AC987" s="34"/>
      <c r="AD987" s="34"/>
      <c r="AE987" s="34"/>
      <c r="AF987" s="25"/>
      <c r="AG987" s="34"/>
      <c r="AH987" s="34"/>
      <c r="AI987" s="37"/>
      <c r="AJ987" s="34"/>
      <c r="AK987" s="34"/>
      <c r="AL987" s="38"/>
      <c r="AM987" s="41"/>
      <c r="AN987" s="25"/>
      <c r="AO987" s="40"/>
      <c r="AP987" s="40"/>
    </row>
    <row r="988" ht="15.0" customHeight="1">
      <c r="A988" s="32" t="s">
        <v>1013</v>
      </c>
      <c r="B988" s="34" t="s">
        <v>1404</v>
      </c>
      <c r="C988" s="34" t="s">
        <v>1403</v>
      </c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25"/>
      <c r="X988" s="25"/>
      <c r="Y988" s="34"/>
      <c r="Z988" s="34"/>
      <c r="AA988" s="34"/>
      <c r="AB988" s="34"/>
      <c r="AC988" s="34"/>
      <c r="AD988" s="34"/>
      <c r="AE988" s="34"/>
      <c r="AF988" s="25"/>
      <c r="AG988" s="34"/>
      <c r="AH988" s="34"/>
      <c r="AI988" s="37"/>
      <c r="AJ988" s="34"/>
      <c r="AK988" s="34"/>
      <c r="AL988" s="38"/>
      <c r="AM988" s="41"/>
      <c r="AN988" s="25"/>
      <c r="AO988" s="40"/>
      <c r="AP988" s="40"/>
    </row>
    <row r="989" ht="15.0" customHeight="1">
      <c r="A989" s="32" t="s">
        <v>1014</v>
      </c>
      <c r="B989" s="34" t="s">
        <v>1404</v>
      </c>
      <c r="C989" s="34" t="s">
        <v>1403</v>
      </c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25"/>
      <c r="X989" s="25"/>
      <c r="Y989" s="34"/>
      <c r="Z989" s="34"/>
      <c r="AA989" s="34"/>
      <c r="AB989" s="34"/>
      <c r="AC989" s="34"/>
      <c r="AD989" s="34"/>
      <c r="AE989" s="34"/>
      <c r="AF989" s="25"/>
      <c r="AG989" s="34"/>
      <c r="AH989" s="34"/>
      <c r="AI989" s="37"/>
      <c r="AJ989" s="34"/>
      <c r="AK989" s="34"/>
      <c r="AL989" s="38"/>
      <c r="AM989" s="41"/>
      <c r="AN989" s="25"/>
      <c r="AO989" s="40"/>
      <c r="AP989" s="40"/>
    </row>
    <row r="990" ht="15.0" customHeight="1">
      <c r="A990" s="32" t="s">
        <v>1015</v>
      </c>
      <c r="B990" s="34" t="s">
        <v>1404</v>
      </c>
      <c r="C990" s="34" t="s">
        <v>1403</v>
      </c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25"/>
      <c r="X990" s="25"/>
      <c r="Y990" s="34"/>
      <c r="Z990" s="34"/>
      <c r="AA990" s="34"/>
      <c r="AB990" s="34"/>
      <c r="AC990" s="34"/>
      <c r="AD990" s="34"/>
      <c r="AE990" s="34"/>
      <c r="AF990" s="25"/>
      <c r="AG990" s="34"/>
      <c r="AH990" s="34"/>
      <c r="AI990" s="37"/>
      <c r="AJ990" s="34"/>
      <c r="AK990" s="34"/>
      <c r="AL990" s="38"/>
      <c r="AM990" s="41"/>
      <c r="AN990" s="25"/>
      <c r="AO990" s="40"/>
      <c r="AP990" s="40"/>
    </row>
    <row r="991" ht="15.0" customHeight="1">
      <c r="A991" s="32" t="s">
        <v>1016</v>
      </c>
      <c r="B991" s="34" t="s">
        <v>1404</v>
      </c>
      <c r="C991" s="34" t="s">
        <v>1403</v>
      </c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25"/>
      <c r="X991" s="25"/>
      <c r="Y991" s="34"/>
      <c r="Z991" s="34"/>
      <c r="AA991" s="34"/>
      <c r="AB991" s="34"/>
      <c r="AC991" s="34"/>
      <c r="AD991" s="34"/>
      <c r="AE991" s="34"/>
      <c r="AF991" s="25"/>
      <c r="AG991" s="34"/>
      <c r="AH991" s="34"/>
      <c r="AI991" s="37"/>
      <c r="AJ991" s="34"/>
      <c r="AK991" s="34"/>
      <c r="AL991" s="38"/>
      <c r="AM991" s="41"/>
      <c r="AN991" s="25"/>
      <c r="AO991" s="40"/>
      <c r="AP991" s="40"/>
    </row>
    <row r="992" ht="15.0" customHeight="1">
      <c r="A992" s="32" t="s">
        <v>1017</v>
      </c>
      <c r="B992" s="34" t="s">
        <v>1404</v>
      </c>
      <c r="C992" s="34" t="s">
        <v>1403</v>
      </c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25"/>
      <c r="X992" s="25"/>
      <c r="Y992" s="34"/>
      <c r="Z992" s="34"/>
      <c r="AA992" s="34"/>
      <c r="AB992" s="34"/>
      <c r="AC992" s="34"/>
      <c r="AD992" s="34"/>
      <c r="AE992" s="34"/>
      <c r="AF992" s="25"/>
      <c r="AG992" s="34"/>
      <c r="AH992" s="34"/>
      <c r="AI992" s="37"/>
      <c r="AJ992" s="34"/>
      <c r="AK992" s="34"/>
      <c r="AL992" s="38"/>
      <c r="AM992" s="41"/>
      <c r="AN992" s="25"/>
      <c r="AO992" s="40"/>
      <c r="AP992" s="40"/>
    </row>
    <row r="993" ht="15.0" customHeight="1">
      <c r="A993" s="32" t="s">
        <v>1018</v>
      </c>
      <c r="B993" s="34" t="s">
        <v>1404</v>
      </c>
      <c r="C993" s="34" t="s">
        <v>1403</v>
      </c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25"/>
      <c r="X993" s="25"/>
      <c r="Y993" s="34"/>
      <c r="Z993" s="34"/>
      <c r="AA993" s="34"/>
      <c r="AB993" s="34"/>
      <c r="AC993" s="34"/>
      <c r="AD993" s="34"/>
      <c r="AE993" s="34"/>
      <c r="AF993" s="25"/>
      <c r="AG993" s="34"/>
      <c r="AH993" s="34"/>
      <c r="AI993" s="37"/>
      <c r="AJ993" s="34"/>
      <c r="AK993" s="34"/>
      <c r="AL993" s="38"/>
      <c r="AM993" s="41"/>
      <c r="AN993" s="25"/>
      <c r="AO993" s="40"/>
      <c r="AP993" s="40"/>
    </row>
    <row r="994" ht="15.0" customHeight="1">
      <c r="A994" s="32" t="s">
        <v>1019</v>
      </c>
      <c r="B994" s="34" t="s">
        <v>1404</v>
      </c>
      <c r="C994" s="34" t="s">
        <v>1403</v>
      </c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25"/>
      <c r="X994" s="25"/>
      <c r="Y994" s="34"/>
      <c r="Z994" s="34"/>
      <c r="AA994" s="34"/>
      <c r="AB994" s="34"/>
      <c r="AC994" s="34"/>
      <c r="AD994" s="34"/>
      <c r="AE994" s="34"/>
      <c r="AF994" s="25"/>
      <c r="AG994" s="34"/>
      <c r="AH994" s="34"/>
      <c r="AI994" s="37"/>
      <c r="AJ994" s="34"/>
      <c r="AK994" s="34"/>
      <c r="AL994" s="38"/>
      <c r="AM994" s="41"/>
      <c r="AN994" s="25"/>
      <c r="AO994" s="40"/>
      <c r="AP994" s="40"/>
    </row>
    <row r="995" ht="15.0" customHeight="1">
      <c r="A995" s="32" t="s">
        <v>1020</v>
      </c>
      <c r="B995" s="34" t="s">
        <v>1404</v>
      </c>
      <c r="C995" s="34" t="s">
        <v>1403</v>
      </c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25"/>
      <c r="X995" s="25"/>
      <c r="Y995" s="34"/>
      <c r="Z995" s="34"/>
      <c r="AA995" s="34"/>
      <c r="AB995" s="34"/>
      <c r="AC995" s="34"/>
      <c r="AD995" s="34"/>
      <c r="AE995" s="34"/>
      <c r="AF995" s="25"/>
      <c r="AG995" s="34"/>
      <c r="AH995" s="34"/>
      <c r="AI995" s="37"/>
      <c r="AJ995" s="34"/>
      <c r="AK995" s="34"/>
      <c r="AL995" s="38"/>
      <c r="AM995" s="41"/>
      <c r="AN995" s="25"/>
      <c r="AO995" s="40"/>
      <c r="AP995" s="40"/>
    </row>
    <row r="996" ht="15.0" customHeight="1">
      <c r="A996" s="32" t="s">
        <v>1021</v>
      </c>
      <c r="B996" s="34" t="s">
        <v>1404</v>
      </c>
      <c r="C996" s="34" t="s">
        <v>1403</v>
      </c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25"/>
      <c r="X996" s="25"/>
      <c r="Y996" s="34"/>
      <c r="Z996" s="34"/>
      <c r="AA996" s="34"/>
      <c r="AB996" s="34"/>
      <c r="AC996" s="34"/>
      <c r="AD996" s="34"/>
      <c r="AE996" s="34"/>
      <c r="AF996" s="25"/>
      <c r="AG996" s="34"/>
      <c r="AH996" s="34"/>
      <c r="AI996" s="37"/>
      <c r="AJ996" s="34"/>
      <c r="AK996" s="34"/>
      <c r="AL996" s="38"/>
      <c r="AM996" s="41"/>
      <c r="AN996" s="25"/>
      <c r="AO996" s="40"/>
      <c r="AP996" s="40"/>
    </row>
    <row r="997" ht="15.0" customHeight="1">
      <c r="A997" s="32" t="s">
        <v>1022</v>
      </c>
      <c r="B997" s="34" t="s">
        <v>1404</v>
      </c>
      <c r="C997" s="34" t="s">
        <v>1403</v>
      </c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25"/>
      <c r="X997" s="25"/>
      <c r="Y997" s="34"/>
      <c r="Z997" s="34"/>
      <c r="AA997" s="34"/>
      <c r="AB997" s="34"/>
      <c r="AC997" s="34"/>
      <c r="AD997" s="34"/>
      <c r="AE997" s="34"/>
      <c r="AF997" s="25"/>
      <c r="AG997" s="34"/>
      <c r="AH997" s="34"/>
      <c r="AI997" s="37"/>
      <c r="AJ997" s="34"/>
      <c r="AK997" s="34"/>
      <c r="AL997" s="38"/>
      <c r="AM997" s="41"/>
      <c r="AN997" s="25"/>
      <c r="AO997" s="40"/>
      <c r="AP997" s="40"/>
    </row>
    <row r="998" ht="15.0" customHeight="1">
      <c r="A998" s="32" t="s">
        <v>1023</v>
      </c>
      <c r="B998" s="34" t="s">
        <v>1404</v>
      </c>
      <c r="C998" s="34" t="s">
        <v>1403</v>
      </c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25"/>
      <c r="X998" s="25"/>
      <c r="Y998" s="34"/>
      <c r="Z998" s="34"/>
      <c r="AA998" s="34"/>
      <c r="AB998" s="34"/>
      <c r="AC998" s="34"/>
      <c r="AD998" s="34"/>
      <c r="AE998" s="34"/>
      <c r="AF998" s="25"/>
      <c r="AG998" s="34"/>
      <c r="AH998" s="34"/>
      <c r="AI998" s="37"/>
      <c r="AJ998" s="34"/>
      <c r="AK998" s="34"/>
      <c r="AL998" s="38"/>
      <c r="AM998" s="41"/>
      <c r="AN998" s="25"/>
      <c r="AO998" s="40"/>
      <c r="AP998" s="40"/>
    </row>
    <row r="999" ht="15.0" customHeight="1">
      <c r="A999" s="32" t="s">
        <v>1024</v>
      </c>
      <c r="B999" s="34" t="s">
        <v>1404</v>
      </c>
      <c r="C999" s="34" t="s">
        <v>1403</v>
      </c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25"/>
      <c r="X999" s="25"/>
      <c r="Y999" s="34"/>
      <c r="Z999" s="34"/>
      <c r="AA999" s="34"/>
      <c r="AB999" s="34"/>
      <c r="AC999" s="34"/>
      <c r="AD999" s="34"/>
      <c r="AE999" s="34"/>
      <c r="AF999" s="25"/>
      <c r="AG999" s="34"/>
      <c r="AH999" s="34"/>
      <c r="AI999" s="37"/>
      <c r="AJ999" s="34"/>
      <c r="AK999" s="34"/>
      <c r="AL999" s="38"/>
      <c r="AM999" s="41"/>
      <c r="AN999" s="25"/>
      <c r="AO999" s="40"/>
      <c r="AP999" s="40"/>
    </row>
    <row r="1000" ht="15.0" customHeight="1">
      <c r="A1000" s="32" t="s">
        <v>1025</v>
      </c>
      <c r="B1000" s="34" t="s">
        <v>1404</v>
      </c>
      <c r="C1000" s="34" t="s">
        <v>1403</v>
      </c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25"/>
      <c r="X1000" s="25"/>
      <c r="Y1000" s="34"/>
      <c r="Z1000" s="34"/>
      <c r="AA1000" s="34"/>
      <c r="AB1000" s="34"/>
      <c r="AC1000" s="34"/>
      <c r="AD1000" s="34"/>
      <c r="AE1000" s="34"/>
      <c r="AF1000" s="25"/>
      <c r="AG1000" s="34"/>
      <c r="AH1000" s="34"/>
      <c r="AI1000" s="37"/>
      <c r="AJ1000" s="34"/>
      <c r="AK1000" s="34"/>
      <c r="AL1000" s="38"/>
      <c r="AM1000" s="41"/>
      <c r="AN1000" s="25"/>
      <c r="AO1000" s="40"/>
      <c r="AP1000" s="40"/>
    </row>
    <row r="1001" ht="15.0" customHeight="1">
      <c r="A1001" s="32" t="s">
        <v>1026</v>
      </c>
      <c r="B1001" s="34" t="s">
        <v>1404</v>
      </c>
      <c r="C1001" s="34" t="s">
        <v>1403</v>
      </c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25"/>
      <c r="X1001" s="25"/>
      <c r="Y1001" s="34"/>
      <c r="Z1001" s="34"/>
      <c r="AA1001" s="34"/>
      <c r="AB1001" s="34"/>
      <c r="AC1001" s="34"/>
      <c r="AD1001" s="34"/>
      <c r="AE1001" s="34"/>
      <c r="AF1001" s="25"/>
      <c r="AG1001" s="34"/>
      <c r="AH1001" s="34"/>
      <c r="AI1001" s="37"/>
      <c r="AJ1001" s="34"/>
      <c r="AK1001" s="34"/>
      <c r="AL1001" s="38"/>
      <c r="AM1001" s="41"/>
      <c r="AN1001" s="25"/>
      <c r="AO1001" s="40"/>
      <c r="AP1001" s="40"/>
    </row>
    <row r="1002" ht="15.0" customHeight="1">
      <c r="A1002" s="32" t="s">
        <v>1027</v>
      </c>
      <c r="B1002" s="34" t="s">
        <v>1404</v>
      </c>
      <c r="C1002" s="34" t="s">
        <v>1403</v>
      </c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25"/>
      <c r="X1002" s="25"/>
      <c r="Y1002" s="34"/>
      <c r="Z1002" s="34"/>
      <c r="AA1002" s="34"/>
      <c r="AB1002" s="34"/>
      <c r="AC1002" s="34"/>
      <c r="AD1002" s="34"/>
      <c r="AE1002" s="34"/>
      <c r="AF1002" s="25"/>
      <c r="AG1002" s="34"/>
      <c r="AH1002" s="34"/>
      <c r="AI1002" s="37"/>
      <c r="AJ1002" s="34"/>
      <c r="AK1002" s="34"/>
      <c r="AL1002" s="38"/>
      <c r="AM1002" s="41"/>
      <c r="AN1002" s="25"/>
      <c r="AO1002" s="40"/>
      <c r="AP1002" s="40"/>
    </row>
    <row r="1003" ht="15.0" customHeight="1">
      <c r="A1003" s="32" t="s">
        <v>1028</v>
      </c>
      <c r="B1003" s="34" t="s">
        <v>1404</v>
      </c>
      <c r="C1003" s="34" t="s">
        <v>1403</v>
      </c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25"/>
      <c r="X1003" s="25"/>
      <c r="Y1003" s="34"/>
      <c r="Z1003" s="34"/>
      <c r="AA1003" s="34"/>
      <c r="AB1003" s="34"/>
      <c r="AC1003" s="34"/>
      <c r="AD1003" s="34"/>
      <c r="AE1003" s="34"/>
      <c r="AF1003" s="25"/>
      <c r="AG1003" s="34"/>
      <c r="AH1003" s="34"/>
      <c r="AI1003" s="37"/>
      <c r="AJ1003" s="34"/>
      <c r="AK1003" s="34"/>
      <c r="AL1003" s="38"/>
      <c r="AM1003" s="41"/>
      <c r="AN1003" s="25"/>
      <c r="AO1003" s="40"/>
      <c r="AP1003" s="40"/>
    </row>
    <row r="1004" ht="15.0" customHeight="1">
      <c r="A1004" s="32" t="s">
        <v>1029</v>
      </c>
      <c r="B1004" s="34" t="s">
        <v>1404</v>
      </c>
      <c r="C1004" s="34" t="s">
        <v>1403</v>
      </c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25"/>
      <c r="X1004" s="25"/>
      <c r="Y1004" s="34"/>
      <c r="Z1004" s="34"/>
      <c r="AA1004" s="34"/>
      <c r="AB1004" s="34"/>
      <c r="AC1004" s="34"/>
      <c r="AD1004" s="34"/>
      <c r="AE1004" s="34"/>
      <c r="AF1004" s="25"/>
      <c r="AG1004" s="34"/>
      <c r="AH1004" s="34"/>
      <c r="AI1004" s="37"/>
      <c r="AJ1004" s="34"/>
      <c r="AK1004" s="34"/>
      <c r="AL1004" s="38"/>
      <c r="AM1004" s="41"/>
      <c r="AN1004" s="25"/>
      <c r="AO1004" s="40"/>
      <c r="AP1004" s="40"/>
    </row>
    <row r="1005" ht="15.0" customHeight="1">
      <c r="A1005" s="32" t="s">
        <v>1030</v>
      </c>
      <c r="B1005" s="34" t="s">
        <v>1404</v>
      </c>
      <c r="C1005" s="34" t="s">
        <v>1403</v>
      </c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25"/>
      <c r="X1005" s="25"/>
      <c r="Y1005" s="34"/>
      <c r="Z1005" s="34"/>
      <c r="AA1005" s="34"/>
      <c r="AB1005" s="34"/>
      <c r="AC1005" s="34"/>
      <c r="AD1005" s="34"/>
      <c r="AE1005" s="34"/>
      <c r="AF1005" s="25"/>
      <c r="AG1005" s="34"/>
      <c r="AH1005" s="34"/>
      <c r="AI1005" s="37"/>
      <c r="AJ1005" s="34"/>
      <c r="AK1005" s="34"/>
      <c r="AL1005" s="38"/>
      <c r="AM1005" s="41"/>
      <c r="AN1005" s="25"/>
      <c r="AO1005" s="40"/>
      <c r="AP1005" s="40"/>
    </row>
    <row r="1006" ht="15.0" customHeight="1">
      <c r="A1006" s="32" t="s">
        <v>1031</v>
      </c>
      <c r="B1006" s="34" t="s">
        <v>1404</v>
      </c>
      <c r="C1006" s="34" t="s">
        <v>1403</v>
      </c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25"/>
      <c r="X1006" s="25"/>
      <c r="Y1006" s="34"/>
      <c r="Z1006" s="34"/>
      <c r="AA1006" s="34"/>
      <c r="AB1006" s="34"/>
      <c r="AC1006" s="34"/>
      <c r="AD1006" s="34"/>
      <c r="AE1006" s="34"/>
      <c r="AF1006" s="25"/>
      <c r="AG1006" s="34"/>
      <c r="AH1006" s="34"/>
      <c r="AI1006" s="37"/>
      <c r="AJ1006" s="34"/>
      <c r="AK1006" s="34"/>
      <c r="AL1006" s="38"/>
      <c r="AM1006" s="41"/>
      <c r="AN1006" s="25"/>
      <c r="AO1006" s="40"/>
      <c r="AP1006" s="40"/>
    </row>
    <row r="1007" ht="15.0" customHeight="1">
      <c r="A1007" s="32" t="s">
        <v>1032</v>
      </c>
      <c r="B1007" s="34" t="s">
        <v>1404</v>
      </c>
      <c r="C1007" s="34" t="s">
        <v>1403</v>
      </c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25"/>
      <c r="X1007" s="25"/>
      <c r="Y1007" s="34"/>
      <c r="Z1007" s="34"/>
      <c r="AA1007" s="34"/>
      <c r="AB1007" s="34"/>
      <c r="AC1007" s="34"/>
      <c r="AD1007" s="34"/>
      <c r="AE1007" s="34"/>
      <c r="AF1007" s="25"/>
      <c r="AG1007" s="34"/>
      <c r="AH1007" s="34"/>
      <c r="AI1007" s="37"/>
      <c r="AJ1007" s="34"/>
      <c r="AK1007" s="34"/>
      <c r="AL1007" s="38"/>
      <c r="AM1007" s="41"/>
      <c r="AN1007" s="25"/>
      <c r="AO1007" s="40"/>
      <c r="AP1007" s="40"/>
    </row>
    <row r="1008" ht="15.0" customHeight="1">
      <c r="A1008" s="32" t="s">
        <v>1033</v>
      </c>
      <c r="B1008" s="34" t="s">
        <v>1404</v>
      </c>
      <c r="C1008" s="34" t="s">
        <v>1403</v>
      </c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25"/>
      <c r="X1008" s="25"/>
      <c r="Y1008" s="34"/>
      <c r="Z1008" s="34"/>
      <c r="AA1008" s="34"/>
      <c r="AB1008" s="34"/>
      <c r="AC1008" s="34"/>
      <c r="AD1008" s="34"/>
      <c r="AE1008" s="34"/>
      <c r="AF1008" s="25"/>
      <c r="AG1008" s="34"/>
      <c r="AH1008" s="34"/>
      <c r="AI1008" s="37"/>
      <c r="AJ1008" s="34"/>
      <c r="AK1008" s="34"/>
      <c r="AL1008" s="38"/>
      <c r="AM1008" s="41"/>
      <c r="AN1008" s="25"/>
      <c r="AO1008" s="40"/>
      <c r="AP1008" s="40"/>
    </row>
    <row r="1009" ht="15.0" customHeight="1">
      <c r="A1009" s="32" t="s">
        <v>1034</v>
      </c>
      <c r="B1009" s="34" t="s">
        <v>1404</v>
      </c>
      <c r="C1009" s="34" t="s">
        <v>1403</v>
      </c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25"/>
      <c r="X1009" s="25"/>
      <c r="Y1009" s="34"/>
      <c r="Z1009" s="34"/>
      <c r="AA1009" s="34"/>
      <c r="AB1009" s="34"/>
      <c r="AC1009" s="34"/>
      <c r="AD1009" s="34"/>
      <c r="AE1009" s="34"/>
      <c r="AF1009" s="25"/>
      <c r="AG1009" s="34"/>
      <c r="AH1009" s="34"/>
      <c r="AI1009" s="37"/>
      <c r="AJ1009" s="34"/>
      <c r="AK1009" s="34"/>
      <c r="AL1009" s="38"/>
      <c r="AM1009" s="41"/>
      <c r="AN1009" s="25"/>
      <c r="AO1009" s="40"/>
      <c r="AP1009" s="40"/>
    </row>
    <row r="1010" ht="15.0" customHeight="1">
      <c r="A1010" s="32" t="s">
        <v>1035</v>
      </c>
      <c r="B1010" s="34" t="s">
        <v>1404</v>
      </c>
      <c r="C1010" s="34" t="s">
        <v>1403</v>
      </c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25"/>
      <c r="X1010" s="25"/>
      <c r="Y1010" s="34"/>
      <c r="Z1010" s="34"/>
      <c r="AA1010" s="34"/>
      <c r="AB1010" s="34"/>
      <c r="AC1010" s="34"/>
      <c r="AD1010" s="34"/>
      <c r="AE1010" s="34"/>
      <c r="AF1010" s="25"/>
      <c r="AG1010" s="34"/>
      <c r="AH1010" s="34"/>
      <c r="AI1010" s="37"/>
      <c r="AJ1010" s="34"/>
      <c r="AK1010" s="34"/>
      <c r="AL1010" s="38"/>
      <c r="AM1010" s="41"/>
      <c r="AN1010" s="25"/>
      <c r="AO1010" s="40"/>
      <c r="AP1010" s="40"/>
    </row>
    <row r="1011" ht="15.0" customHeight="1">
      <c r="A1011" s="32" t="s">
        <v>1036</v>
      </c>
      <c r="B1011" s="34" t="s">
        <v>1404</v>
      </c>
      <c r="C1011" s="34" t="s">
        <v>1403</v>
      </c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25"/>
      <c r="X1011" s="25"/>
      <c r="Y1011" s="34"/>
      <c r="Z1011" s="34"/>
      <c r="AA1011" s="34"/>
      <c r="AB1011" s="34"/>
      <c r="AC1011" s="34"/>
      <c r="AD1011" s="34"/>
      <c r="AE1011" s="34"/>
      <c r="AF1011" s="25"/>
      <c r="AG1011" s="34"/>
      <c r="AH1011" s="34"/>
      <c r="AI1011" s="37"/>
      <c r="AJ1011" s="34"/>
      <c r="AK1011" s="34"/>
      <c r="AL1011" s="38"/>
      <c r="AM1011" s="41"/>
      <c r="AN1011" s="25"/>
      <c r="AO1011" s="40"/>
      <c r="AP1011" s="40"/>
    </row>
    <row r="1012" ht="15.0" customHeight="1">
      <c r="A1012" s="32" t="s">
        <v>1037</v>
      </c>
      <c r="B1012" s="34" t="s">
        <v>1404</v>
      </c>
      <c r="C1012" s="34" t="s">
        <v>1403</v>
      </c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25"/>
      <c r="X1012" s="25"/>
      <c r="Y1012" s="34"/>
      <c r="Z1012" s="34"/>
      <c r="AA1012" s="34"/>
      <c r="AB1012" s="34"/>
      <c r="AC1012" s="34"/>
      <c r="AD1012" s="34"/>
      <c r="AE1012" s="34"/>
      <c r="AF1012" s="25"/>
      <c r="AG1012" s="34"/>
      <c r="AH1012" s="34"/>
      <c r="AI1012" s="37"/>
      <c r="AJ1012" s="34"/>
      <c r="AK1012" s="34"/>
      <c r="AL1012" s="38"/>
      <c r="AM1012" s="41"/>
      <c r="AN1012" s="25"/>
      <c r="AO1012" s="40"/>
      <c r="AP1012" s="40"/>
    </row>
    <row r="1013" ht="15.0" customHeight="1">
      <c r="A1013" s="32" t="s">
        <v>1038</v>
      </c>
      <c r="B1013" s="34" t="s">
        <v>1404</v>
      </c>
      <c r="C1013" s="34" t="s">
        <v>1403</v>
      </c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25"/>
      <c r="X1013" s="25"/>
      <c r="Y1013" s="34"/>
      <c r="Z1013" s="34"/>
      <c r="AA1013" s="34"/>
      <c r="AB1013" s="34"/>
      <c r="AC1013" s="34"/>
      <c r="AD1013" s="34"/>
      <c r="AE1013" s="34"/>
      <c r="AF1013" s="25"/>
      <c r="AG1013" s="34"/>
      <c r="AH1013" s="34"/>
      <c r="AI1013" s="37"/>
      <c r="AJ1013" s="34"/>
      <c r="AK1013" s="34"/>
      <c r="AL1013" s="38"/>
      <c r="AM1013" s="41"/>
      <c r="AN1013" s="25"/>
      <c r="AO1013" s="40"/>
      <c r="AP1013" s="40"/>
    </row>
    <row r="1014" ht="15.0" customHeight="1">
      <c r="A1014" s="32" t="s">
        <v>1039</v>
      </c>
      <c r="B1014" s="34" t="s">
        <v>1404</v>
      </c>
      <c r="C1014" s="34" t="s">
        <v>1403</v>
      </c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25"/>
      <c r="X1014" s="25"/>
      <c r="Y1014" s="34"/>
      <c r="Z1014" s="34"/>
      <c r="AA1014" s="34"/>
      <c r="AB1014" s="34"/>
      <c r="AC1014" s="34"/>
      <c r="AD1014" s="34"/>
      <c r="AE1014" s="34"/>
      <c r="AF1014" s="25"/>
      <c r="AG1014" s="34"/>
      <c r="AH1014" s="34"/>
      <c r="AI1014" s="37"/>
      <c r="AJ1014" s="34"/>
      <c r="AK1014" s="34"/>
      <c r="AL1014" s="38"/>
      <c r="AM1014" s="41"/>
      <c r="AN1014" s="25"/>
      <c r="AO1014" s="40"/>
      <c r="AP1014" s="40"/>
    </row>
    <row r="1015" ht="15.0" customHeight="1">
      <c r="A1015" s="32" t="s">
        <v>1040</v>
      </c>
      <c r="B1015" s="34" t="s">
        <v>1404</v>
      </c>
      <c r="C1015" s="34" t="s">
        <v>1403</v>
      </c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25"/>
      <c r="X1015" s="25"/>
      <c r="Y1015" s="34"/>
      <c r="Z1015" s="34"/>
      <c r="AA1015" s="34"/>
      <c r="AB1015" s="34"/>
      <c r="AC1015" s="34"/>
      <c r="AD1015" s="34"/>
      <c r="AE1015" s="34"/>
      <c r="AF1015" s="25"/>
      <c r="AG1015" s="34"/>
      <c r="AH1015" s="34"/>
      <c r="AI1015" s="37"/>
      <c r="AJ1015" s="34"/>
      <c r="AK1015" s="34"/>
      <c r="AL1015" s="38"/>
      <c r="AM1015" s="41"/>
      <c r="AN1015" s="25"/>
      <c r="AO1015" s="40"/>
      <c r="AP1015" s="40"/>
    </row>
    <row r="1016" ht="15.0" customHeight="1">
      <c r="A1016" s="32" t="s">
        <v>1041</v>
      </c>
      <c r="B1016" s="34" t="s">
        <v>1404</v>
      </c>
      <c r="C1016" s="34" t="s">
        <v>1403</v>
      </c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25"/>
      <c r="X1016" s="25"/>
      <c r="Y1016" s="34"/>
      <c r="Z1016" s="34"/>
      <c r="AA1016" s="34"/>
      <c r="AB1016" s="34"/>
      <c r="AC1016" s="34"/>
      <c r="AD1016" s="34"/>
      <c r="AE1016" s="34"/>
      <c r="AF1016" s="25"/>
      <c r="AG1016" s="34"/>
      <c r="AH1016" s="34"/>
      <c r="AI1016" s="37"/>
      <c r="AJ1016" s="34"/>
      <c r="AK1016" s="34"/>
      <c r="AL1016" s="38"/>
      <c r="AM1016" s="41"/>
      <c r="AN1016" s="25"/>
      <c r="AO1016" s="40"/>
      <c r="AP1016" s="40"/>
    </row>
    <row r="1017" ht="15.0" customHeight="1">
      <c r="A1017" s="32" t="s">
        <v>1042</v>
      </c>
      <c r="B1017" s="34" t="s">
        <v>1404</v>
      </c>
      <c r="C1017" s="34" t="s">
        <v>1403</v>
      </c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25"/>
      <c r="X1017" s="25"/>
      <c r="Y1017" s="34"/>
      <c r="Z1017" s="34"/>
      <c r="AA1017" s="34"/>
      <c r="AB1017" s="34"/>
      <c r="AC1017" s="34"/>
      <c r="AD1017" s="34"/>
      <c r="AE1017" s="34"/>
      <c r="AF1017" s="25"/>
      <c r="AG1017" s="34"/>
      <c r="AH1017" s="34"/>
      <c r="AI1017" s="37"/>
      <c r="AJ1017" s="34"/>
      <c r="AK1017" s="34"/>
      <c r="AL1017" s="38"/>
      <c r="AM1017" s="41"/>
      <c r="AN1017" s="25"/>
      <c r="AO1017" s="40"/>
      <c r="AP1017" s="40"/>
    </row>
    <row r="1018" ht="15.0" customHeight="1">
      <c r="A1018" s="32" t="s">
        <v>1043</v>
      </c>
      <c r="B1018" s="34" t="s">
        <v>1404</v>
      </c>
      <c r="C1018" s="34" t="s">
        <v>1403</v>
      </c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25"/>
      <c r="X1018" s="25"/>
      <c r="Y1018" s="34"/>
      <c r="Z1018" s="34"/>
      <c r="AA1018" s="34"/>
      <c r="AB1018" s="34"/>
      <c r="AC1018" s="34"/>
      <c r="AD1018" s="34"/>
      <c r="AE1018" s="34"/>
      <c r="AF1018" s="25"/>
      <c r="AG1018" s="34"/>
      <c r="AH1018" s="34"/>
      <c r="AI1018" s="37"/>
      <c r="AJ1018" s="34"/>
      <c r="AK1018" s="34"/>
      <c r="AL1018" s="38"/>
      <c r="AM1018" s="41"/>
      <c r="AN1018" s="25"/>
      <c r="AO1018" s="40"/>
      <c r="AP1018" s="40"/>
    </row>
    <row r="1019" ht="15.0" customHeight="1">
      <c r="A1019" s="32" t="s">
        <v>1044</v>
      </c>
      <c r="B1019" s="34" t="s">
        <v>1404</v>
      </c>
      <c r="C1019" s="34" t="s">
        <v>1403</v>
      </c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25"/>
      <c r="X1019" s="25"/>
      <c r="Y1019" s="34"/>
      <c r="Z1019" s="34"/>
      <c r="AA1019" s="34"/>
      <c r="AB1019" s="34"/>
      <c r="AC1019" s="34"/>
      <c r="AD1019" s="34"/>
      <c r="AE1019" s="34"/>
      <c r="AF1019" s="25"/>
      <c r="AG1019" s="34"/>
      <c r="AH1019" s="34"/>
      <c r="AI1019" s="37"/>
      <c r="AJ1019" s="34"/>
      <c r="AK1019" s="34"/>
      <c r="AL1019" s="38"/>
      <c r="AM1019" s="41"/>
      <c r="AN1019" s="25"/>
      <c r="AO1019" s="40"/>
      <c r="AP1019" s="40"/>
    </row>
    <row r="1020" ht="15.0" customHeight="1">
      <c r="A1020" s="32" t="s">
        <v>1045</v>
      </c>
      <c r="B1020" s="34" t="s">
        <v>1404</v>
      </c>
      <c r="C1020" s="34" t="s">
        <v>1403</v>
      </c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25"/>
      <c r="X1020" s="25"/>
      <c r="Y1020" s="34"/>
      <c r="Z1020" s="34"/>
      <c r="AA1020" s="34"/>
      <c r="AB1020" s="34"/>
      <c r="AC1020" s="34"/>
      <c r="AD1020" s="34"/>
      <c r="AE1020" s="34"/>
      <c r="AF1020" s="25"/>
      <c r="AG1020" s="34"/>
      <c r="AH1020" s="34"/>
      <c r="AI1020" s="37"/>
      <c r="AJ1020" s="34"/>
      <c r="AK1020" s="34"/>
      <c r="AL1020" s="38"/>
      <c r="AM1020" s="41"/>
      <c r="AN1020" s="25"/>
      <c r="AO1020" s="40"/>
      <c r="AP1020" s="40"/>
    </row>
    <row r="1021" ht="15.0" customHeight="1">
      <c r="A1021" s="32" t="s">
        <v>1046</v>
      </c>
      <c r="B1021" s="34" t="s">
        <v>1404</v>
      </c>
      <c r="C1021" s="34" t="s">
        <v>1403</v>
      </c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25"/>
      <c r="X1021" s="25"/>
      <c r="Y1021" s="34"/>
      <c r="Z1021" s="34"/>
      <c r="AA1021" s="34"/>
      <c r="AB1021" s="34"/>
      <c r="AC1021" s="34"/>
      <c r="AD1021" s="34"/>
      <c r="AE1021" s="34"/>
      <c r="AF1021" s="25"/>
      <c r="AG1021" s="34"/>
      <c r="AH1021" s="34"/>
      <c r="AI1021" s="37"/>
      <c r="AJ1021" s="34"/>
      <c r="AK1021" s="34"/>
      <c r="AL1021" s="38"/>
      <c r="AM1021" s="41"/>
      <c r="AN1021" s="25"/>
      <c r="AO1021" s="40"/>
      <c r="AP1021" s="40"/>
    </row>
    <row r="1022" ht="15.0" customHeight="1">
      <c r="A1022" s="32" t="s">
        <v>1047</v>
      </c>
      <c r="B1022" s="34" t="s">
        <v>1404</v>
      </c>
      <c r="C1022" s="34" t="s">
        <v>1403</v>
      </c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25"/>
      <c r="X1022" s="25"/>
      <c r="Y1022" s="34"/>
      <c r="Z1022" s="34"/>
      <c r="AA1022" s="34"/>
      <c r="AB1022" s="34"/>
      <c r="AC1022" s="34"/>
      <c r="AD1022" s="34"/>
      <c r="AE1022" s="34"/>
      <c r="AF1022" s="25"/>
      <c r="AG1022" s="34"/>
      <c r="AH1022" s="34"/>
      <c r="AI1022" s="37"/>
      <c r="AJ1022" s="34"/>
      <c r="AK1022" s="34"/>
      <c r="AL1022" s="38"/>
      <c r="AM1022" s="41"/>
      <c r="AN1022" s="25"/>
      <c r="AO1022" s="40"/>
      <c r="AP1022" s="40"/>
    </row>
    <row r="1023" ht="15.0" customHeight="1">
      <c r="A1023" s="32" t="s">
        <v>1048</v>
      </c>
      <c r="B1023" s="34" t="s">
        <v>1404</v>
      </c>
      <c r="C1023" s="34" t="s">
        <v>1403</v>
      </c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25"/>
      <c r="X1023" s="25"/>
      <c r="Y1023" s="34"/>
      <c r="Z1023" s="34"/>
      <c r="AA1023" s="34"/>
      <c r="AB1023" s="34"/>
      <c r="AC1023" s="34"/>
      <c r="AD1023" s="34"/>
      <c r="AE1023" s="34"/>
      <c r="AF1023" s="25"/>
      <c r="AG1023" s="34"/>
      <c r="AH1023" s="34"/>
      <c r="AI1023" s="37"/>
      <c r="AJ1023" s="34"/>
      <c r="AK1023" s="34"/>
      <c r="AL1023" s="38"/>
      <c r="AM1023" s="41"/>
      <c r="AN1023" s="25"/>
      <c r="AO1023" s="40"/>
      <c r="AP1023" s="40"/>
    </row>
    <row r="1024" ht="15.0" customHeight="1">
      <c r="A1024" s="32" t="s">
        <v>1049</v>
      </c>
      <c r="B1024" s="34" t="s">
        <v>1404</v>
      </c>
      <c r="C1024" s="34" t="s">
        <v>1403</v>
      </c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25"/>
      <c r="X1024" s="25"/>
      <c r="Y1024" s="34"/>
      <c r="Z1024" s="34"/>
      <c r="AA1024" s="34"/>
      <c r="AB1024" s="34"/>
      <c r="AC1024" s="34"/>
      <c r="AD1024" s="34"/>
      <c r="AE1024" s="34"/>
      <c r="AF1024" s="25"/>
      <c r="AG1024" s="34"/>
      <c r="AH1024" s="34"/>
      <c r="AI1024" s="37"/>
      <c r="AJ1024" s="34"/>
      <c r="AK1024" s="34"/>
      <c r="AL1024" s="38"/>
      <c r="AM1024" s="41"/>
      <c r="AN1024" s="25"/>
      <c r="AO1024" s="40"/>
      <c r="AP1024" s="40"/>
    </row>
    <row r="1025" ht="15.0" customHeight="1">
      <c r="A1025" s="32" t="s">
        <v>1050</v>
      </c>
      <c r="B1025" s="34" t="s">
        <v>1404</v>
      </c>
      <c r="C1025" s="34" t="s">
        <v>1403</v>
      </c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25"/>
      <c r="X1025" s="25"/>
      <c r="Y1025" s="34"/>
      <c r="Z1025" s="34"/>
      <c r="AA1025" s="34"/>
      <c r="AB1025" s="34"/>
      <c r="AC1025" s="34"/>
      <c r="AD1025" s="34"/>
      <c r="AE1025" s="34"/>
      <c r="AF1025" s="25"/>
      <c r="AG1025" s="34"/>
      <c r="AH1025" s="34"/>
      <c r="AI1025" s="37"/>
      <c r="AJ1025" s="34"/>
      <c r="AK1025" s="34"/>
      <c r="AL1025" s="38"/>
      <c r="AM1025" s="41"/>
      <c r="AN1025" s="25"/>
      <c r="AO1025" s="40"/>
      <c r="AP1025" s="40"/>
    </row>
    <row r="1026" ht="15.0" customHeight="1">
      <c r="A1026" s="32" t="s">
        <v>1051</v>
      </c>
      <c r="B1026" s="34" t="s">
        <v>1404</v>
      </c>
      <c r="C1026" s="34" t="s">
        <v>1403</v>
      </c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25"/>
      <c r="X1026" s="25"/>
      <c r="Y1026" s="34"/>
      <c r="Z1026" s="34"/>
      <c r="AA1026" s="34"/>
      <c r="AB1026" s="34"/>
      <c r="AC1026" s="34"/>
      <c r="AD1026" s="34"/>
      <c r="AE1026" s="34"/>
      <c r="AF1026" s="25"/>
      <c r="AG1026" s="34"/>
      <c r="AH1026" s="34"/>
      <c r="AI1026" s="37"/>
      <c r="AJ1026" s="34"/>
      <c r="AK1026" s="34"/>
      <c r="AL1026" s="38"/>
      <c r="AM1026" s="41"/>
      <c r="AN1026" s="25"/>
      <c r="AO1026" s="40"/>
      <c r="AP1026" s="40"/>
    </row>
    <row r="1027" ht="15.0" customHeight="1">
      <c r="A1027" s="32" t="s">
        <v>1052</v>
      </c>
      <c r="B1027" s="34" t="s">
        <v>1404</v>
      </c>
      <c r="C1027" s="34" t="s">
        <v>1403</v>
      </c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25"/>
      <c r="X1027" s="25"/>
      <c r="Y1027" s="34"/>
      <c r="Z1027" s="34"/>
      <c r="AA1027" s="34"/>
      <c r="AB1027" s="34"/>
      <c r="AC1027" s="34"/>
      <c r="AD1027" s="34"/>
      <c r="AE1027" s="34"/>
      <c r="AF1027" s="25"/>
      <c r="AG1027" s="34"/>
      <c r="AH1027" s="34"/>
      <c r="AI1027" s="37"/>
      <c r="AJ1027" s="34"/>
      <c r="AK1027" s="34"/>
      <c r="AL1027" s="38"/>
      <c r="AM1027" s="41"/>
      <c r="AN1027" s="25"/>
      <c r="AO1027" s="40"/>
      <c r="AP1027" s="40"/>
    </row>
    <row r="1028" ht="15.0" customHeight="1">
      <c r="A1028" s="32" t="s">
        <v>1053</v>
      </c>
      <c r="B1028" s="34" t="s">
        <v>1404</v>
      </c>
      <c r="C1028" s="34" t="s">
        <v>1403</v>
      </c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25"/>
      <c r="X1028" s="25"/>
      <c r="Y1028" s="34"/>
      <c r="Z1028" s="34"/>
      <c r="AA1028" s="34"/>
      <c r="AB1028" s="34"/>
      <c r="AC1028" s="34"/>
      <c r="AD1028" s="34"/>
      <c r="AE1028" s="34"/>
      <c r="AF1028" s="25"/>
      <c r="AG1028" s="34"/>
      <c r="AH1028" s="34"/>
      <c r="AI1028" s="37"/>
      <c r="AJ1028" s="34"/>
      <c r="AK1028" s="34"/>
      <c r="AL1028" s="38"/>
      <c r="AM1028" s="41"/>
      <c r="AN1028" s="25"/>
      <c r="AO1028" s="40"/>
      <c r="AP1028" s="40"/>
    </row>
    <row r="1029" ht="15.0" customHeight="1">
      <c r="A1029" s="32" t="s">
        <v>1054</v>
      </c>
      <c r="B1029" s="34" t="s">
        <v>1404</v>
      </c>
      <c r="C1029" s="34" t="s">
        <v>1403</v>
      </c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25"/>
      <c r="X1029" s="25"/>
      <c r="Y1029" s="34"/>
      <c r="Z1029" s="34"/>
      <c r="AA1029" s="34"/>
      <c r="AB1029" s="34"/>
      <c r="AC1029" s="34"/>
      <c r="AD1029" s="34"/>
      <c r="AE1029" s="34"/>
      <c r="AF1029" s="25"/>
      <c r="AG1029" s="34"/>
      <c r="AH1029" s="34"/>
      <c r="AI1029" s="37"/>
      <c r="AJ1029" s="34"/>
      <c r="AK1029" s="34"/>
      <c r="AL1029" s="38"/>
      <c r="AM1029" s="41"/>
      <c r="AN1029" s="25"/>
      <c r="AO1029" s="40"/>
      <c r="AP1029" s="40"/>
    </row>
    <row r="1030" ht="15.0" customHeight="1">
      <c r="A1030" s="32" t="s">
        <v>1055</v>
      </c>
      <c r="B1030" s="34" t="s">
        <v>1404</v>
      </c>
      <c r="C1030" s="34" t="s">
        <v>1403</v>
      </c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25"/>
      <c r="X1030" s="25"/>
      <c r="Y1030" s="34"/>
      <c r="Z1030" s="34"/>
      <c r="AA1030" s="34"/>
      <c r="AB1030" s="34"/>
      <c r="AC1030" s="34"/>
      <c r="AD1030" s="34"/>
      <c r="AE1030" s="34"/>
      <c r="AF1030" s="25"/>
      <c r="AG1030" s="34"/>
      <c r="AH1030" s="34"/>
      <c r="AI1030" s="37"/>
      <c r="AJ1030" s="34"/>
      <c r="AK1030" s="34"/>
      <c r="AL1030" s="38"/>
      <c r="AM1030" s="41"/>
      <c r="AN1030" s="25"/>
      <c r="AO1030" s="40"/>
      <c r="AP1030" s="40"/>
    </row>
    <row r="1031" ht="15.0" customHeight="1">
      <c r="A1031" s="32" t="s">
        <v>1056</v>
      </c>
      <c r="B1031" s="34" t="s">
        <v>1404</v>
      </c>
      <c r="C1031" s="34" t="s">
        <v>1403</v>
      </c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25"/>
      <c r="X1031" s="25"/>
      <c r="Y1031" s="34"/>
      <c r="Z1031" s="34"/>
      <c r="AA1031" s="34"/>
      <c r="AB1031" s="34"/>
      <c r="AC1031" s="34"/>
      <c r="AD1031" s="34"/>
      <c r="AE1031" s="34"/>
      <c r="AF1031" s="25"/>
      <c r="AG1031" s="34"/>
      <c r="AH1031" s="34"/>
      <c r="AI1031" s="37"/>
      <c r="AJ1031" s="34"/>
      <c r="AK1031" s="34"/>
      <c r="AL1031" s="38"/>
      <c r="AM1031" s="41"/>
      <c r="AN1031" s="25"/>
      <c r="AO1031" s="40"/>
      <c r="AP1031" s="40"/>
    </row>
    <row r="1032" ht="15.0" customHeight="1">
      <c r="A1032" s="32" t="s">
        <v>1057</v>
      </c>
      <c r="B1032" s="34" t="s">
        <v>1404</v>
      </c>
      <c r="C1032" s="34" t="s">
        <v>1403</v>
      </c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25"/>
      <c r="X1032" s="25"/>
      <c r="Y1032" s="34"/>
      <c r="Z1032" s="34"/>
      <c r="AA1032" s="34"/>
      <c r="AB1032" s="34"/>
      <c r="AC1032" s="34"/>
      <c r="AD1032" s="34"/>
      <c r="AE1032" s="34"/>
      <c r="AF1032" s="25"/>
      <c r="AG1032" s="34"/>
      <c r="AH1032" s="34"/>
      <c r="AI1032" s="37"/>
      <c r="AJ1032" s="34"/>
      <c r="AK1032" s="34"/>
      <c r="AL1032" s="38"/>
      <c r="AM1032" s="41"/>
      <c r="AN1032" s="25"/>
      <c r="AO1032" s="40"/>
      <c r="AP1032" s="40"/>
    </row>
    <row r="1033" ht="15.0" customHeight="1">
      <c r="A1033" s="32" t="s">
        <v>1058</v>
      </c>
      <c r="B1033" s="34" t="s">
        <v>1404</v>
      </c>
      <c r="C1033" s="34" t="s">
        <v>1403</v>
      </c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25"/>
      <c r="X1033" s="25"/>
      <c r="Y1033" s="34"/>
      <c r="Z1033" s="34"/>
      <c r="AA1033" s="34"/>
      <c r="AB1033" s="34"/>
      <c r="AC1033" s="34"/>
      <c r="AD1033" s="34"/>
      <c r="AE1033" s="34"/>
      <c r="AF1033" s="25"/>
      <c r="AG1033" s="34"/>
      <c r="AH1033" s="34"/>
      <c r="AI1033" s="37"/>
      <c r="AJ1033" s="34"/>
      <c r="AK1033" s="34"/>
      <c r="AL1033" s="38"/>
      <c r="AM1033" s="41"/>
      <c r="AN1033" s="25"/>
      <c r="AO1033" s="40"/>
      <c r="AP1033" s="40"/>
    </row>
    <row r="1034" ht="15.0" customHeight="1">
      <c r="A1034" s="32" t="s">
        <v>1059</v>
      </c>
      <c r="B1034" s="34" t="s">
        <v>1404</v>
      </c>
      <c r="C1034" s="34" t="s">
        <v>1403</v>
      </c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25"/>
      <c r="X1034" s="25"/>
      <c r="Y1034" s="34"/>
      <c r="Z1034" s="34"/>
      <c r="AA1034" s="34"/>
      <c r="AB1034" s="34"/>
      <c r="AC1034" s="34"/>
      <c r="AD1034" s="34"/>
      <c r="AE1034" s="34"/>
      <c r="AF1034" s="25"/>
      <c r="AG1034" s="34"/>
      <c r="AH1034" s="34"/>
      <c r="AI1034" s="37"/>
      <c r="AJ1034" s="34"/>
      <c r="AK1034" s="34"/>
      <c r="AL1034" s="38"/>
      <c r="AM1034" s="41"/>
      <c r="AN1034" s="25"/>
      <c r="AO1034" s="40"/>
      <c r="AP1034" s="40"/>
    </row>
    <row r="1035" ht="15.0" customHeight="1">
      <c r="A1035" s="32" t="s">
        <v>1060</v>
      </c>
      <c r="B1035" s="34" t="s">
        <v>1404</v>
      </c>
      <c r="C1035" s="34" t="s">
        <v>1403</v>
      </c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25"/>
      <c r="X1035" s="25"/>
      <c r="Y1035" s="34"/>
      <c r="Z1035" s="34"/>
      <c r="AA1035" s="34"/>
      <c r="AB1035" s="34"/>
      <c r="AC1035" s="34"/>
      <c r="AD1035" s="34"/>
      <c r="AE1035" s="34"/>
      <c r="AF1035" s="25"/>
      <c r="AG1035" s="34"/>
      <c r="AH1035" s="34"/>
      <c r="AI1035" s="37"/>
      <c r="AJ1035" s="34"/>
      <c r="AK1035" s="34"/>
      <c r="AL1035" s="38"/>
      <c r="AM1035" s="41"/>
      <c r="AN1035" s="25"/>
      <c r="AO1035" s="40"/>
      <c r="AP1035" s="40"/>
    </row>
    <row r="1036" ht="15.0" customHeight="1">
      <c r="A1036" s="32" t="s">
        <v>1061</v>
      </c>
      <c r="B1036" s="34" t="s">
        <v>1404</v>
      </c>
      <c r="C1036" s="34" t="s">
        <v>1403</v>
      </c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25"/>
      <c r="X1036" s="25"/>
      <c r="Y1036" s="34"/>
      <c r="Z1036" s="34"/>
      <c r="AA1036" s="34"/>
      <c r="AB1036" s="34"/>
      <c r="AC1036" s="34"/>
      <c r="AD1036" s="34"/>
      <c r="AE1036" s="34"/>
      <c r="AF1036" s="25"/>
      <c r="AG1036" s="34"/>
      <c r="AH1036" s="34"/>
      <c r="AI1036" s="37"/>
      <c r="AJ1036" s="34"/>
      <c r="AK1036" s="34"/>
      <c r="AL1036" s="38"/>
      <c r="AM1036" s="41"/>
      <c r="AN1036" s="25"/>
      <c r="AO1036" s="40"/>
      <c r="AP1036" s="40"/>
    </row>
    <row r="1037" ht="15.0" customHeight="1">
      <c r="A1037" s="32" t="s">
        <v>1062</v>
      </c>
      <c r="B1037" s="34" t="s">
        <v>1404</v>
      </c>
      <c r="C1037" s="34" t="s">
        <v>1403</v>
      </c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25"/>
      <c r="X1037" s="25"/>
      <c r="Y1037" s="34"/>
      <c r="Z1037" s="34"/>
      <c r="AA1037" s="34"/>
      <c r="AB1037" s="34"/>
      <c r="AC1037" s="34"/>
      <c r="AD1037" s="34"/>
      <c r="AE1037" s="34"/>
      <c r="AF1037" s="25"/>
      <c r="AG1037" s="34"/>
      <c r="AH1037" s="34"/>
      <c r="AI1037" s="37"/>
      <c r="AJ1037" s="34"/>
      <c r="AK1037" s="34"/>
      <c r="AL1037" s="38"/>
      <c r="AM1037" s="41"/>
      <c r="AN1037" s="25"/>
      <c r="AO1037" s="40"/>
      <c r="AP1037" s="40"/>
    </row>
    <row r="1038" ht="15.0" customHeight="1">
      <c r="A1038" s="32" t="s">
        <v>1063</v>
      </c>
      <c r="B1038" s="34" t="s">
        <v>1404</v>
      </c>
      <c r="C1038" s="34" t="s">
        <v>1403</v>
      </c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25"/>
      <c r="X1038" s="25"/>
      <c r="Y1038" s="34"/>
      <c r="Z1038" s="34"/>
      <c r="AA1038" s="34"/>
      <c r="AB1038" s="34"/>
      <c r="AC1038" s="34"/>
      <c r="AD1038" s="34"/>
      <c r="AE1038" s="34"/>
      <c r="AF1038" s="25"/>
      <c r="AG1038" s="34"/>
      <c r="AH1038" s="34"/>
      <c r="AI1038" s="37"/>
      <c r="AJ1038" s="34"/>
      <c r="AK1038" s="34"/>
      <c r="AL1038" s="38"/>
      <c r="AM1038" s="41"/>
      <c r="AN1038" s="25"/>
      <c r="AO1038" s="40"/>
      <c r="AP1038" s="40"/>
    </row>
    <row r="1039" ht="15.0" customHeight="1">
      <c r="A1039" s="32" t="s">
        <v>1064</v>
      </c>
      <c r="B1039" s="34" t="s">
        <v>1404</v>
      </c>
      <c r="C1039" s="34" t="s">
        <v>1403</v>
      </c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25"/>
      <c r="X1039" s="25"/>
      <c r="Y1039" s="34"/>
      <c r="Z1039" s="34"/>
      <c r="AA1039" s="34"/>
      <c r="AB1039" s="34"/>
      <c r="AC1039" s="34"/>
      <c r="AD1039" s="34"/>
      <c r="AE1039" s="34"/>
      <c r="AF1039" s="25"/>
      <c r="AG1039" s="34"/>
      <c r="AH1039" s="34"/>
      <c r="AI1039" s="37"/>
      <c r="AJ1039" s="34"/>
      <c r="AK1039" s="34"/>
      <c r="AL1039" s="38"/>
      <c r="AM1039" s="41"/>
      <c r="AN1039" s="25"/>
      <c r="AO1039" s="40"/>
      <c r="AP1039" s="40"/>
    </row>
    <row r="1040" ht="15.0" customHeight="1">
      <c r="A1040" s="32" t="s">
        <v>1065</v>
      </c>
      <c r="B1040" s="34" t="s">
        <v>1404</v>
      </c>
      <c r="C1040" s="34" t="s">
        <v>1403</v>
      </c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25"/>
      <c r="X1040" s="25"/>
      <c r="Y1040" s="34"/>
      <c r="Z1040" s="34"/>
      <c r="AA1040" s="34"/>
      <c r="AB1040" s="34"/>
      <c r="AC1040" s="34"/>
      <c r="AD1040" s="34"/>
      <c r="AE1040" s="34"/>
      <c r="AF1040" s="25"/>
      <c r="AG1040" s="34"/>
      <c r="AH1040" s="34"/>
      <c r="AI1040" s="37"/>
      <c r="AJ1040" s="34"/>
      <c r="AK1040" s="34"/>
      <c r="AL1040" s="38"/>
      <c r="AM1040" s="41"/>
      <c r="AN1040" s="25"/>
      <c r="AO1040" s="40"/>
      <c r="AP1040" s="40"/>
    </row>
    <row r="1041" ht="15.0" customHeight="1">
      <c r="A1041" s="32" t="s">
        <v>1066</v>
      </c>
      <c r="B1041" s="34" t="s">
        <v>1404</v>
      </c>
      <c r="C1041" s="34" t="s">
        <v>1403</v>
      </c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25"/>
      <c r="X1041" s="25"/>
      <c r="Y1041" s="34"/>
      <c r="Z1041" s="34"/>
      <c r="AA1041" s="34"/>
      <c r="AB1041" s="34"/>
      <c r="AC1041" s="34"/>
      <c r="AD1041" s="34"/>
      <c r="AE1041" s="34"/>
      <c r="AF1041" s="25"/>
      <c r="AG1041" s="34"/>
      <c r="AH1041" s="34"/>
      <c r="AI1041" s="37"/>
      <c r="AJ1041" s="34"/>
      <c r="AK1041" s="34"/>
      <c r="AL1041" s="38"/>
      <c r="AM1041" s="41"/>
      <c r="AN1041" s="25"/>
      <c r="AO1041" s="40"/>
      <c r="AP1041" s="40"/>
    </row>
    <row r="1042" ht="15.0" customHeight="1">
      <c r="A1042" s="32" t="s">
        <v>1067</v>
      </c>
      <c r="B1042" s="34" t="s">
        <v>1404</v>
      </c>
      <c r="C1042" s="34" t="s">
        <v>1403</v>
      </c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25"/>
      <c r="X1042" s="25"/>
      <c r="Y1042" s="34"/>
      <c r="Z1042" s="34"/>
      <c r="AA1042" s="34"/>
      <c r="AB1042" s="34"/>
      <c r="AC1042" s="34"/>
      <c r="AD1042" s="34"/>
      <c r="AE1042" s="34"/>
      <c r="AF1042" s="25"/>
      <c r="AG1042" s="34"/>
      <c r="AH1042" s="34"/>
      <c r="AI1042" s="37"/>
      <c r="AJ1042" s="34"/>
      <c r="AK1042" s="34"/>
      <c r="AL1042" s="38"/>
      <c r="AM1042" s="41"/>
      <c r="AN1042" s="25"/>
      <c r="AO1042" s="40"/>
      <c r="AP1042" s="40"/>
    </row>
    <row r="1043" ht="15.0" customHeight="1">
      <c r="A1043" s="32" t="s">
        <v>1068</v>
      </c>
      <c r="B1043" s="34" t="s">
        <v>1404</v>
      </c>
      <c r="C1043" s="34" t="s">
        <v>1403</v>
      </c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25"/>
      <c r="X1043" s="25"/>
      <c r="Y1043" s="34"/>
      <c r="Z1043" s="34"/>
      <c r="AA1043" s="34"/>
      <c r="AB1043" s="34"/>
      <c r="AC1043" s="34"/>
      <c r="AD1043" s="34"/>
      <c r="AE1043" s="34"/>
      <c r="AF1043" s="25"/>
      <c r="AG1043" s="34"/>
      <c r="AH1043" s="34"/>
      <c r="AI1043" s="37"/>
      <c r="AJ1043" s="34"/>
      <c r="AK1043" s="34"/>
      <c r="AL1043" s="38"/>
      <c r="AM1043" s="41"/>
      <c r="AN1043" s="25"/>
      <c r="AO1043" s="40"/>
      <c r="AP1043" s="40"/>
    </row>
    <row r="1044" ht="15.0" customHeight="1">
      <c r="A1044" s="32" t="s">
        <v>1069</v>
      </c>
      <c r="B1044" s="34" t="s">
        <v>1404</v>
      </c>
      <c r="C1044" s="34" t="s">
        <v>1403</v>
      </c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25"/>
      <c r="X1044" s="25"/>
      <c r="Y1044" s="34"/>
      <c r="Z1044" s="34"/>
      <c r="AA1044" s="34"/>
      <c r="AB1044" s="34"/>
      <c r="AC1044" s="34"/>
      <c r="AD1044" s="34"/>
      <c r="AE1044" s="34"/>
      <c r="AF1044" s="25"/>
      <c r="AG1044" s="34"/>
      <c r="AH1044" s="34"/>
      <c r="AI1044" s="37"/>
      <c r="AJ1044" s="34"/>
      <c r="AK1044" s="34"/>
      <c r="AL1044" s="38"/>
      <c r="AM1044" s="41"/>
      <c r="AN1044" s="25"/>
      <c r="AO1044" s="40"/>
      <c r="AP1044" s="40"/>
    </row>
    <row r="1045" ht="15.0" customHeight="1">
      <c r="A1045" s="32" t="s">
        <v>1070</v>
      </c>
      <c r="B1045" s="34" t="s">
        <v>1404</v>
      </c>
      <c r="C1045" s="34" t="s">
        <v>1403</v>
      </c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25"/>
      <c r="X1045" s="25"/>
      <c r="Y1045" s="34"/>
      <c r="Z1045" s="34"/>
      <c r="AA1045" s="34"/>
      <c r="AB1045" s="34"/>
      <c r="AC1045" s="34"/>
      <c r="AD1045" s="34"/>
      <c r="AE1045" s="34"/>
      <c r="AF1045" s="25"/>
      <c r="AG1045" s="34"/>
      <c r="AH1045" s="34"/>
      <c r="AI1045" s="37"/>
      <c r="AJ1045" s="34"/>
      <c r="AK1045" s="34"/>
      <c r="AL1045" s="38"/>
      <c r="AM1045" s="41"/>
      <c r="AN1045" s="25"/>
      <c r="AO1045" s="40"/>
      <c r="AP1045" s="40"/>
    </row>
    <row r="1046" ht="15.0" customHeight="1">
      <c r="A1046" s="32" t="s">
        <v>1071</v>
      </c>
      <c r="B1046" s="34" t="s">
        <v>1404</v>
      </c>
      <c r="C1046" s="34" t="s">
        <v>1403</v>
      </c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25"/>
      <c r="X1046" s="25"/>
      <c r="Y1046" s="34"/>
      <c r="Z1046" s="34"/>
      <c r="AA1046" s="34"/>
      <c r="AB1046" s="34"/>
      <c r="AC1046" s="34"/>
      <c r="AD1046" s="34"/>
      <c r="AE1046" s="34"/>
      <c r="AF1046" s="25"/>
      <c r="AG1046" s="34"/>
      <c r="AH1046" s="34"/>
      <c r="AI1046" s="37"/>
      <c r="AJ1046" s="34"/>
      <c r="AK1046" s="34"/>
      <c r="AL1046" s="38"/>
      <c r="AM1046" s="41"/>
      <c r="AN1046" s="25"/>
      <c r="AO1046" s="40"/>
      <c r="AP1046" s="40"/>
    </row>
    <row r="1047" ht="15.0" customHeight="1">
      <c r="A1047" s="32" t="s">
        <v>1072</v>
      </c>
      <c r="B1047" s="34" t="s">
        <v>1404</v>
      </c>
      <c r="C1047" s="34" t="s">
        <v>1403</v>
      </c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25"/>
      <c r="X1047" s="25"/>
      <c r="Y1047" s="34"/>
      <c r="Z1047" s="34"/>
      <c r="AA1047" s="34"/>
      <c r="AB1047" s="34"/>
      <c r="AC1047" s="34"/>
      <c r="AD1047" s="34"/>
      <c r="AE1047" s="34"/>
      <c r="AF1047" s="25"/>
      <c r="AG1047" s="34"/>
      <c r="AH1047" s="34"/>
      <c r="AI1047" s="37"/>
      <c r="AJ1047" s="34"/>
      <c r="AK1047" s="34"/>
      <c r="AL1047" s="38"/>
      <c r="AM1047" s="41"/>
      <c r="AN1047" s="25"/>
      <c r="AO1047" s="40"/>
      <c r="AP1047" s="40"/>
    </row>
    <row r="1048" ht="15.0" customHeight="1">
      <c r="A1048" s="32" t="s">
        <v>1073</v>
      </c>
      <c r="B1048" s="34" t="s">
        <v>1404</v>
      </c>
      <c r="C1048" s="34" t="s">
        <v>1403</v>
      </c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25"/>
      <c r="X1048" s="25"/>
      <c r="Y1048" s="34"/>
      <c r="Z1048" s="34"/>
      <c r="AA1048" s="34"/>
      <c r="AB1048" s="34"/>
      <c r="AC1048" s="34"/>
      <c r="AD1048" s="34"/>
      <c r="AE1048" s="34"/>
      <c r="AF1048" s="25"/>
      <c r="AG1048" s="34"/>
      <c r="AH1048" s="34"/>
      <c r="AI1048" s="37"/>
      <c r="AJ1048" s="34"/>
      <c r="AK1048" s="34"/>
      <c r="AL1048" s="38"/>
      <c r="AM1048" s="41"/>
      <c r="AN1048" s="25"/>
      <c r="AO1048" s="40"/>
      <c r="AP1048" s="40"/>
    </row>
    <row r="1049" ht="15.0" customHeight="1">
      <c r="A1049" s="32" t="s">
        <v>1074</v>
      </c>
      <c r="B1049" s="34" t="s">
        <v>1404</v>
      </c>
      <c r="C1049" s="34" t="s">
        <v>1403</v>
      </c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25"/>
      <c r="X1049" s="25"/>
      <c r="Y1049" s="34"/>
      <c r="Z1049" s="34"/>
      <c r="AA1049" s="34"/>
      <c r="AB1049" s="34"/>
      <c r="AC1049" s="34"/>
      <c r="AD1049" s="34"/>
      <c r="AE1049" s="34"/>
      <c r="AF1049" s="25"/>
      <c r="AG1049" s="34"/>
      <c r="AH1049" s="34"/>
      <c r="AI1049" s="37"/>
      <c r="AJ1049" s="34"/>
      <c r="AK1049" s="34"/>
      <c r="AL1049" s="38"/>
      <c r="AM1049" s="41"/>
      <c r="AN1049" s="25"/>
      <c r="AO1049" s="40"/>
      <c r="AP1049" s="40"/>
    </row>
    <row r="1050" ht="15.0" customHeight="1">
      <c r="A1050" s="32" t="s">
        <v>1075</v>
      </c>
      <c r="B1050" s="34" t="s">
        <v>1404</v>
      </c>
      <c r="C1050" s="34" t="s">
        <v>1403</v>
      </c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25"/>
      <c r="X1050" s="25"/>
      <c r="Y1050" s="34"/>
      <c r="Z1050" s="34"/>
      <c r="AA1050" s="34"/>
      <c r="AB1050" s="34"/>
      <c r="AC1050" s="34"/>
      <c r="AD1050" s="34"/>
      <c r="AE1050" s="34"/>
      <c r="AF1050" s="25"/>
      <c r="AG1050" s="34"/>
      <c r="AH1050" s="34"/>
      <c r="AI1050" s="37"/>
      <c r="AJ1050" s="34"/>
      <c r="AK1050" s="34"/>
      <c r="AL1050" s="38"/>
      <c r="AM1050" s="41"/>
      <c r="AN1050" s="25"/>
      <c r="AO1050" s="40"/>
      <c r="AP1050" s="40"/>
    </row>
    <row r="1051" ht="15.0" customHeight="1">
      <c r="A1051" s="32" t="s">
        <v>1076</v>
      </c>
      <c r="B1051" s="34" t="s">
        <v>1404</v>
      </c>
      <c r="C1051" s="34" t="s">
        <v>1403</v>
      </c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25"/>
      <c r="X1051" s="25"/>
      <c r="Y1051" s="34"/>
      <c r="Z1051" s="34"/>
      <c r="AA1051" s="34"/>
      <c r="AB1051" s="34"/>
      <c r="AC1051" s="34"/>
      <c r="AD1051" s="34"/>
      <c r="AE1051" s="34"/>
      <c r="AF1051" s="25"/>
      <c r="AG1051" s="34"/>
      <c r="AH1051" s="34"/>
      <c r="AI1051" s="37"/>
      <c r="AJ1051" s="34"/>
      <c r="AK1051" s="34"/>
      <c r="AL1051" s="38"/>
      <c r="AM1051" s="41"/>
      <c r="AN1051" s="25"/>
      <c r="AO1051" s="40"/>
      <c r="AP1051" s="40"/>
    </row>
    <row r="1052" ht="15.0" customHeight="1">
      <c r="A1052" s="32" t="s">
        <v>1077</v>
      </c>
      <c r="B1052" s="34" t="s">
        <v>1404</v>
      </c>
      <c r="C1052" s="34" t="s">
        <v>1403</v>
      </c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25"/>
      <c r="X1052" s="25"/>
      <c r="Y1052" s="34"/>
      <c r="Z1052" s="34"/>
      <c r="AA1052" s="34"/>
      <c r="AB1052" s="34"/>
      <c r="AC1052" s="34"/>
      <c r="AD1052" s="34"/>
      <c r="AE1052" s="34"/>
      <c r="AF1052" s="25"/>
      <c r="AG1052" s="34"/>
      <c r="AH1052" s="34"/>
      <c r="AI1052" s="37"/>
      <c r="AJ1052" s="34"/>
      <c r="AK1052" s="34"/>
      <c r="AL1052" s="38"/>
      <c r="AM1052" s="41"/>
      <c r="AN1052" s="25"/>
      <c r="AO1052" s="40"/>
      <c r="AP1052" s="40"/>
    </row>
    <row r="1053" ht="15.0" customHeight="1">
      <c r="A1053" s="32" t="s">
        <v>1078</v>
      </c>
      <c r="B1053" s="34" t="s">
        <v>1404</v>
      </c>
      <c r="C1053" s="34" t="s">
        <v>1403</v>
      </c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25"/>
      <c r="X1053" s="25"/>
      <c r="Y1053" s="34"/>
      <c r="Z1053" s="34"/>
      <c r="AA1053" s="34"/>
      <c r="AB1053" s="34"/>
      <c r="AC1053" s="34"/>
      <c r="AD1053" s="34"/>
      <c r="AE1053" s="34"/>
      <c r="AF1053" s="25"/>
      <c r="AG1053" s="34"/>
      <c r="AH1053" s="34"/>
      <c r="AI1053" s="37"/>
      <c r="AJ1053" s="34"/>
      <c r="AK1053" s="34"/>
      <c r="AL1053" s="38"/>
      <c r="AM1053" s="41"/>
      <c r="AN1053" s="25"/>
      <c r="AO1053" s="40"/>
      <c r="AP1053" s="40"/>
    </row>
    <row r="1054" ht="15.0" customHeight="1">
      <c r="A1054" s="32" t="s">
        <v>1079</v>
      </c>
      <c r="B1054" s="34" t="s">
        <v>1404</v>
      </c>
      <c r="C1054" s="34" t="s">
        <v>1403</v>
      </c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25"/>
      <c r="X1054" s="25"/>
      <c r="Y1054" s="34"/>
      <c r="Z1054" s="34"/>
      <c r="AA1054" s="34"/>
      <c r="AB1054" s="34"/>
      <c r="AC1054" s="34"/>
      <c r="AD1054" s="34"/>
      <c r="AE1054" s="34"/>
      <c r="AF1054" s="25"/>
      <c r="AG1054" s="34"/>
      <c r="AH1054" s="34"/>
      <c r="AI1054" s="37"/>
      <c r="AJ1054" s="34"/>
      <c r="AK1054" s="34"/>
      <c r="AL1054" s="38"/>
      <c r="AM1054" s="41"/>
      <c r="AN1054" s="25"/>
      <c r="AO1054" s="40"/>
      <c r="AP1054" s="40"/>
    </row>
    <row r="1055" ht="15.0" customHeight="1">
      <c r="A1055" s="32" t="s">
        <v>1080</v>
      </c>
      <c r="B1055" s="34" t="s">
        <v>1404</v>
      </c>
      <c r="C1055" s="34" t="s">
        <v>1403</v>
      </c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25"/>
      <c r="X1055" s="25"/>
      <c r="Y1055" s="34"/>
      <c r="Z1055" s="34"/>
      <c r="AA1055" s="34"/>
      <c r="AB1055" s="34"/>
      <c r="AC1055" s="34"/>
      <c r="AD1055" s="34"/>
      <c r="AE1055" s="34"/>
      <c r="AF1055" s="25"/>
      <c r="AG1055" s="34"/>
      <c r="AH1055" s="34"/>
      <c r="AI1055" s="37"/>
      <c r="AJ1055" s="34"/>
      <c r="AK1055" s="34"/>
      <c r="AL1055" s="38"/>
      <c r="AM1055" s="41"/>
      <c r="AN1055" s="25"/>
      <c r="AO1055" s="40"/>
      <c r="AP1055" s="40"/>
    </row>
    <row r="1056" ht="15.0" customHeight="1">
      <c r="A1056" s="32" t="s">
        <v>1081</v>
      </c>
      <c r="B1056" s="34" t="s">
        <v>1404</v>
      </c>
      <c r="C1056" s="34" t="s">
        <v>1403</v>
      </c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25"/>
      <c r="X1056" s="25"/>
      <c r="Y1056" s="34"/>
      <c r="Z1056" s="34"/>
      <c r="AA1056" s="34"/>
      <c r="AB1056" s="34"/>
      <c r="AC1056" s="34"/>
      <c r="AD1056" s="34"/>
      <c r="AE1056" s="34"/>
      <c r="AF1056" s="25"/>
      <c r="AG1056" s="34"/>
      <c r="AH1056" s="34"/>
      <c r="AI1056" s="37"/>
      <c r="AJ1056" s="34"/>
      <c r="AK1056" s="34"/>
      <c r="AL1056" s="38"/>
      <c r="AM1056" s="41"/>
      <c r="AN1056" s="25"/>
      <c r="AO1056" s="40"/>
      <c r="AP1056" s="40"/>
    </row>
    <row r="1057" ht="15.0" customHeight="1">
      <c r="A1057" s="32" t="s">
        <v>1082</v>
      </c>
      <c r="B1057" s="34" t="s">
        <v>1404</v>
      </c>
      <c r="C1057" s="34" t="s">
        <v>1403</v>
      </c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25"/>
      <c r="X1057" s="25"/>
      <c r="Y1057" s="34"/>
      <c r="Z1057" s="34"/>
      <c r="AA1057" s="34"/>
      <c r="AB1057" s="34"/>
      <c r="AC1057" s="34"/>
      <c r="AD1057" s="34"/>
      <c r="AE1057" s="34"/>
      <c r="AF1057" s="25"/>
      <c r="AG1057" s="34"/>
      <c r="AH1057" s="34"/>
      <c r="AI1057" s="37"/>
      <c r="AJ1057" s="34"/>
      <c r="AK1057" s="34"/>
      <c r="AL1057" s="38"/>
      <c r="AM1057" s="41"/>
      <c r="AN1057" s="25"/>
      <c r="AO1057" s="40"/>
      <c r="AP1057" s="40"/>
    </row>
    <row r="1058" ht="15.0" customHeight="1">
      <c r="A1058" s="32" t="s">
        <v>1083</v>
      </c>
      <c r="B1058" s="34" t="s">
        <v>1404</v>
      </c>
      <c r="C1058" s="34" t="s">
        <v>1403</v>
      </c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25"/>
      <c r="X1058" s="25"/>
      <c r="Y1058" s="34"/>
      <c r="Z1058" s="34"/>
      <c r="AA1058" s="34"/>
      <c r="AB1058" s="34"/>
      <c r="AC1058" s="34"/>
      <c r="AD1058" s="34"/>
      <c r="AE1058" s="34"/>
      <c r="AF1058" s="25"/>
      <c r="AG1058" s="34"/>
      <c r="AH1058" s="34"/>
      <c r="AI1058" s="37"/>
      <c r="AJ1058" s="34"/>
      <c r="AK1058" s="34"/>
      <c r="AL1058" s="38"/>
      <c r="AM1058" s="41"/>
      <c r="AN1058" s="25"/>
      <c r="AO1058" s="40"/>
      <c r="AP1058" s="40"/>
    </row>
    <row r="1059" ht="15.0" customHeight="1">
      <c r="A1059" s="32" t="s">
        <v>1084</v>
      </c>
      <c r="B1059" s="34" t="s">
        <v>1404</v>
      </c>
      <c r="C1059" s="34" t="s">
        <v>1403</v>
      </c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25"/>
      <c r="X1059" s="25"/>
      <c r="Y1059" s="34"/>
      <c r="Z1059" s="34"/>
      <c r="AA1059" s="34"/>
      <c r="AB1059" s="34"/>
      <c r="AC1059" s="34"/>
      <c r="AD1059" s="34"/>
      <c r="AE1059" s="34"/>
      <c r="AF1059" s="25"/>
      <c r="AG1059" s="34"/>
      <c r="AH1059" s="34"/>
      <c r="AI1059" s="37"/>
      <c r="AJ1059" s="34"/>
      <c r="AK1059" s="34"/>
      <c r="AL1059" s="38"/>
      <c r="AM1059" s="41"/>
      <c r="AN1059" s="25"/>
      <c r="AO1059" s="40"/>
      <c r="AP1059" s="40"/>
    </row>
    <row r="1060" ht="15.0" customHeight="1">
      <c r="A1060" s="32" t="s">
        <v>1085</v>
      </c>
      <c r="B1060" s="34" t="s">
        <v>1404</v>
      </c>
      <c r="C1060" s="34" t="s">
        <v>1403</v>
      </c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25"/>
      <c r="X1060" s="25"/>
      <c r="Y1060" s="34"/>
      <c r="Z1060" s="34"/>
      <c r="AA1060" s="34"/>
      <c r="AB1060" s="34"/>
      <c r="AC1060" s="34"/>
      <c r="AD1060" s="34"/>
      <c r="AE1060" s="34"/>
      <c r="AF1060" s="25"/>
      <c r="AG1060" s="34"/>
      <c r="AH1060" s="34"/>
      <c r="AI1060" s="37"/>
      <c r="AJ1060" s="34"/>
      <c r="AK1060" s="34"/>
      <c r="AL1060" s="38"/>
      <c r="AM1060" s="41"/>
      <c r="AN1060" s="25"/>
      <c r="AO1060" s="40"/>
      <c r="AP1060" s="40"/>
    </row>
    <row r="1061" ht="15.0" customHeight="1">
      <c r="A1061" s="32" t="s">
        <v>1086</v>
      </c>
      <c r="B1061" s="34" t="s">
        <v>1404</v>
      </c>
      <c r="C1061" s="34" t="s">
        <v>1403</v>
      </c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25"/>
      <c r="X1061" s="25"/>
      <c r="Y1061" s="34"/>
      <c r="Z1061" s="34"/>
      <c r="AA1061" s="34"/>
      <c r="AB1061" s="34"/>
      <c r="AC1061" s="34"/>
      <c r="AD1061" s="34"/>
      <c r="AE1061" s="34"/>
      <c r="AF1061" s="25"/>
      <c r="AG1061" s="34"/>
      <c r="AH1061" s="34"/>
      <c r="AI1061" s="37"/>
      <c r="AJ1061" s="34"/>
      <c r="AK1061" s="34"/>
      <c r="AL1061" s="38"/>
      <c r="AM1061" s="41"/>
      <c r="AN1061" s="25"/>
      <c r="AO1061" s="40"/>
      <c r="AP1061" s="40"/>
    </row>
    <row r="1062" ht="15.0" customHeight="1">
      <c r="A1062" s="32" t="s">
        <v>1087</v>
      </c>
      <c r="B1062" s="34" t="s">
        <v>1404</v>
      </c>
      <c r="C1062" s="34" t="s">
        <v>1403</v>
      </c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25"/>
      <c r="X1062" s="25"/>
      <c r="Y1062" s="34"/>
      <c r="Z1062" s="34"/>
      <c r="AA1062" s="34"/>
      <c r="AB1062" s="34"/>
      <c r="AC1062" s="34"/>
      <c r="AD1062" s="34"/>
      <c r="AE1062" s="34"/>
      <c r="AF1062" s="25"/>
      <c r="AG1062" s="34"/>
      <c r="AH1062" s="34"/>
      <c r="AI1062" s="37"/>
      <c r="AJ1062" s="34"/>
      <c r="AK1062" s="34"/>
      <c r="AL1062" s="38"/>
      <c r="AM1062" s="41"/>
      <c r="AN1062" s="25"/>
      <c r="AO1062" s="40"/>
      <c r="AP1062" s="40"/>
    </row>
    <row r="1063" ht="15.0" customHeight="1">
      <c r="A1063" s="32" t="s">
        <v>1088</v>
      </c>
      <c r="B1063" s="34" t="s">
        <v>1404</v>
      </c>
      <c r="C1063" s="34" t="s">
        <v>1403</v>
      </c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25"/>
      <c r="X1063" s="25"/>
      <c r="Y1063" s="34"/>
      <c r="Z1063" s="34"/>
      <c r="AA1063" s="34"/>
      <c r="AB1063" s="34"/>
      <c r="AC1063" s="34"/>
      <c r="AD1063" s="34"/>
      <c r="AE1063" s="34"/>
      <c r="AF1063" s="25"/>
      <c r="AG1063" s="34"/>
      <c r="AH1063" s="34"/>
      <c r="AI1063" s="37"/>
      <c r="AJ1063" s="34"/>
      <c r="AK1063" s="34"/>
      <c r="AL1063" s="38"/>
      <c r="AM1063" s="41"/>
      <c r="AN1063" s="25"/>
      <c r="AO1063" s="40"/>
      <c r="AP1063" s="40"/>
    </row>
    <row r="1064" ht="15.0" customHeight="1">
      <c r="A1064" s="32" t="s">
        <v>1089</v>
      </c>
      <c r="B1064" s="34" t="s">
        <v>1404</v>
      </c>
      <c r="C1064" s="34" t="s">
        <v>1403</v>
      </c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25"/>
      <c r="X1064" s="25"/>
      <c r="Y1064" s="34"/>
      <c r="Z1064" s="34"/>
      <c r="AA1064" s="34"/>
      <c r="AB1064" s="34"/>
      <c r="AC1064" s="34"/>
      <c r="AD1064" s="34"/>
      <c r="AE1064" s="34"/>
      <c r="AF1064" s="25"/>
      <c r="AG1064" s="34"/>
      <c r="AH1064" s="34"/>
      <c r="AI1064" s="37"/>
      <c r="AJ1064" s="34"/>
      <c r="AK1064" s="34"/>
      <c r="AL1064" s="38"/>
      <c r="AM1064" s="41"/>
      <c r="AN1064" s="25"/>
      <c r="AO1064" s="40"/>
      <c r="AP1064" s="40"/>
    </row>
    <row r="1065" ht="15.0" customHeight="1">
      <c r="A1065" s="32" t="s">
        <v>1090</v>
      </c>
      <c r="B1065" s="34" t="s">
        <v>1404</v>
      </c>
      <c r="C1065" s="34" t="s">
        <v>1403</v>
      </c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25"/>
      <c r="X1065" s="25"/>
      <c r="Y1065" s="34"/>
      <c r="Z1065" s="34"/>
      <c r="AA1065" s="34"/>
      <c r="AB1065" s="34"/>
      <c r="AC1065" s="34"/>
      <c r="AD1065" s="34"/>
      <c r="AE1065" s="34"/>
      <c r="AF1065" s="25"/>
      <c r="AG1065" s="34"/>
      <c r="AH1065" s="34"/>
      <c r="AI1065" s="37"/>
      <c r="AJ1065" s="34"/>
      <c r="AK1065" s="34"/>
      <c r="AL1065" s="38"/>
      <c r="AM1065" s="41"/>
      <c r="AN1065" s="25"/>
      <c r="AO1065" s="40"/>
      <c r="AP1065" s="40"/>
    </row>
    <row r="1066" ht="15.0" customHeight="1">
      <c r="A1066" s="32" t="s">
        <v>1091</v>
      </c>
      <c r="B1066" s="34" t="s">
        <v>1404</v>
      </c>
      <c r="C1066" s="34" t="s">
        <v>1403</v>
      </c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25"/>
      <c r="X1066" s="25"/>
      <c r="Y1066" s="34"/>
      <c r="Z1066" s="34"/>
      <c r="AA1066" s="34"/>
      <c r="AB1066" s="34"/>
      <c r="AC1066" s="34"/>
      <c r="AD1066" s="34"/>
      <c r="AE1066" s="34"/>
      <c r="AF1066" s="25"/>
      <c r="AG1066" s="34"/>
      <c r="AH1066" s="34"/>
      <c r="AI1066" s="37"/>
      <c r="AJ1066" s="34"/>
      <c r="AK1066" s="34"/>
      <c r="AL1066" s="38"/>
      <c r="AM1066" s="41"/>
      <c r="AN1066" s="25"/>
      <c r="AO1066" s="40"/>
      <c r="AP1066" s="40"/>
    </row>
    <row r="1067" ht="15.0" customHeight="1">
      <c r="A1067" s="32" t="s">
        <v>1092</v>
      </c>
      <c r="B1067" s="34" t="s">
        <v>1404</v>
      </c>
      <c r="C1067" s="34" t="s">
        <v>1403</v>
      </c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25"/>
      <c r="X1067" s="25"/>
      <c r="Y1067" s="34"/>
      <c r="Z1067" s="34"/>
      <c r="AA1067" s="34"/>
      <c r="AB1067" s="34"/>
      <c r="AC1067" s="34"/>
      <c r="AD1067" s="34"/>
      <c r="AE1067" s="34"/>
      <c r="AF1067" s="25"/>
      <c r="AG1067" s="34"/>
      <c r="AH1067" s="34"/>
      <c r="AI1067" s="37"/>
      <c r="AJ1067" s="34"/>
      <c r="AK1067" s="34"/>
      <c r="AL1067" s="38"/>
      <c r="AM1067" s="41"/>
      <c r="AN1067" s="25"/>
      <c r="AO1067" s="40"/>
      <c r="AP1067" s="40"/>
    </row>
    <row r="1068" ht="15.0" customHeight="1">
      <c r="A1068" s="32" t="s">
        <v>1093</v>
      </c>
      <c r="B1068" s="34" t="s">
        <v>1404</v>
      </c>
      <c r="C1068" s="34" t="s">
        <v>1403</v>
      </c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25"/>
      <c r="X1068" s="25"/>
      <c r="Y1068" s="34"/>
      <c r="Z1068" s="34"/>
      <c r="AA1068" s="34"/>
      <c r="AB1068" s="34"/>
      <c r="AC1068" s="34"/>
      <c r="AD1068" s="34"/>
      <c r="AE1068" s="34"/>
      <c r="AF1068" s="25"/>
      <c r="AG1068" s="34"/>
      <c r="AH1068" s="34"/>
      <c r="AI1068" s="37"/>
      <c r="AJ1068" s="34"/>
      <c r="AK1068" s="34"/>
      <c r="AL1068" s="38"/>
      <c r="AM1068" s="41"/>
      <c r="AN1068" s="25"/>
      <c r="AO1068" s="40"/>
      <c r="AP1068" s="40"/>
    </row>
    <row r="1069" ht="15.0" customHeight="1">
      <c r="A1069" s="32" t="s">
        <v>1094</v>
      </c>
      <c r="B1069" s="34" t="s">
        <v>1404</v>
      </c>
      <c r="C1069" s="34" t="s">
        <v>1403</v>
      </c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25"/>
      <c r="X1069" s="25"/>
      <c r="Y1069" s="34"/>
      <c r="Z1069" s="34"/>
      <c r="AA1069" s="34"/>
      <c r="AB1069" s="34"/>
      <c r="AC1069" s="34"/>
      <c r="AD1069" s="34"/>
      <c r="AE1069" s="34"/>
      <c r="AF1069" s="25"/>
      <c r="AG1069" s="34"/>
      <c r="AH1069" s="34"/>
      <c r="AI1069" s="37"/>
      <c r="AJ1069" s="34"/>
      <c r="AK1069" s="34"/>
      <c r="AL1069" s="38"/>
      <c r="AM1069" s="41"/>
      <c r="AN1069" s="25"/>
      <c r="AO1069" s="40"/>
      <c r="AP1069" s="40"/>
    </row>
    <row r="1070" ht="15.0" customHeight="1">
      <c r="A1070" s="32" t="s">
        <v>1095</v>
      </c>
      <c r="B1070" s="34" t="s">
        <v>1404</v>
      </c>
      <c r="C1070" s="34" t="s">
        <v>1403</v>
      </c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25"/>
      <c r="X1070" s="25"/>
      <c r="Y1070" s="34"/>
      <c r="Z1070" s="34"/>
      <c r="AA1070" s="34"/>
      <c r="AB1070" s="34"/>
      <c r="AC1070" s="34"/>
      <c r="AD1070" s="34"/>
      <c r="AE1070" s="34"/>
      <c r="AF1070" s="25"/>
      <c r="AG1070" s="34"/>
      <c r="AH1070" s="34"/>
      <c r="AI1070" s="37"/>
      <c r="AJ1070" s="34"/>
      <c r="AK1070" s="34"/>
      <c r="AL1070" s="38"/>
      <c r="AM1070" s="41"/>
      <c r="AN1070" s="25"/>
      <c r="AO1070" s="40"/>
      <c r="AP1070" s="40"/>
    </row>
    <row r="1071" ht="15.0" customHeight="1">
      <c r="A1071" s="32" t="s">
        <v>1096</v>
      </c>
      <c r="B1071" s="34" t="s">
        <v>1404</v>
      </c>
      <c r="C1071" s="34" t="s">
        <v>1403</v>
      </c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25"/>
      <c r="X1071" s="25"/>
      <c r="Y1071" s="34"/>
      <c r="Z1071" s="34"/>
      <c r="AA1071" s="34"/>
      <c r="AB1071" s="34"/>
      <c r="AC1071" s="34"/>
      <c r="AD1071" s="34"/>
      <c r="AE1071" s="34"/>
      <c r="AF1071" s="25"/>
      <c r="AG1071" s="34"/>
      <c r="AH1071" s="34"/>
      <c r="AI1071" s="37"/>
      <c r="AJ1071" s="34"/>
      <c r="AK1071" s="34"/>
      <c r="AL1071" s="38"/>
      <c r="AM1071" s="41"/>
      <c r="AN1071" s="25"/>
      <c r="AO1071" s="40"/>
      <c r="AP1071" s="40"/>
    </row>
    <row r="1072" ht="15.0" customHeight="1">
      <c r="A1072" s="32" t="s">
        <v>1097</v>
      </c>
      <c r="B1072" s="34" t="s">
        <v>1404</v>
      </c>
      <c r="C1072" s="34" t="s">
        <v>1403</v>
      </c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25"/>
      <c r="X1072" s="25"/>
      <c r="Y1072" s="34"/>
      <c r="Z1072" s="34"/>
      <c r="AA1072" s="34"/>
      <c r="AB1072" s="34"/>
      <c r="AC1072" s="34"/>
      <c r="AD1072" s="34"/>
      <c r="AE1072" s="34"/>
      <c r="AF1072" s="25"/>
      <c r="AG1072" s="34"/>
      <c r="AH1072" s="34"/>
      <c r="AI1072" s="37"/>
      <c r="AJ1072" s="34"/>
      <c r="AK1072" s="34"/>
      <c r="AL1072" s="38"/>
      <c r="AM1072" s="41"/>
      <c r="AN1072" s="25"/>
      <c r="AO1072" s="40"/>
      <c r="AP1072" s="40"/>
    </row>
    <row r="1073" ht="15.0" customHeight="1">
      <c r="A1073" s="32" t="s">
        <v>1098</v>
      </c>
      <c r="B1073" s="34" t="s">
        <v>1404</v>
      </c>
      <c r="C1073" s="34" t="s">
        <v>1403</v>
      </c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25"/>
      <c r="X1073" s="25"/>
      <c r="Y1073" s="34"/>
      <c r="Z1073" s="34"/>
      <c r="AA1073" s="34"/>
      <c r="AB1073" s="34"/>
      <c r="AC1073" s="34"/>
      <c r="AD1073" s="34"/>
      <c r="AE1073" s="34"/>
      <c r="AF1073" s="25"/>
      <c r="AG1073" s="34"/>
      <c r="AH1073" s="34"/>
      <c r="AI1073" s="37"/>
      <c r="AJ1073" s="34"/>
      <c r="AK1073" s="34"/>
      <c r="AL1073" s="38"/>
      <c r="AM1073" s="41"/>
      <c r="AN1073" s="25"/>
      <c r="AO1073" s="40"/>
      <c r="AP1073" s="40"/>
    </row>
    <row r="1074" ht="15.0" customHeight="1">
      <c r="A1074" s="32" t="s">
        <v>1099</v>
      </c>
      <c r="B1074" s="34" t="s">
        <v>1404</v>
      </c>
      <c r="C1074" s="34" t="s">
        <v>1403</v>
      </c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25"/>
      <c r="X1074" s="25"/>
      <c r="Y1074" s="34"/>
      <c r="Z1074" s="34"/>
      <c r="AA1074" s="34"/>
      <c r="AB1074" s="34"/>
      <c r="AC1074" s="34"/>
      <c r="AD1074" s="34"/>
      <c r="AE1074" s="34"/>
      <c r="AF1074" s="25"/>
      <c r="AG1074" s="34"/>
      <c r="AH1074" s="34"/>
      <c r="AI1074" s="37"/>
      <c r="AJ1074" s="34"/>
      <c r="AK1074" s="34"/>
      <c r="AL1074" s="38"/>
      <c r="AM1074" s="41"/>
      <c r="AN1074" s="25"/>
      <c r="AO1074" s="40"/>
      <c r="AP1074" s="40"/>
    </row>
    <row r="1075" ht="15.0" customHeight="1">
      <c r="A1075" s="32" t="s">
        <v>1100</v>
      </c>
      <c r="B1075" s="34" t="s">
        <v>1404</v>
      </c>
      <c r="C1075" s="34" t="s">
        <v>1403</v>
      </c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25"/>
      <c r="X1075" s="25"/>
      <c r="Y1075" s="34"/>
      <c r="Z1075" s="34"/>
      <c r="AA1075" s="34"/>
      <c r="AB1075" s="34"/>
      <c r="AC1075" s="34"/>
      <c r="AD1075" s="34"/>
      <c r="AE1075" s="34"/>
      <c r="AF1075" s="25"/>
      <c r="AG1075" s="34"/>
      <c r="AH1075" s="34"/>
      <c r="AI1075" s="37"/>
      <c r="AJ1075" s="34"/>
      <c r="AK1075" s="34"/>
      <c r="AL1075" s="38"/>
      <c r="AM1075" s="41"/>
      <c r="AN1075" s="25"/>
      <c r="AO1075" s="40"/>
      <c r="AP1075" s="40"/>
    </row>
    <row r="1076" ht="15.0" customHeight="1">
      <c r="A1076" s="32" t="s">
        <v>1101</v>
      </c>
      <c r="B1076" s="34" t="s">
        <v>1404</v>
      </c>
      <c r="C1076" s="34" t="s">
        <v>1403</v>
      </c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25"/>
      <c r="X1076" s="25"/>
      <c r="Y1076" s="34"/>
      <c r="Z1076" s="34"/>
      <c r="AA1076" s="34"/>
      <c r="AB1076" s="34"/>
      <c r="AC1076" s="34"/>
      <c r="AD1076" s="34"/>
      <c r="AE1076" s="34"/>
      <c r="AF1076" s="25"/>
      <c r="AG1076" s="34"/>
      <c r="AH1076" s="34"/>
      <c r="AI1076" s="37"/>
      <c r="AJ1076" s="34"/>
      <c r="AK1076" s="34"/>
      <c r="AL1076" s="38"/>
      <c r="AM1076" s="41"/>
      <c r="AN1076" s="25"/>
      <c r="AO1076" s="40"/>
      <c r="AP1076" s="40"/>
    </row>
    <row r="1077" ht="15.0" customHeight="1">
      <c r="A1077" s="32" t="s">
        <v>1102</v>
      </c>
      <c r="B1077" s="34" t="s">
        <v>1404</v>
      </c>
      <c r="C1077" s="34" t="s">
        <v>1403</v>
      </c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25"/>
      <c r="X1077" s="25"/>
      <c r="Y1077" s="34"/>
      <c r="Z1077" s="34"/>
      <c r="AA1077" s="34"/>
      <c r="AB1077" s="34"/>
      <c r="AC1077" s="34"/>
      <c r="AD1077" s="34"/>
      <c r="AE1077" s="34"/>
      <c r="AF1077" s="25"/>
      <c r="AG1077" s="34"/>
      <c r="AH1077" s="34"/>
      <c r="AI1077" s="37"/>
      <c r="AJ1077" s="34"/>
      <c r="AK1077" s="34"/>
      <c r="AL1077" s="38"/>
      <c r="AM1077" s="41"/>
      <c r="AN1077" s="25"/>
      <c r="AO1077" s="40"/>
      <c r="AP1077" s="40"/>
    </row>
    <row r="1078" ht="15.0" customHeight="1">
      <c r="A1078" s="32" t="s">
        <v>1103</v>
      </c>
      <c r="B1078" s="34" t="s">
        <v>1404</v>
      </c>
      <c r="C1078" s="34" t="s">
        <v>1403</v>
      </c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25"/>
      <c r="X1078" s="25"/>
      <c r="Y1078" s="34"/>
      <c r="Z1078" s="34"/>
      <c r="AA1078" s="34"/>
      <c r="AB1078" s="34"/>
      <c r="AC1078" s="34"/>
      <c r="AD1078" s="34"/>
      <c r="AE1078" s="34"/>
      <c r="AF1078" s="25"/>
      <c r="AG1078" s="34"/>
      <c r="AH1078" s="34"/>
      <c r="AI1078" s="37"/>
      <c r="AJ1078" s="34"/>
      <c r="AK1078" s="34"/>
      <c r="AL1078" s="38"/>
      <c r="AM1078" s="41"/>
      <c r="AN1078" s="25"/>
      <c r="AO1078" s="40"/>
      <c r="AP1078" s="40"/>
    </row>
    <row r="1079" ht="15.0" customHeight="1">
      <c r="A1079" s="32" t="s">
        <v>1104</v>
      </c>
      <c r="B1079" s="34" t="s">
        <v>1404</v>
      </c>
      <c r="C1079" s="34" t="s">
        <v>1403</v>
      </c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25"/>
      <c r="X1079" s="25"/>
      <c r="Y1079" s="34"/>
      <c r="Z1079" s="34"/>
      <c r="AA1079" s="34"/>
      <c r="AB1079" s="34"/>
      <c r="AC1079" s="34"/>
      <c r="AD1079" s="34"/>
      <c r="AE1079" s="34"/>
      <c r="AF1079" s="25"/>
      <c r="AG1079" s="34"/>
      <c r="AH1079" s="34"/>
      <c r="AI1079" s="37"/>
      <c r="AJ1079" s="34"/>
      <c r="AK1079" s="34"/>
      <c r="AL1079" s="38"/>
      <c r="AM1079" s="41"/>
      <c r="AN1079" s="25"/>
      <c r="AO1079" s="40"/>
      <c r="AP1079" s="40"/>
    </row>
    <row r="1080" ht="15.0" customHeight="1">
      <c r="A1080" s="32" t="s">
        <v>1105</v>
      </c>
      <c r="B1080" s="34" t="s">
        <v>1404</v>
      </c>
      <c r="C1080" s="34" t="s">
        <v>1403</v>
      </c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25"/>
      <c r="X1080" s="25"/>
      <c r="Y1080" s="34"/>
      <c r="Z1080" s="34"/>
      <c r="AA1080" s="34"/>
      <c r="AB1080" s="34"/>
      <c r="AC1080" s="34"/>
      <c r="AD1080" s="34"/>
      <c r="AE1080" s="34"/>
      <c r="AF1080" s="25"/>
      <c r="AG1080" s="34"/>
      <c r="AH1080" s="34"/>
      <c r="AI1080" s="37"/>
      <c r="AJ1080" s="34"/>
      <c r="AK1080" s="34"/>
      <c r="AL1080" s="38"/>
      <c r="AM1080" s="41"/>
      <c r="AN1080" s="25"/>
      <c r="AO1080" s="40"/>
      <c r="AP1080" s="40"/>
    </row>
    <row r="1081" ht="15.0" customHeight="1">
      <c r="A1081" s="32" t="s">
        <v>1106</v>
      </c>
      <c r="B1081" s="34" t="s">
        <v>1404</v>
      </c>
      <c r="C1081" s="34" t="s">
        <v>1403</v>
      </c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25"/>
      <c r="X1081" s="25"/>
      <c r="Y1081" s="34"/>
      <c r="Z1081" s="34"/>
      <c r="AA1081" s="34"/>
      <c r="AB1081" s="34"/>
      <c r="AC1081" s="34"/>
      <c r="AD1081" s="34"/>
      <c r="AE1081" s="34"/>
      <c r="AF1081" s="25"/>
      <c r="AG1081" s="34"/>
      <c r="AH1081" s="34"/>
      <c r="AI1081" s="37"/>
      <c r="AJ1081" s="34"/>
      <c r="AK1081" s="34"/>
      <c r="AL1081" s="38"/>
      <c r="AM1081" s="41"/>
      <c r="AN1081" s="25"/>
      <c r="AO1081" s="40"/>
      <c r="AP1081" s="40"/>
    </row>
    <row r="1082" ht="15.0" customHeight="1">
      <c r="A1082" s="32" t="s">
        <v>1107</v>
      </c>
      <c r="B1082" s="34" t="s">
        <v>1404</v>
      </c>
      <c r="C1082" s="34" t="s">
        <v>1403</v>
      </c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25"/>
      <c r="X1082" s="25"/>
      <c r="Y1082" s="34"/>
      <c r="Z1082" s="34"/>
      <c r="AA1082" s="34"/>
      <c r="AB1082" s="34"/>
      <c r="AC1082" s="34"/>
      <c r="AD1082" s="34"/>
      <c r="AE1082" s="34"/>
      <c r="AF1082" s="25"/>
      <c r="AG1082" s="34"/>
      <c r="AH1082" s="34"/>
      <c r="AI1082" s="37"/>
      <c r="AJ1082" s="34"/>
      <c r="AK1082" s="34"/>
      <c r="AL1082" s="38"/>
      <c r="AM1082" s="41"/>
      <c r="AN1082" s="25"/>
      <c r="AO1082" s="40"/>
      <c r="AP1082" s="40"/>
    </row>
    <row r="1083" ht="15.0" customHeight="1">
      <c r="A1083" s="32" t="s">
        <v>1108</v>
      </c>
      <c r="B1083" s="34" t="s">
        <v>1404</v>
      </c>
      <c r="C1083" s="34" t="s">
        <v>1403</v>
      </c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25"/>
      <c r="X1083" s="25"/>
      <c r="Y1083" s="34"/>
      <c r="Z1083" s="34"/>
      <c r="AA1083" s="34"/>
      <c r="AB1083" s="34"/>
      <c r="AC1083" s="34"/>
      <c r="AD1083" s="34"/>
      <c r="AE1083" s="34"/>
      <c r="AF1083" s="25"/>
      <c r="AG1083" s="34"/>
      <c r="AH1083" s="34"/>
      <c r="AI1083" s="37"/>
      <c r="AJ1083" s="34"/>
      <c r="AK1083" s="34"/>
      <c r="AL1083" s="38"/>
      <c r="AM1083" s="41"/>
      <c r="AN1083" s="25"/>
      <c r="AO1083" s="40"/>
      <c r="AP1083" s="40"/>
    </row>
    <row r="1084" ht="15.0" customHeight="1">
      <c r="A1084" s="32" t="s">
        <v>1109</v>
      </c>
      <c r="B1084" s="34" t="s">
        <v>1404</v>
      </c>
      <c r="C1084" s="34" t="s">
        <v>1403</v>
      </c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25"/>
      <c r="X1084" s="25"/>
      <c r="Y1084" s="34"/>
      <c r="Z1084" s="34"/>
      <c r="AA1084" s="34"/>
      <c r="AB1084" s="34"/>
      <c r="AC1084" s="34"/>
      <c r="AD1084" s="34"/>
      <c r="AE1084" s="34"/>
      <c r="AF1084" s="25"/>
      <c r="AG1084" s="34"/>
      <c r="AH1084" s="34"/>
      <c r="AI1084" s="37"/>
      <c r="AJ1084" s="34"/>
      <c r="AK1084" s="34"/>
      <c r="AL1084" s="38"/>
      <c r="AM1084" s="41"/>
      <c r="AN1084" s="25"/>
      <c r="AO1084" s="40"/>
      <c r="AP1084" s="40"/>
    </row>
    <row r="1085" ht="15.0" customHeight="1">
      <c r="A1085" s="32" t="s">
        <v>1110</v>
      </c>
      <c r="B1085" s="34" t="s">
        <v>1404</v>
      </c>
      <c r="C1085" s="34" t="s">
        <v>1403</v>
      </c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25"/>
      <c r="X1085" s="25"/>
      <c r="Y1085" s="34"/>
      <c r="Z1085" s="34"/>
      <c r="AA1085" s="34"/>
      <c r="AB1085" s="34"/>
      <c r="AC1085" s="34"/>
      <c r="AD1085" s="34"/>
      <c r="AE1085" s="34"/>
      <c r="AF1085" s="25"/>
      <c r="AG1085" s="34"/>
      <c r="AH1085" s="34"/>
      <c r="AI1085" s="37"/>
      <c r="AJ1085" s="34"/>
      <c r="AK1085" s="34"/>
      <c r="AL1085" s="38"/>
      <c r="AM1085" s="41"/>
      <c r="AN1085" s="25"/>
      <c r="AO1085" s="40"/>
      <c r="AP1085" s="40"/>
    </row>
    <row r="1086" ht="15.0" customHeight="1">
      <c r="A1086" s="32" t="s">
        <v>1111</v>
      </c>
      <c r="B1086" s="34" t="s">
        <v>1404</v>
      </c>
      <c r="C1086" s="34" t="s">
        <v>1403</v>
      </c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25"/>
      <c r="X1086" s="25"/>
      <c r="Y1086" s="34"/>
      <c r="Z1086" s="34"/>
      <c r="AA1086" s="34"/>
      <c r="AB1086" s="34"/>
      <c r="AC1086" s="34"/>
      <c r="AD1086" s="34"/>
      <c r="AE1086" s="34"/>
      <c r="AF1086" s="25"/>
      <c r="AG1086" s="34"/>
      <c r="AH1086" s="34"/>
      <c r="AI1086" s="37"/>
      <c r="AJ1086" s="34"/>
      <c r="AK1086" s="34"/>
      <c r="AL1086" s="38"/>
      <c r="AM1086" s="41"/>
      <c r="AN1086" s="25"/>
      <c r="AO1086" s="40"/>
      <c r="AP1086" s="40"/>
    </row>
    <row r="1087" ht="15.0" customHeight="1">
      <c r="A1087" s="32" t="s">
        <v>1112</v>
      </c>
      <c r="B1087" s="34" t="s">
        <v>1404</v>
      </c>
      <c r="C1087" s="34" t="s">
        <v>1403</v>
      </c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25"/>
      <c r="X1087" s="25"/>
      <c r="Y1087" s="34"/>
      <c r="Z1087" s="34"/>
      <c r="AA1087" s="34"/>
      <c r="AB1087" s="34"/>
      <c r="AC1087" s="34"/>
      <c r="AD1087" s="34"/>
      <c r="AE1087" s="34"/>
      <c r="AF1087" s="25"/>
      <c r="AG1087" s="34"/>
      <c r="AH1087" s="34"/>
      <c r="AI1087" s="37"/>
      <c r="AJ1087" s="34"/>
      <c r="AK1087" s="34"/>
      <c r="AL1087" s="38"/>
      <c r="AM1087" s="41"/>
      <c r="AN1087" s="25"/>
      <c r="AO1087" s="40"/>
      <c r="AP1087" s="40"/>
    </row>
    <row r="1088" ht="15.0" customHeight="1">
      <c r="A1088" s="32" t="s">
        <v>1113</v>
      </c>
      <c r="B1088" s="34" t="s">
        <v>1404</v>
      </c>
      <c r="C1088" s="34" t="s">
        <v>1403</v>
      </c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25"/>
      <c r="X1088" s="25"/>
      <c r="Y1088" s="34"/>
      <c r="Z1088" s="34"/>
      <c r="AA1088" s="34"/>
      <c r="AB1088" s="34"/>
      <c r="AC1088" s="34"/>
      <c r="AD1088" s="34"/>
      <c r="AE1088" s="34"/>
      <c r="AF1088" s="25"/>
      <c r="AG1088" s="34"/>
      <c r="AH1088" s="34"/>
      <c r="AI1088" s="37"/>
      <c r="AJ1088" s="34"/>
      <c r="AK1088" s="34"/>
      <c r="AL1088" s="38"/>
      <c r="AM1088" s="41"/>
      <c r="AN1088" s="25"/>
      <c r="AO1088" s="40"/>
      <c r="AP1088" s="40"/>
    </row>
    <row r="1089" ht="15.0" customHeight="1">
      <c r="A1089" s="32" t="s">
        <v>1114</v>
      </c>
      <c r="B1089" s="34" t="s">
        <v>1404</v>
      </c>
      <c r="C1089" s="34" t="s">
        <v>1403</v>
      </c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25"/>
      <c r="X1089" s="25"/>
      <c r="Y1089" s="34"/>
      <c r="Z1089" s="34"/>
      <c r="AA1089" s="34"/>
      <c r="AB1089" s="34"/>
      <c r="AC1089" s="34"/>
      <c r="AD1089" s="34"/>
      <c r="AE1089" s="34"/>
      <c r="AF1089" s="25"/>
      <c r="AG1089" s="34"/>
      <c r="AH1089" s="34"/>
      <c r="AI1089" s="37"/>
      <c r="AJ1089" s="34"/>
      <c r="AK1089" s="34"/>
      <c r="AL1089" s="38"/>
      <c r="AM1089" s="41"/>
      <c r="AN1089" s="25"/>
      <c r="AO1089" s="40"/>
      <c r="AP1089" s="40"/>
    </row>
    <row r="1090" ht="15.0" customHeight="1">
      <c r="A1090" s="32" t="s">
        <v>1115</v>
      </c>
      <c r="B1090" s="34" t="s">
        <v>1404</v>
      </c>
      <c r="C1090" s="34" t="s">
        <v>1403</v>
      </c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25"/>
      <c r="X1090" s="25"/>
      <c r="Y1090" s="34"/>
      <c r="Z1090" s="34"/>
      <c r="AA1090" s="34"/>
      <c r="AB1090" s="34"/>
      <c r="AC1090" s="34"/>
      <c r="AD1090" s="34"/>
      <c r="AE1090" s="34"/>
      <c r="AF1090" s="25"/>
      <c r="AG1090" s="34"/>
      <c r="AH1090" s="34"/>
      <c r="AI1090" s="37"/>
      <c r="AJ1090" s="34"/>
      <c r="AK1090" s="34"/>
      <c r="AL1090" s="38"/>
      <c r="AM1090" s="41"/>
      <c r="AN1090" s="25"/>
      <c r="AO1090" s="40"/>
      <c r="AP1090" s="40"/>
    </row>
    <row r="1091" ht="15.0" customHeight="1">
      <c r="A1091" s="32" t="s">
        <v>1116</v>
      </c>
      <c r="B1091" s="34" t="s">
        <v>1404</v>
      </c>
      <c r="C1091" s="34" t="s">
        <v>1403</v>
      </c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25"/>
      <c r="X1091" s="25"/>
      <c r="Y1091" s="34"/>
      <c r="Z1091" s="34"/>
      <c r="AA1091" s="34"/>
      <c r="AB1091" s="34"/>
      <c r="AC1091" s="34"/>
      <c r="AD1091" s="34"/>
      <c r="AE1091" s="34"/>
      <c r="AF1091" s="25"/>
      <c r="AG1091" s="34"/>
      <c r="AH1091" s="34"/>
      <c r="AI1091" s="37"/>
      <c r="AJ1091" s="34"/>
      <c r="AK1091" s="34"/>
      <c r="AL1091" s="38"/>
      <c r="AM1091" s="41"/>
      <c r="AN1091" s="25"/>
      <c r="AO1091" s="40"/>
      <c r="AP1091" s="40"/>
    </row>
    <row r="1092" ht="15.0" customHeight="1">
      <c r="A1092" s="32" t="s">
        <v>1117</v>
      </c>
      <c r="B1092" s="34" t="s">
        <v>1404</v>
      </c>
      <c r="C1092" s="34" t="s">
        <v>1403</v>
      </c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25"/>
      <c r="X1092" s="25"/>
      <c r="Y1092" s="34"/>
      <c r="Z1092" s="34"/>
      <c r="AA1092" s="34"/>
      <c r="AB1092" s="34"/>
      <c r="AC1092" s="34"/>
      <c r="AD1092" s="34"/>
      <c r="AE1092" s="34"/>
      <c r="AF1092" s="25"/>
      <c r="AG1092" s="34"/>
      <c r="AH1092" s="34"/>
      <c r="AI1092" s="37"/>
      <c r="AJ1092" s="34"/>
      <c r="AK1092" s="34"/>
      <c r="AL1092" s="38"/>
      <c r="AM1092" s="41"/>
      <c r="AN1092" s="25"/>
      <c r="AO1092" s="40"/>
      <c r="AP1092" s="40"/>
    </row>
    <row r="1093" ht="15.0" customHeight="1">
      <c r="A1093" s="32" t="s">
        <v>1118</v>
      </c>
      <c r="B1093" s="34" t="s">
        <v>1404</v>
      </c>
      <c r="C1093" s="34" t="s">
        <v>1403</v>
      </c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25"/>
      <c r="X1093" s="25"/>
      <c r="Y1093" s="34"/>
      <c r="Z1093" s="34"/>
      <c r="AA1093" s="34"/>
      <c r="AB1093" s="34"/>
      <c r="AC1093" s="34"/>
      <c r="AD1093" s="34"/>
      <c r="AE1093" s="34"/>
      <c r="AF1093" s="25"/>
      <c r="AG1093" s="34"/>
      <c r="AH1093" s="34"/>
      <c r="AI1093" s="37"/>
      <c r="AJ1093" s="34"/>
      <c r="AK1093" s="34"/>
      <c r="AL1093" s="38"/>
      <c r="AM1093" s="41"/>
      <c r="AN1093" s="25"/>
      <c r="AO1093" s="40"/>
      <c r="AP1093" s="40"/>
    </row>
    <row r="1094" ht="15.0" customHeight="1">
      <c r="A1094" s="32" t="s">
        <v>1119</v>
      </c>
      <c r="B1094" s="34" t="s">
        <v>1404</v>
      </c>
      <c r="C1094" s="34" t="s">
        <v>1403</v>
      </c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25"/>
      <c r="X1094" s="25"/>
      <c r="Y1094" s="34"/>
      <c r="Z1094" s="34"/>
      <c r="AA1094" s="34"/>
      <c r="AB1094" s="34"/>
      <c r="AC1094" s="34"/>
      <c r="AD1094" s="34"/>
      <c r="AE1094" s="34"/>
      <c r="AF1094" s="25"/>
      <c r="AG1094" s="34"/>
      <c r="AH1094" s="34"/>
      <c r="AI1094" s="37"/>
      <c r="AJ1094" s="34"/>
      <c r="AK1094" s="34"/>
      <c r="AL1094" s="38"/>
      <c r="AM1094" s="41"/>
      <c r="AN1094" s="25"/>
      <c r="AO1094" s="40"/>
      <c r="AP1094" s="40"/>
    </row>
    <row r="1095" ht="15.0" customHeight="1">
      <c r="A1095" s="32" t="s">
        <v>1120</v>
      </c>
      <c r="B1095" s="34" t="s">
        <v>1404</v>
      </c>
      <c r="C1095" s="34" t="s">
        <v>1403</v>
      </c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25"/>
      <c r="X1095" s="25"/>
      <c r="Y1095" s="34"/>
      <c r="Z1095" s="34"/>
      <c r="AA1095" s="34"/>
      <c r="AB1095" s="34"/>
      <c r="AC1095" s="34"/>
      <c r="AD1095" s="34"/>
      <c r="AE1095" s="34"/>
      <c r="AF1095" s="25"/>
      <c r="AG1095" s="34"/>
      <c r="AH1095" s="34"/>
      <c r="AI1095" s="37"/>
      <c r="AJ1095" s="34"/>
      <c r="AK1095" s="34"/>
      <c r="AL1095" s="38"/>
      <c r="AM1095" s="41"/>
      <c r="AN1095" s="25"/>
      <c r="AO1095" s="40"/>
      <c r="AP1095" s="40"/>
    </row>
    <row r="1096" ht="15.0" customHeight="1">
      <c r="A1096" s="32" t="s">
        <v>1121</v>
      </c>
      <c r="B1096" s="34" t="s">
        <v>1404</v>
      </c>
      <c r="C1096" s="34" t="s">
        <v>1403</v>
      </c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25"/>
      <c r="X1096" s="25"/>
      <c r="Y1096" s="34"/>
      <c r="Z1096" s="34"/>
      <c r="AA1096" s="34"/>
      <c r="AB1096" s="34"/>
      <c r="AC1096" s="34"/>
      <c r="AD1096" s="34"/>
      <c r="AE1096" s="34"/>
      <c r="AF1096" s="25"/>
      <c r="AG1096" s="34"/>
      <c r="AH1096" s="34"/>
      <c r="AI1096" s="37"/>
      <c r="AJ1096" s="34"/>
      <c r="AK1096" s="34"/>
      <c r="AL1096" s="38"/>
      <c r="AM1096" s="41"/>
      <c r="AN1096" s="25"/>
      <c r="AO1096" s="40"/>
      <c r="AP1096" s="40"/>
    </row>
    <row r="1097" ht="15.0" customHeight="1">
      <c r="A1097" s="32" t="s">
        <v>1122</v>
      </c>
      <c r="B1097" s="34" t="s">
        <v>1404</v>
      </c>
      <c r="C1097" s="34" t="s">
        <v>1403</v>
      </c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25"/>
      <c r="X1097" s="25"/>
      <c r="Y1097" s="34"/>
      <c r="Z1097" s="34"/>
      <c r="AA1097" s="34"/>
      <c r="AB1097" s="34"/>
      <c r="AC1097" s="34"/>
      <c r="AD1097" s="34"/>
      <c r="AE1097" s="34"/>
      <c r="AF1097" s="25"/>
      <c r="AG1097" s="34"/>
      <c r="AH1097" s="34"/>
      <c r="AI1097" s="37"/>
      <c r="AJ1097" s="34"/>
      <c r="AK1097" s="34"/>
      <c r="AL1097" s="38"/>
      <c r="AM1097" s="41"/>
      <c r="AN1097" s="25"/>
      <c r="AO1097" s="40"/>
      <c r="AP1097" s="40"/>
    </row>
    <row r="1098" ht="15.0" customHeight="1">
      <c r="A1098" s="32" t="s">
        <v>1123</v>
      </c>
      <c r="B1098" s="34" t="s">
        <v>1404</v>
      </c>
      <c r="C1098" s="34" t="s">
        <v>1403</v>
      </c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25"/>
      <c r="X1098" s="25"/>
      <c r="Y1098" s="34"/>
      <c r="Z1098" s="34"/>
      <c r="AA1098" s="34"/>
      <c r="AB1098" s="34"/>
      <c r="AC1098" s="34"/>
      <c r="AD1098" s="34"/>
      <c r="AE1098" s="34"/>
      <c r="AF1098" s="25"/>
      <c r="AG1098" s="34"/>
      <c r="AH1098" s="34"/>
      <c r="AI1098" s="37"/>
      <c r="AJ1098" s="34"/>
      <c r="AK1098" s="34"/>
      <c r="AL1098" s="38"/>
      <c r="AM1098" s="41"/>
      <c r="AN1098" s="25"/>
      <c r="AO1098" s="40"/>
      <c r="AP1098" s="40"/>
    </row>
    <row r="1099" ht="15.0" customHeight="1">
      <c r="A1099" s="32" t="s">
        <v>1124</v>
      </c>
      <c r="B1099" s="34" t="s">
        <v>1404</v>
      </c>
      <c r="C1099" s="34" t="s">
        <v>1403</v>
      </c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25"/>
      <c r="X1099" s="25"/>
      <c r="Y1099" s="34"/>
      <c r="Z1099" s="34"/>
      <c r="AA1099" s="34"/>
      <c r="AB1099" s="34"/>
      <c r="AC1099" s="34"/>
      <c r="AD1099" s="34"/>
      <c r="AE1099" s="34"/>
      <c r="AF1099" s="25"/>
      <c r="AG1099" s="34"/>
      <c r="AH1099" s="34"/>
      <c r="AI1099" s="37"/>
      <c r="AJ1099" s="34"/>
      <c r="AK1099" s="34"/>
      <c r="AL1099" s="38"/>
      <c r="AM1099" s="41"/>
      <c r="AN1099" s="25"/>
      <c r="AO1099" s="40"/>
      <c r="AP1099" s="40"/>
    </row>
    <row r="1100" ht="15.0" customHeight="1">
      <c r="A1100" s="32" t="s">
        <v>1125</v>
      </c>
      <c r="B1100" s="34" t="s">
        <v>1404</v>
      </c>
      <c r="C1100" s="34" t="s">
        <v>1403</v>
      </c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25"/>
      <c r="X1100" s="25"/>
      <c r="Y1100" s="34"/>
      <c r="Z1100" s="34"/>
      <c r="AA1100" s="34"/>
      <c r="AB1100" s="34"/>
      <c r="AC1100" s="34"/>
      <c r="AD1100" s="34"/>
      <c r="AE1100" s="34"/>
      <c r="AF1100" s="25"/>
      <c r="AG1100" s="34"/>
      <c r="AH1100" s="34"/>
      <c r="AI1100" s="37"/>
      <c r="AJ1100" s="34"/>
      <c r="AK1100" s="34"/>
      <c r="AL1100" s="38"/>
      <c r="AM1100" s="41"/>
      <c r="AN1100" s="25"/>
      <c r="AO1100" s="40"/>
      <c r="AP1100" s="40"/>
    </row>
    <row r="1101" ht="15.0" customHeight="1">
      <c r="A1101" s="32" t="s">
        <v>1126</v>
      </c>
      <c r="B1101" s="34" t="s">
        <v>1404</v>
      </c>
      <c r="C1101" s="34" t="s">
        <v>1403</v>
      </c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25"/>
      <c r="X1101" s="25"/>
      <c r="Y1101" s="34"/>
      <c r="Z1101" s="34"/>
      <c r="AA1101" s="34"/>
      <c r="AB1101" s="34"/>
      <c r="AC1101" s="34"/>
      <c r="AD1101" s="34"/>
      <c r="AE1101" s="34"/>
      <c r="AF1101" s="25"/>
      <c r="AG1101" s="34"/>
      <c r="AH1101" s="34"/>
      <c r="AI1101" s="37"/>
      <c r="AJ1101" s="34"/>
      <c r="AK1101" s="34"/>
      <c r="AL1101" s="38"/>
      <c r="AM1101" s="41"/>
      <c r="AN1101" s="25"/>
      <c r="AO1101" s="40"/>
      <c r="AP1101" s="40"/>
    </row>
    <row r="1102" ht="15.0" customHeight="1">
      <c r="A1102" s="32" t="s">
        <v>1127</v>
      </c>
      <c r="B1102" s="34" t="s">
        <v>1404</v>
      </c>
      <c r="C1102" s="34" t="s">
        <v>1403</v>
      </c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25"/>
      <c r="X1102" s="25"/>
      <c r="Y1102" s="34"/>
      <c r="Z1102" s="34"/>
      <c r="AA1102" s="34"/>
      <c r="AB1102" s="34"/>
      <c r="AC1102" s="34"/>
      <c r="AD1102" s="34"/>
      <c r="AE1102" s="34"/>
      <c r="AF1102" s="25"/>
      <c r="AG1102" s="34"/>
      <c r="AH1102" s="34"/>
      <c r="AI1102" s="37"/>
      <c r="AJ1102" s="34"/>
      <c r="AK1102" s="34"/>
      <c r="AL1102" s="38"/>
      <c r="AM1102" s="41"/>
      <c r="AN1102" s="25"/>
      <c r="AO1102" s="40"/>
      <c r="AP1102" s="40"/>
    </row>
    <row r="1103" ht="15.0" customHeight="1">
      <c r="A1103" s="32" t="s">
        <v>1128</v>
      </c>
      <c r="B1103" s="34" t="s">
        <v>1404</v>
      </c>
      <c r="C1103" s="34" t="s">
        <v>1403</v>
      </c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25"/>
      <c r="X1103" s="25"/>
      <c r="Y1103" s="34"/>
      <c r="Z1103" s="34"/>
      <c r="AA1103" s="34"/>
      <c r="AB1103" s="34"/>
      <c r="AC1103" s="34"/>
      <c r="AD1103" s="34"/>
      <c r="AE1103" s="34"/>
      <c r="AF1103" s="25"/>
      <c r="AG1103" s="34"/>
      <c r="AH1103" s="34"/>
      <c r="AI1103" s="37"/>
      <c r="AJ1103" s="34"/>
      <c r="AK1103" s="34"/>
      <c r="AL1103" s="38"/>
      <c r="AM1103" s="41"/>
      <c r="AN1103" s="25"/>
      <c r="AO1103" s="40"/>
      <c r="AP1103" s="40"/>
    </row>
    <row r="1104" ht="15.0" customHeight="1">
      <c r="A1104" s="32" t="s">
        <v>1129</v>
      </c>
      <c r="B1104" s="34" t="s">
        <v>1404</v>
      </c>
      <c r="C1104" s="34" t="s">
        <v>1403</v>
      </c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25"/>
      <c r="X1104" s="25"/>
      <c r="Y1104" s="34"/>
      <c r="Z1104" s="34"/>
      <c r="AA1104" s="34"/>
      <c r="AB1104" s="34"/>
      <c r="AC1104" s="34"/>
      <c r="AD1104" s="34"/>
      <c r="AE1104" s="34"/>
      <c r="AF1104" s="25"/>
      <c r="AG1104" s="34"/>
      <c r="AH1104" s="34"/>
      <c r="AI1104" s="37"/>
      <c r="AJ1104" s="34"/>
      <c r="AK1104" s="34"/>
      <c r="AL1104" s="38"/>
      <c r="AM1104" s="41"/>
      <c r="AN1104" s="25"/>
      <c r="AO1104" s="40"/>
      <c r="AP1104" s="40"/>
    </row>
    <row r="1105" ht="15.0" customHeight="1">
      <c r="A1105" s="32" t="s">
        <v>1130</v>
      </c>
      <c r="B1105" s="34" t="s">
        <v>1404</v>
      </c>
      <c r="C1105" s="34" t="s">
        <v>1403</v>
      </c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25"/>
      <c r="X1105" s="25"/>
      <c r="Y1105" s="34"/>
      <c r="Z1105" s="34"/>
      <c r="AA1105" s="34"/>
      <c r="AB1105" s="34"/>
      <c r="AC1105" s="34"/>
      <c r="AD1105" s="34"/>
      <c r="AE1105" s="34"/>
      <c r="AF1105" s="25"/>
      <c r="AG1105" s="34"/>
      <c r="AH1105" s="34"/>
      <c r="AI1105" s="37"/>
      <c r="AJ1105" s="34"/>
      <c r="AK1105" s="34"/>
      <c r="AL1105" s="38"/>
      <c r="AM1105" s="41"/>
      <c r="AN1105" s="25"/>
      <c r="AO1105" s="40"/>
      <c r="AP1105" s="40"/>
    </row>
    <row r="1106" ht="15.0" customHeight="1">
      <c r="A1106" s="32" t="s">
        <v>1131</v>
      </c>
      <c r="B1106" s="34" t="s">
        <v>1404</v>
      </c>
      <c r="C1106" s="34" t="s">
        <v>1403</v>
      </c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25"/>
      <c r="X1106" s="25"/>
      <c r="Y1106" s="34"/>
      <c r="Z1106" s="34"/>
      <c r="AA1106" s="34"/>
      <c r="AB1106" s="34"/>
      <c r="AC1106" s="34"/>
      <c r="AD1106" s="34"/>
      <c r="AE1106" s="34"/>
      <c r="AF1106" s="25"/>
      <c r="AG1106" s="34"/>
      <c r="AH1106" s="34"/>
      <c r="AI1106" s="37"/>
      <c r="AJ1106" s="34"/>
      <c r="AK1106" s="34"/>
      <c r="AL1106" s="38"/>
      <c r="AM1106" s="41"/>
      <c r="AN1106" s="25"/>
      <c r="AO1106" s="40"/>
      <c r="AP1106" s="40"/>
    </row>
    <row r="1107" ht="15.0" customHeight="1">
      <c r="A1107" s="32" t="s">
        <v>1132</v>
      </c>
      <c r="B1107" s="34" t="s">
        <v>1404</v>
      </c>
      <c r="C1107" s="34" t="s">
        <v>1403</v>
      </c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25"/>
      <c r="X1107" s="25"/>
      <c r="Y1107" s="34"/>
      <c r="Z1107" s="34"/>
      <c r="AA1107" s="34"/>
      <c r="AB1107" s="34"/>
      <c r="AC1107" s="34"/>
      <c r="AD1107" s="34"/>
      <c r="AE1107" s="34"/>
      <c r="AF1107" s="25"/>
      <c r="AG1107" s="34"/>
      <c r="AH1107" s="34"/>
      <c r="AI1107" s="37"/>
      <c r="AJ1107" s="34"/>
      <c r="AK1107" s="34"/>
      <c r="AL1107" s="38"/>
      <c r="AM1107" s="41"/>
      <c r="AN1107" s="25"/>
      <c r="AO1107" s="40"/>
      <c r="AP1107" s="40"/>
    </row>
    <row r="1108" ht="15.0" customHeight="1">
      <c r="A1108" s="32" t="s">
        <v>1133</v>
      </c>
      <c r="B1108" s="34" t="s">
        <v>1404</v>
      </c>
      <c r="C1108" s="34" t="s">
        <v>1403</v>
      </c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25"/>
      <c r="X1108" s="25"/>
      <c r="Y1108" s="34"/>
      <c r="Z1108" s="34"/>
      <c r="AA1108" s="34"/>
      <c r="AB1108" s="34"/>
      <c r="AC1108" s="34"/>
      <c r="AD1108" s="34"/>
      <c r="AE1108" s="34"/>
      <c r="AF1108" s="25"/>
      <c r="AG1108" s="34"/>
      <c r="AH1108" s="34"/>
      <c r="AI1108" s="37"/>
      <c r="AJ1108" s="34"/>
      <c r="AK1108" s="34"/>
      <c r="AL1108" s="38"/>
      <c r="AM1108" s="41"/>
      <c r="AN1108" s="25"/>
      <c r="AO1108" s="40"/>
      <c r="AP1108" s="40"/>
    </row>
    <row r="1109" ht="15.0" customHeight="1">
      <c r="A1109" s="32" t="s">
        <v>1134</v>
      </c>
      <c r="B1109" s="34" t="s">
        <v>1404</v>
      </c>
      <c r="C1109" s="34" t="s">
        <v>1403</v>
      </c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25"/>
      <c r="X1109" s="25"/>
      <c r="Y1109" s="34"/>
      <c r="Z1109" s="34"/>
      <c r="AA1109" s="34"/>
      <c r="AB1109" s="34"/>
      <c r="AC1109" s="34"/>
      <c r="AD1109" s="34"/>
      <c r="AE1109" s="34"/>
      <c r="AF1109" s="25"/>
      <c r="AG1109" s="34"/>
      <c r="AH1109" s="34"/>
      <c r="AI1109" s="37"/>
      <c r="AJ1109" s="34"/>
      <c r="AK1109" s="34"/>
      <c r="AL1109" s="38"/>
      <c r="AM1109" s="41"/>
      <c r="AN1109" s="25"/>
      <c r="AO1109" s="40"/>
      <c r="AP1109" s="40"/>
    </row>
    <row r="1110" ht="15.0" customHeight="1">
      <c r="A1110" s="32" t="s">
        <v>1135</v>
      </c>
      <c r="B1110" s="34" t="s">
        <v>1404</v>
      </c>
      <c r="C1110" s="34" t="s">
        <v>1403</v>
      </c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25"/>
      <c r="X1110" s="25"/>
      <c r="Y1110" s="34"/>
      <c r="Z1110" s="34"/>
      <c r="AA1110" s="34"/>
      <c r="AB1110" s="34"/>
      <c r="AC1110" s="34"/>
      <c r="AD1110" s="34"/>
      <c r="AE1110" s="34"/>
      <c r="AF1110" s="25"/>
      <c r="AG1110" s="34"/>
      <c r="AH1110" s="34"/>
      <c r="AI1110" s="37"/>
      <c r="AJ1110" s="34"/>
      <c r="AK1110" s="34"/>
      <c r="AL1110" s="38"/>
      <c r="AM1110" s="41"/>
      <c r="AN1110" s="25"/>
      <c r="AO1110" s="40"/>
      <c r="AP1110" s="40"/>
    </row>
    <row r="1111" ht="15.0" customHeight="1">
      <c r="A1111" s="32" t="s">
        <v>1136</v>
      </c>
      <c r="B1111" s="34" t="s">
        <v>1404</v>
      </c>
      <c r="C1111" s="34" t="s">
        <v>1403</v>
      </c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25"/>
      <c r="X1111" s="25"/>
      <c r="Y1111" s="34"/>
      <c r="Z1111" s="34"/>
      <c r="AA1111" s="34"/>
      <c r="AB1111" s="34"/>
      <c r="AC1111" s="34"/>
      <c r="AD1111" s="34"/>
      <c r="AE1111" s="34"/>
      <c r="AF1111" s="25"/>
      <c r="AG1111" s="34"/>
      <c r="AH1111" s="34"/>
      <c r="AI1111" s="37"/>
      <c r="AJ1111" s="34"/>
      <c r="AK1111" s="34"/>
      <c r="AL1111" s="38"/>
      <c r="AM1111" s="41"/>
      <c r="AN1111" s="25"/>
      <c r="AO1111" s="40"/>
      <c r="AP1111" s="40"/>
    </row>
    <row r="1112" ht="15.0" customHeight="1">
      <c r="A1112" s="32" t="s">
        <v>1137</v>
      </c>
      <c r="B1112" s="34" t="s">
        <v>1404</v>
      </c>
      <c r="C1112" s="34" t="s">
        <v>1403</v>
      </c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25"/>
      <c r="X1112" s="25"/>
      <c r="Y1112" s="34"/>
      <c r="Z1112" s="34"/>
      <c r="AA1112" s="34"/>
      <c r="AB1112" s="34"/>
      <c r="AC1112" s="34"/>
      <c r="AD1112" s="34"/>
      <c r="AE1112" s="34"/>
      <c r="AF1112" s="25"/>
      <c r="AG1112" s="34"/>
      <c r="AH1112" s="34"/>
      <c r="AI1112" s="37"/>
      <c r="AJ1112" s="34"/>
      <c r="AK1112" s="34"/>
      <c r="AL1112" s="38"/>
      <c r="AM1112" s="41"/>
      <c r="AN1112" s="25"/>
      <c r="AO1112" s="40"/>
      <c r="AP1112" s="40"/>
    </row>
    <row r="1113" ht="15.0" customHeight="1">
      <c r="A1113" s="32" t="s">
        <v>1138</v>
      </c>
      <c r="B1113" s="34" t="s">
        <v>1404</v>
      </c>
      <c r="C1113" s="34" t="s">
        <v>1403</v>
      </c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25"/>
      <c r="X1113" s="25"/>
      <c r="Y1113" s="34"/>
      <c r="Z1113" s="34"/>
      <c r="AA1113" s="34"/>
      <c r="AB1113" s="34"/>
      <c r="AC1113" s="34"/>
      <c r="AD1113" s="34"/>
      <c r="AE1113" s="34"/>
      <c r="AF1113" s="25"/>
      <c r="AG1113" s="34"/>
      <c r="AH1113" s="34"/>
      <c r="AI1113" s="37"/>
      <c r="AJ1113" s="34"/>
      <c r="AK1113" s="34"/>
      <c r="AL1113" s="38"/>
      <c r="AM1113" s="41"/>
      <c r="AN1113" s="25"/>
      <c r="AO1113" s="40"/>
      <c r="AP1113" s="40"/>
    </row>
    <row r="1114" ht="15.0" customHeight="1">
      <c r="A1114" s="32" t="s">
        <v>1139</v>
      </c>
      <c r="B1114" s="34" t="s">
        <v>1404</v>
      </c>
      <c r="C1114" s="34" t="s">
        <v>1403</v>
      </c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25"/>
      <c r="X1114" s="25"/>
      <c r="Y1114" s="34"/>
      <c r="Z1114" s="34"/>
      <c r="AA1114" s="34"/>
      <c r="AB1114" s="34"/>
      <c r="AC1114" s="34"/>
      <c r="AD1114" s="34"/>
      <c r="AE1114" s="34"/>
      <c r="AF1114" s="25"/>
      <c r="AG1114" s="34"/>
      <c r="AH1114" s="34"/>
      <c r="AI1114" s="37"/>
      <c r="AJ1114" s="34"/>
      <c r="AK1114" s="34"/>
      <c r="AL1114" s="38"/>
      <c r="AM1114" s="41"/>
      <c r="AN1114" s="25"/>
      <c r="AO1114" s="40"/>
      <c r="AP1114" s="40"/>
    </row>
    <row r="1115" ht="15.0" customHeight="1">
      <c r="A1115" s="32" t="s">
        <v>1140</v>
      </c>
      <c r="B1115" s="34" t="s">
        <v>1404</v>
      </c>
      <c r="C1115" s="34" t="s">
        <v>1403</v>
      </c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25"/>
      <c r="X1115" s="25"/>
      <c r="Y1115" s="34"/>
      <c r="Z1115" s="34"/>
      <c r="AA1115" s="34"/>
      <c r="AB1115" s="34"/>
      <c r="AC1115" s="34"/>
      <c r="AD1115" s="34"/>
      <c r="AE1115" s="34"/>
      <c r="AF1115" s="25"/>
      <c r="AG1115" s="34"/>
      <c r="AH1115" s="34"/>
      <c r="AI1115" s="37"/>
      <c r="AJ1115" s="34"/>
      <c r="AK1115" s="34"/>
      <c r="AL1115" s="38"/>
      <c r="AM1115" s="41"/>
      <c r="AN1115" s="25"/>
      <c r="AO1115" s="40"/>
      <c r="AP1115" s="40"/>
    </row>
    <row r="1116" ht="15.0" customHeight="1">
      <c r="A1116" s="32" t="s">
        <v>1141</v>
      </c>
      <c r="B1116" s="34" t="s">
        <v>1404</v>
      </c>
      <c r="C1116" s="34" t="s">
        <v>1403</v>
      </c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25"/>
      <c r="X1116" s="25"/>
      <c r="Y1116" s="34"/>
      <c r="Z1116" s="34"/>
      <c r="AA1116" s="34"/>
      <c r="AB1116" s="34"/>
      <c r="AC1116" s="34"/>
      <c r="AD1116" s="34"/>
      <c r="AE1116" s="34"/>
      <c r="AF1116" s="25"/>
      <c r="AG1116" s="34"/>
      <c r="AH1116" s="34"/>
      <c r="AI1116" s="37"/>
      <c r="AJ1116" s="34"/>
      <c r="AK1116" s="34"/>
      <c r="AL1116" s="38"/>
      <c r="AM1116" s="41"/>
      <c r="AN1116" s="25"/>
      <c r="AO1116" s="40"/>
      <c r="AP1116" s="40"/>
    </row>
    <row r="1117" ht="15.0" customHeight="1">
      <c r="A1117" s="32" t="s">
        <v>1142</v>
      </c>
      <c r="B1117" s="34" t="s">
        <v>1404</v>
      </c>
      <c r="C1117" s="34" t="s">
        <v>1403</v>
      </c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25"/>
      <c r="X1117" s="25"/>
      <c r="Y1117" s="34"/>
      <c r="Z1117" s="34"/>
      <c r="AA1117" s="34"/>
      <c r="AB1117" s="34"/>
      <c r="AC1117" s="34"/>
      <c r="AD1117" s="34"/>
      <c r="AE1117" s="34"/>
      <c r="AF1117" s="25"/>
      <c r="AG1117" s="34"/>
      <c r="AH1117" s="34"/>
      <c r="AI1117" s="37"/>
      <c r="AJ1117" s="34"/>
      <c r="AK1117" s="34"/>
      <c r="AL1117" s="38"/>
      <c r="AM1117" s="41"/>
      <c r="AN1117" s="25"/>
      <c r="AO1117" s="40"/>
      <c r="AP1117" s="40"/>
    </row>
    <row r="1118" ht="15.0" customHeight="1">
      <c r="A1118" s="32" t="s">
        <v>1143</v>
      </c>
      <c r="B1118" s="34" t="s">
        <v>1404</v>
      </c>
      <c r="C1118" s="34" t="s">
        <v>1403</v>
      </c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25"/>
      <c r="X1118" s="25"/>
      <c r="Y1118" s="34"/>
      <c r="Z1118" s="34"/>
      <c r="AA1118" s="34"/>
      <c r="AB1118" s="34"/>
      <c r="AC1118" s="34"/>
      <c r="AD1118" s="34"/>
      <c r="AE1118" s="34"/>
      <c r="AF1118" s="25"/>
      <c r="AG1118" s="34"/>
      <c r="AH1118" s="34"/>
      <c r="AI1118" s="37"/>
      <c r="AJ1118" s="34"/>
      <c r="AK1118" s="34"/>
      <c r="AL1118" s="38"/>
      <c r="AM1118" s="41"/>
      <c r="AN1118" s="25"/>
      <c r="AO1118" s="40"/>
      <c r="AP1118" s="40"/>
    </row>
    <row r="1119" ht="15.0" customHeight="1">
      <c r="A1119" s="32" t="s">
        <v>1144</v>
      </c>
      <c r="B1119" s="34" t="s">
        <v>1404</v>
      </c>
      <c r="C1119" s="34" t="s">
        <v>1403</v>
      </c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25"/>
      <c r="X1119" s="25"/>
      <c r="Y1119" s="34"/>
      <c r="Z1119" s="34"/>
      <c r="AA1119" s="34"/>
      <c r="AB1119" s="34"/>
      <c r="AC1119" s="34"/>
      <c r="AD1119" s="34"/>
      <c r="AE1119" s="34"/>
      <c r="AF1119" s="25"/>
      <c r="AG1119" s="34"/>
      <c r="AH1119" s="34"/>
      <c r="AI1119" s="37"/>
      <c r="AJ1119" s="34"/>
      <c r="AK1119" s="34"/>
      <c r="AL1119" s="38"/>
      <c r="AM1119" s="41"/>
      <c r="AN1119" s="25"/>
      <c r="AO1119" s="40"/>
      <c r="AP1119" s="40"/>
    </row>
    <row r="1120" ht="15.0" customHeight="1">
      <c r="A1120" s="32" t="s">
        <v>1145</v>
      </c>
      <c r="B1120" s="34" t="s">
        <v>1404</v>
      </c>
      <c r="C1120" s="34" t="s">
        <v>1403</v>
      </c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25"/>
      <c r="X1120" s="25"/>
      <c r="Y1120" s="34"/>
      <c r="Z1120" s="34"/>
      <c r="AA1120" s="34"/>
      <c r="AB1120" s="34"/>
      <c r="AC1120" s="34"/>
      <c r="AD1120" s="34"/>
      <c r="AE1120" s="34"/>
      <c r="AF1120" s="25"/>
      <c r="AG1120" s="34"/>
      <c r="AH1120" s="34"/>
      <c r="AI1120" s="37"/>
      <c r="AJ1120" s="34"/>
      <c r="AK1120" s="34"/>
      <c r="AL1120" s="38"/>
      <c r="AM1120" s="41"/>
      <c r="AN1120" s="25"/>
      <c r="AO1120" s="40"/>
      <c r="AP1120" s="40"/>
    </row>
    <row r="1121" ht="15.0" customHeight="1">
      <c r="A1121" s="32" t="s">
        <v>1146</v>
      </c>
      <c r="B1121" s="34" t="s">
        <v>1404</v>
      </c>
      <c r="C1121" s="34" t="s">
        <v>1403</v>
      </c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25"/>
      <c r="X1121" s="25"/>
      <c r="Y1121" s="34"/>
      <c r="Z1121" s="34"/>
      <c r="AA1121" s="34"/>
      <c r="AB1121" s="34"/>
      <c r="AC1121" s="34"/>
      <c r="AD1121" s="34"/>
      <c r="AE1121" s="34"/>
      <c r="AF1121" s="25"/>
      <c r="AG1121" s="34"/>
      <c r="AH1121" s="34"/>
      <c r="AI1121" s="37"/>
      <c r="AJ1121" s="34"/>
      <c r="AK1121" s="34"/>
      <c r="AL1121" s="38"/>
      <c r="AM1121" s="41"/>
      <c r="AN1121" s="25"/>
      <c r="AO1121" s="40"/>
      <c r="AP1121" s="40"/>
    </row>
    <row r="1122" ht="15.0" customHeight="1">
      <c r="A1122" s="32" t="s">
        <v>1147</v>
      </c>
      <c r="B1122" s="34" t="s">
        <v>1404</v>
      </c>
      <c r="C1122" s="34" t="s">
        <v>1403</v>
      </c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25"/>
      <c r="X1122" s="25"/>
      <c r="Y1122" s="34"/>
      <c r="Z1122" s="34"/>
      <c r="AA1122" s="34"/>
      <c r="AB1122" s="34"/>
      <c r="AC1122" s="34"/>
      <c r="AD1122" s="34"/>
      <c r="AE1122" s="34"/>
      <c r="AF1122" s="25"/>
      <c r="AG1122" s="34"/>
      <c r="AH1122" s="34"/>
      <c r="AI1122" s="37"/>
      <c r="AJ1122" s="34"/>
      <c r="AK1122" s="34"/>
      <c r="AL1122" s="38"/>
      <c r="AM1122" s="41"/>
      <c r="AN1122" s="25"/>
      <c r="AO1122" s="40"/>
      <c r="AP1122" s="40"/>
    </row>
    <row r="1123" ht="15.0" customHeight="1">
      <c r="A1123" s="32" t="s">
        <v>1148</v>
      </c>
      <c r="B1123" s="34" t="s">
        <v>1404</v>
      </c>
      <c r="C1123" s="34" t="s">
        <v>1403</v>
      </c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25"/>
      <c r="X1123" s="25"/>
      <c r="Y1123" s="34"/>
      <c r="Z1123" s="34"/>
      <c r="AA1123" s="34"/>
      <c r="AB1123" s="34"/>
      <c r="AC1123" s="34"/>
      <c r="AD1123" s="34"/>
      <c r="AE1123" s="34"/>
      <c r="AF1123" s="25"/>
      <c r="AG1123" s="34"/>
      <c r="AH1123" s="34"/>
      <c r="AI1123" s="37"/>
      <c r="AJ1123" s="34"/>
      <c r="AK1123" s="34"/>
      <c r="AL1123" s="38"/>
      <c r="AM1123" s="41"/>
      <c r="AN1123" s="25"/>
      <c r="AO1123" s="40"/>
      <c r="AP1123" s="40"/>
    </row>
    <row r="1124" ht="15.0" customHeight="1">
      <c r="A1124" s="32" t="s">
        <v>1149</v>
      </c>
      <c r="B1124" s="34" t="s">
        <v>1404</v>
      </c>
      <c r="C1124" s="34" t="s">
        <v>1403</v>
      </c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25"/>
      <c r="X1124" s="25"/>
      <c r="Y1124" s="34"/>
      <c r="Z1124" s="34"/>
      <c r="AA1124" s="34"/>
      <c r="AB1124" s="34"/>
      <c r="AC1124" s="34"/>
      <c r="AD1124" s="34"/>
      <c r="AE1124" s="34"/>
      <c r="AF1124" s="25"/>
      <c r="AG1124" s="34"/>
      <c r="AH1124" s="34"/>
      <c r="AI1124" s="37"/>
      <c r="AJ1124" s="34"/>
      <c r="AK1124" s="34"/>
      <c r="AL1124" s="38"/>
      <c r="AM1124" s="41"/>
      <c r="AN1124" s="25"/>
      <c r="AO1124" s="40"/>
      <c r="AP1124" s="40"/>
    </row>
    <row r="1125" ht="15.0" customHeight="1">
      <c r="A1125" s="32" t="s">
        <v>1150</v>
      </c>
      <c r="B1125" s="34" t="s">
        <v>1404</v>
      </c>
      <c r="C1125" s="34" t="s">
        <v>1403</v>
      </c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25"/>
      <c r="X1125" s="25"/>
      <c r="Y1125" s="34"/>
      <c r="Z1125" s="34"/>
      <c r="AA1125" s="34"/>
      <c r="AB1125" s="34"/>
      <c r="AC1125" s="34"/>
      <c r="AD1125" s="34"/>
      <c r="AE1125" s="34"/>
      <c r="AF1125" s="25"/>
      <c r="AG1125" s="34"/>
      <c r="AH1125" s="34"/>
      <c r="AI1125" s="37"/>
      <c r="AJ1125" s="34"/>
      <c r="AK1125" s="34"/>
      <c r="AL1125" s="38"/>
      <c r="AM1125" s="41"/>
      <c r="AN1125" s="25"/>
      <c r="AO1125" s="40"/>
      <c r="AP1125" s="40"/>
    </row>
    <row r="1126" ht="15.0" customHeight="1">
      <c r="A1126" s="32" t="s">
        <v>1151</v>
      </c>
      <c r="B1126" s="34" t="s">
        <v>1404</v>
      </c>
      <c r="C1126" s="34" t="s">
        <v>1403</v>
      </c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25"/>
      <c r="X1126" s="25"/>
      <c r="Y1126" s="34"/>
      <c r="Z1126" s="34"/>
      <c r="AA1126" s="34"/>
      <c r="AB1126" s="34"/>
      <c r="AC1126" s="34"/>
      <c r="AD1126" s="34"/>
      <c r="AE1126" s="34"/>
      <c r="AF1126" s="25"/>
      <c r="AG1126" s="34"/>
      <c r="AH1126" s="34"/>
      <c r="AI1126" s="37"/>
      <c r="AJ1126" s="34"/>
      <c r="AK1126" s="34"/>
      <c r="AL1126" s="38"/>
      <c r="AM1126" s="41"/>
      <c r="AN1126" s="25"/>
      <c r="AO1126" s="40"/>
      <c r="AP1126" s="40"/>
    </row>
    <row r="1127" ht="15.0" customHeight="1">
      <c r="A1127" s="32" t="s">
        <v>1152</v>
      </c>
      <c r="B1127" s="34" t="s">
        <v>1404</v>
      </c>
      <c r="C1127" s="34" t="s">
        <v>1403</v>
      </c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25"/>
      <c r="X1127" s="25"/>
      <c r="Y1127" s="34"/>
      <c r="Z1127" s="34"/>
      <c r="AA1127" s="34"/>
      <c r="AB1127" s="34"/>
      <c r="AC1127" s="34"/>
      <c r="AD1127" s="34"/>
      <c r="AE1127" s="34"/>
      <c r="AF1127" s="25"/>
      <c r="AG1127" s="34"/>
      <c r="AH1127" s="34"/>
      <c r="AI1127" s="37"/>
      <c r="AJ1127" s="34"/>
      <c r="AK1127" s="34"/>
      <c r="AL1127" s="38"/>
      <c r="AM1127" s="41"/>
      <c r="AN1127" s="25"/>
      <c r="AO1127" s="40"/>
      <c r="AP1127" s="40"/>
    </row>
    <row r="1128" ht="15.0" customHeight="1">
      <c r="A1128" s="32" t="s">
        <v>1153</v>
      </c>
      <c r="B1128" s="34" t="s">
        <v>1404</v>
      </c>
      <c r="C1128" s="34" t="s">
        <v>1403</v>
      </c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25"/>
      <c r="X1128" s="25"/>
      <c r="Y1128" s="34"/>
      <c r="Z1128" s="34"/>
      <c r="AA1128" s="34"/>
      <c r="AB1128" s="34"/>
      <c r="AC1128" s="34"/>
      <c r="AD1128" s="34"/>
      <c r="AE1128" s="34"/>
      <c r="AF1128" s="25"/>
      <c r="AG1128" s="34"/>
      <c r="AH1128" s="34"/>
      <c r="AI1128" s="37"/>
      <c r="AJ1128" s="34"/>
      <c r="AK1128" s="34"/>
      <c r="AL1128" s="38"/>
      <c r="AM1128" s="41"/>
      <c r="AN1128" s="25"/>
      <c r="AO1128" s="40"/>
      <c r="AP1128" s="40"/>
    </row>
    <row r="1129" ht="15.0" customHeight="1">
      <c r="A1129" s="32" t="s">
        <v>1154</v>
      </c>
      <c r="B1129" s="34" t="s">
        <v>1404</v>
      </c>
      <c r="C1129" s="34" t="s">
        <v>1403</v>
      </c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25"/>
      <c r="X1129" s="25"/>
      <c r="Y1129" s="34"/>
      <c r="Z1129" s="34"/>
      <c r="AA1129" s="34"/>
      <c r="AB1129" s="34"/>
      <c r="AC1129" s="34"/>
      <c r="AD1129" s="34"/>
      <c r="AE1129" s="34"/>
      <c r="AF1129" s="25"/>
      <c r="AG1129" s="34"/>
      <c r="AH1129" s="34"/>
      <c r="AI1129" s="37"/>
      <c r="AJ1129" s="34"/>
      <c r="AK1129" s="34"/>
      <c r="AL1129" s="38"/>
      <c r="AM1129" s="41"/>
      <c r="AN1129" s="25"/>
      <c r="AO1129" s="40"/>
      <c r="AP1129" s="40"/>
    </row>
    <row r="1130" ht="15.0" customHeight="1">
      <c r="A1130" s="32" t="s">
        <v>1155</v>
      </c>
      <c r="B1130" s="34" t="s">
        <v>1404</v>
      </c>
      <c r="C1130" s="34" t="s">
        <v>1403</v>
      </c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25"/>
      <c r="X1130" s="25"/>
      <c r="Y1130" s="34"/>
      <c r="Z1130" s="34"/>
      <c r="AA1130" s="34"/>
      <c r="AB1130" s="34"/>
      <c r="AC1130" s="34"/>
      <c r="AD1130" s="34"/>
      <c r="AE1130" s="34"/>
      <c r="AF1130" s="25"/>
      <c r="AG1130" s="34"/>
      <c r="AH1130" s="34"/>
      <c r="AI1130" s="37"/>
      <c r="AJ1130" s="34"/>
      <c r="AK1130" s="34"/>
      <c r="AL1130" s="38"/>
      <c r="AM1130" s="41"/>
      <c r="AN1130" s="25"/>
      <c r="AO1130" s="40"/>
      <c r="AP1130" s="40"/>
    </row>
    <row r="1131" ht="15.0" customHeight="1">
      <c r="A1131" s="32" t="s">
        <v>1156</v>
      </c>
      <c r="B1131" s="34" t="s">
        <v>1404</v>
      </c>
      <c r="C1131" s="34" t="s">
        <v>1403</v>
      </c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25"/>
      <c r="X1131" s="25"/>
      <c r="Y1131" s="34"/>
      <c r="Z1131" s="34"/>
      <c r="AA1131" s="34"/>
      <c r="AB1131" s="34"/>
      <c r="AC1131" s="34"/>
      <c r="AD1131" s="34"/>
      <c r="AE1131" s="34"/>
      <c r="AF1131" s="25"/>
      <c r="AG1131" s="34"/>
      <c r="AH1131" s="34"/>
      <c r="AI1131" s="37"/>
      <c r="AJ1131" s="34"/>
      <c r="AK1131" s="34"/>
      <c r="AL1131" s="38"/>
      <c r="AM1131" s="41"/>
      <c r="AN1131" s="25"/>
      <c r="AO1131" s="40"/>
      <c r="AP1131" s="40"/>
    </row>
    <row r="1132" ht="15.0" customHeight="1">
      <c r="A1132" s="32" t="s">
        <v>1157</v>
      </c>
      <c r="B1132" s="34" t="s">
        <v>1404</v>
      </c>
      <c r="C1132" s="34" t="s">
        <v>1403</v>
      </c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25"/>
      <c r="X1132" s="25"/>
      <c r="Y1132" s="34"/>
      <c r="Z1132" s="34"/>
      <c r="AA1132" s="34"/>
      <c r="AB1132" s="34"/>
      <c r="AC1132" s="34"/>
      <c r="AD1132" s="34"/>
      <c r="AE1132" s="34"/>
      <c r="AF1132" s="25"/>
      <c r="AG1132" s="34"/>
      <c r="AH1132" s="34"/>
      <c r="AI1132" s="37"/>
      <c r="AJ1132" s="34"/>
      <c r="AK1132" s="34"/>
      <c r="AL1132" s="38"/>
      <c r="AM1132" s="41"/>
      <c r="AN1132" s="25"/>
      <c r="AO1132" s="40"/>
      <c r="AP1132" s="40"/>
    </row>
    <row r="1133" ht="15.0" customHeight="1">
      <c r="A1133" s="32" t="s">
        <v>1158</v>
      </c>
      <c r="B1133" s="34" t="s">
        <v>1404</v>
      </c>
      <c r="C1133" s="34" t="s">
        <v>1403</v>
      </c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25"/>
      <c r="X1133" s="25"/>
      <c r="Y1133" s="34"/>
      <c r="Z1133" s="34"/>
      <c r="AA1133" s="34"/>
      <c r="AB1133" s="34"/>
      <c r="AC1133" s="34"/>
      <c r="AD1133" s="34"/>
      <c r="AE1133" s="34"/>
      <c r="AF1133" s="25"/>
      <c r="AG1133" s="34"/>
      <c r="AH1133" s="34"/>
      <c r="AI1133" s="37"/>
      <c r="AJ1133" s="34"/>
      <c r="AK1133" s="34"/>
      <c r="AL1133" s="38"/>
      <c r="AM1133" s="41"/>
      <c r="AN1133" s="25"/>
      <c r="AO1133" s="40"/>
      <c r="AP1133" s="40"/>
    </row>
    <row r="1134" ht="15.0" customHeight="1">
      <c r="A1134" s="32" t="s">
        <v>1159</v>
      </c>
      <c r="B1134" s="34" t="s">
        <v>1404</v>
      </c>
      <c r="C1134" s="34" t="s">
        <v>1403</v>
      </c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25"/>
      <c r="X1134" s="25"/>
      <c r="Y1134" s="34"/>
      <c r="Z1134" s="34"/>
      <c r="AA1134" s="34"/>
      <c r="AB1134" s="34"/>
      <c r="AC1134" s="34"/>
      <c r="AD1134" s="34"/>
      <c r="AE1134" s="34"/>
      <c r="AF1134" s="25"/>
      <c r="AG1134" s="34"/>
      <c r="AH1134" s="34"/>
      <c r="AI1134" s="37"/>
      <c r="AJ1134" s="34"/>
      <c r="AK1134" s="34"/>
      <c r="AL1134" s="38"/>
      <c r="AM1134" s="41"/>
      <c r="AN1134" s="25"/>
      <c r="AO1134" s="40"/>
      <c r="AP1134" s="40"/>
    </row>
    <row r="1135" ht="15.0" customHeight="1">
      <c r="A1135" s="32" t="s">
        <v>1160</v>
      </c>
      <c r="B1135" s="34" t="s">
        <v>1404</v>
      </c>
      <c r="C1135" s="34" t="s">
        <v>1403</v>
      </c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25"/>
      <c r="X1135" s="25"/>
      <c r="Y1135" s="34"/>
      <c r="Z1135" s="34"/>
      <c r="AA1135" s="34"/>
      <c r="AB1135" s="34"/>
      <c r="AC1135" s="34"/>
      <c r="AD1135" s="34"/>
      <c r="AE1135" s="34"/>
      <c r="AF1135" s="25"/>
      <c r="AG1135" s="34"/>
      <c r="AH1135" s="34"/>
      <c r="AI1135" s="37"/>
      <c r="AJ1135" s="34"/>
      <c r="AK1135" s="34"/>
      <c r="AL1135" s="38"/>
      <c r="AM1135" s="41"/>
      <c r="AN1135" s="25"/>
      <c r="AO1135" s="40"/>
      <c r="AP1135" s="40"/>
    </row>
    <row r="1136" ht="15.0" customHeight="1">
      <c r="A1136" s="32" t="s">
        <v>1161</v>
      </c>
      <c r="B1136" s="34" t="s">
        <v>1404</v>
      </c>
      <c r="C1136" s="34" t="s">
        <v>1403</v>
      </c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25"/>
      <c r="X1136" s="25"/>
      <c r="Y1136" s="34"/>
      <c r="Z1136" s="34"/>
      <c r="AA1136" s="34"/>
      <c r="AB1136" s="34"/>
      <c r="AC1136" s="34"/>
      <c r="AD1136" s="34"/>
      <c r="AE1136" s="34"/>
      <c r="AF1136" s="25"/>
      <c r="AG1136" s="34"/>
      <c r="AH1136" s="34"/>
      <c r="AI1136" s="37"/>
      <c r="AJ1136" s="34"/>
      <c r="AK1136" s="34"/>
      <c r="AL1136" s="38"/>
      <c r="AM1136" s="41"/>
      <c r="AN1136" s="25"/>
      <c r="AO1136" s="40"/>
      <c r="AP1136" s="40"/>
    </row>
    <row r="1137" ht="15.0" customHeight="1">
      <c r="A1137" s="32" t="s">
        <v>1162</v>
      </c>
      <c r="B1137" s="34" t="s">
        <v>1404</v>
      </c>
      <c r="C1137" s="34" t="s">
        <v>1403</v>
      </c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25"/>
      <c r="X1137" s="25"/>
      <c r="Y1137" s="34"/>
      <c r="Z1137" s="34"/>
      <c r="AA1137" s="34"/>
      <c r="AB1137" s="34"/>
      <c r="AC1137" s="34"/>
      <c r="AD1137" s="34"/>
      <c r="AE1137" s="34"/>
      <c r="AF1137" s="25"/>
      <c r="AG1137" s="34"/>
      <c r="AH1137" s="34"/>
      <c r="AI1137" s="37"/>
      <c r="AJ1137" s="34"/>
      <c r="AK1137" s="34"/>
      <c r="AL1137" s="38"/>
      <c r="AM1137" s="41"/>
      <c r="AN1137" s="25"/>
      <c r="AO1137" s="40"/>
      <c r="AP1137" s="40"/>
    </row>
    <row r="1138" ht="15.0" customHeight="1">
      <c r="A1138" s="32" t="s">
        <v>1163</v>
      </c>
      <c r="B1138" s="34" t="s">
        <v>1404</v>
      </c>
      <c r="C1138" s="34" t="s">
        <v>1403</v>
      </c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25"/>
      <c r="X1138" s="25"/>
      <c r="Y1138" s="34"/>
      <c r="Z1138" s="34"/>
      <c r="AA1138" s="34"/>
      <c r="AB1138" s="34"/>
      <c r="AC1138" s="34"/>
      <c r="AD1138" s="34"/>
      <c r="AE1138" s="34"/>
      <c r="AF1138" s="25"/>
      <c r="AG1138" s="34"/>
      <c r="AH1138" s="34"/>
      <c r="AI1138" s="37"/>
      <c r="AJ1138" s="34"/>
      <c r="AK1138" s="34"/>
      <c r="AL1138" s="38"/>
      <c r="AM1138" s="41"/>
      <c r="AN1138" s="25"/>
      <c r="AO1138" s="40"/>
      <c r="AP1138" s="40"/>
    </row>
    <row r="1139" ht="15.0" customHeight="1">
      <c r="A1139" s="32" t="s">
        <v>1164</v>
      </c>
      <c r="B1139" s="34" t="s">
        <v>1404</v>
      </c>
      <c r="C1139" s="34" t="s">
        <v>1403</v>
      </c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25"/>
      <c r="X1139" s="25"/>
      <c r="Y1139" s="34"/>
      <c r="Z1139" s="34"/>
      <c r="AA1139" s="34"/>
      <c r="AB1139" s="34"/>
      <c r="AC1139" s="34"/>
      <c r="AD1139" s="34"/>
      <c r="AE1139" s="34"/>
      <c r="AF1139" s="25"/>
      <c r="AG1139" s="34"/>
      <c r="AH1139" s="34"/>
      <c r="AI1139" s="37"/>
      <c r="AJ1139" s="34"/>
      <c r="AK1139" s="34"/>
      <c r="AL1139" s="38"/>
      <c r="AM1139" s="41"/>
      <c r="AN1139" s="25"/>
      <c r="AO1139" s="40"/>
      <c r="AP1139" s="40"/>
    </row>
    <row r="1140" ht="15.0" customHeight="1">
      <c r="A1140" s="32" t="s">
        <v>1165</v>
      </c>
      <c r="B1140" s="34" t="s">
        <v>1404</v>
      </c>
      <c r="C1140" s="34" t="s">
        <v>1403</v>
      </c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25"/>
      <c r="X1140" s="25"/>
      <c r="Y1140" s="34"/>
      <c r="Z1140" s="34"/>
      <c r="AA1140" s="34"/>
      <c r="AB1140" s="34"/>
      <c r="AC1140" s="34"/>
      <c r="AD1140" s="34"/>
      <c r="AE1140" s="34"/>
      <c r="AF1140" s="25"/>
      <c r="AG1140" s="34"/>
      <c r="AH1140" s="34"/>
      <c r="AI1140" s="37"/>
      <c r="AJ1140" s="34"/>
      <c r="AK1140" s="34"/>
      <c r="AL1140" s="38"/>
      <c r="AM1140" s="41"/>
      <c r="AN1140" s="25"/>
      <c r="AO1140" s="40"/>
      <c r="AP1140" s="40"/>
    </row>
    <row r="1141" ht="15.0" customHeight="1">
      <c r="A1141" s="32" t="s">
        <v>1166</v>
      </c>
      <c r="B1141" s="34" t="s">
        <v>1404</v>
      </c>
      <c r="C1141" s="34" t="s">
        <v>1403</v>
      </c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25"/>
      <c r="X1141" s="25"/>
      <c r="Y1141" s="34"/>
      <c r="Z1141" s="34"/>
      <c r="AA1141" s="34"/>
      <c r="AB1141" s="34"/>
      <c r="AC1141" s="34"/>
      <c r="AD1141" s="34"/>
      <c r="AE1141" s="34"/>
      <c r="AF1141" s="25"/>
      <c r="AG1141" s="34"/>
      <c r="AH1141" s="34"/>
      <c r="AI1141" s="37"/>
      <c r="AJ1141" s="34"/>
      <c r="AK1141" s="34"/>
      <c r="AL1141" s="38"/>
      <c r="AM1141" s="41"/>
      <c r="AN1141" s="25"/>
      <c r="AO1141" s="40"/>
      <c r="AP1141" s="40"/>
    </row>
    <row r="1142" ht="15.0" customHeight="1">
      <c r="A1142" s="32" t="s">
        <v>1167</v>
      </c>
      <c r="B1142" s="34" t="s">
        <v>1404</v>
      </c>
      <c r="C1142" s="34" t="s">
        <v>1403</v>
      </c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25"/>
      <c r="X1142" s="25"/>
      <c r="Y1142" s="34"/>
      <c r="Z1142" s="34"/>
      <c r="AA1142" s="34"/>
      <c r="AB1142" s="34"/>
      <c r="AC1142" s="34"/>
      <c r="AD1142" s="34"/>
      <c r="AE1142" s="34"/>
      <c r="AF1142" s="25"/>
      <c r="AG1142" s="34"/>
      <c r="AH1142" s="34"/>
      <c r="AI1142" s="37"/>
      <c r="AJ1142" s="34"/>
      <c r="AK1142" s="34"/>
      <c r="AL1142" s="38"/>
      <c r="AM1142" s="41"/>
      <c r="AN1142" s="25"/>
      <c r="AO1142" s="40"/>
      <c r="AP1142" s="40"/>
    </row>
    <row r="1143" ht="15.0" customHeight="1">
      <c r="A1143" s="32" t="s">
        <v>1168</v>
      </c>
      <c r="B1143" s="34" t="s">
        <v>1404</v>
      </c>
      <c r="C1143" s="34" t="s">
        <v>1403</v>
      </c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25"/>
      <c r="X1143" s="25"/>
      <c r="Y1143" s="34"/>
      <c r="Z1143" s="34"/>
      <c r="AA1143" s="34"/>
      <c r="AB1143" s="34"/>
      <c r="AC1143" s="34"/>
      <c r="AD1143" s="34"/>
      <c r="AE1143" s="34"/>
      <c r="AF1143" s="25"/>
      <c r="AG1143" s="34"/>
      <c r="AH1143" s="34"/>
      <c r="AI1143" s="37"/>
      <c r="AJ1143" s="34"/>
      <c r="AK1143" s="34"/>
      <c r="AL1143" s="38"/>
      <c r="AM1143" s="41"/>
      <c r="AN1143" s="25"/>
      <c r="AO1143" s="40"/>
      <c r="AP1143" s="40"/>
    </row>
    <row r="1144" ht="15.0" customHeight="1">
      <c r="A1144" s="32" t="s">
        <v>1169</v>
      </c>
      <c r="B1144" s="34" t="s">
        <v>1404</v>
      </c>
      <c r="C1144" s="34" t="s">
        <v>1403</v>
      </c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25"/>
      <c r="X1144" s="25"/>
      <c r="Y1144" s="34"/>
      <c r="Z1144" s="34"/>
      <c r="AA1144" s="34"/>
      <c r="AB1144" s="34"/>
      <c r="AC1144" s="34"/>
      <c r="AD1144" s="34"/>
      <c r="AE1144" s="34"/>
      <c r="AF1144" s="25"/>
      <c r="AG1144" s="34"/>
      <c r="AH1144" s="34"/>
      <c r="AI1144" s="37"/>
      <c r="AJ1144" s="34"/>
      <c r="AK1144" s="34"/>
      <c r="AL1144" s="38"/>
      <c r="AM1144" s="41"/>
      <c r="AN1144" s="25"/>
      <c r="AO1144" s="40"/>
      <c r="AP1144" s="40"/>
    </row>
    <row r="1145" ht="15.0" customHeight="1">
      <c r="A1145" s="32" t="s">
        <v>1170</v>
      </c>
      <c r="B1145" s="34" t="s">
        <v>1404</v>
      </c>
      <c r="C1145" s="34" t="s">
        <v>1403</v>
      </c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25"/>
      <c r="X1145" s="25"/>
      <c r="Y1145" s="34"/>
      <c r="Z1145" s="34"/>
      <c r="AA1145" s="34"/>
      <c r="AB1145" s="34"/>
      <c r="AC1145" s="34"/>
      <c r="AD1145" s="34"/>
      <c r="AE1145" s="34"/>
      <c r="AF1145" s="25"/>
      <c r="AG1145" s="34"/>
      <c r="AH1145" s="34"/>
      <c r="AI1145" s="37"/>
      <c r="AJ1145" s="34"/>
      <c r="AK1145" s="34"/>
      <c r="AL1145" s="38"/>
      <c r="AM1145" s="41"/>
      <c r="AN1145" s="25"/>
      <c r="AO1145" s="40"/>
      <c r="AP1145" s="40"/>
    </row>
    <row r="1146" ht="15.0" customHeight="1">
      <c r="A1146" s="32" t="s">
        <v>1171</v>
      </c>
      <c r="B1146" s="34" t="s">
        <v>1404</v>
      </c>
      <c r="C1146" s="34" t="s">
        <v>1403</v>
      </c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25"/>
      <c r="X1146" s="25"/>
      <c r="Y1146" s="34"/>
      <c r="Z1146" s="34"/>
      <c r="AA1146" s="34"/>
      <c r="AB1146" s="34"/>
      <c r="AC1146" s="34"/>
      <c r="AD1146" s="34"/>
      <c r="AE1146" s="34"/>
      <c r="AF1146" s="25"/>
      <c r="AG1146" s="34"/>
      <c r="AH1146" s="34"/>
      <c r="AI1146" s="37"/>
      <c r="AJ1146" s="34"/>
      <c r="AK1146" s="34"/>
      <c r="AL1146" s="38"/>
      <c r="AM1146" s="41"/>
      <c r="AN1146" s="25"/>
      <c r="AO1146" s="40"/>
      <c r="AP1146" s="40"/>
    </row>
    <row r="1147" ht="15.0" customHeight="1">
      <c r="A1147" s="32" t="s">
        <v>1172</v>
      </c>
      <c r="B1147" s="34" t="s">
        <v>1404</v>
      </c>
      <c r="C1147" s="34" t="s">
        <v>1403</v>
      </c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25"/>
      <c r="X1147" s="25"/>
      <c r="Y1147" s="34"/>
      <c r="Z1147" s="34"/>
      <c r="AA1147" s="34"/>
      <c r="AB1147" s="34"/>
      <c r="AC1147" s="34"/>
      <c r="AD1147" s="34"/>
      <c r="AE1147" s="34"/>
      <c r="AF1147" s="25"/>
      <c r="AG1147" s="34"/>
      <c r="AH1147" s="34"/>
      <c r="AI1147" s="37"/>
      <c r="AJ1147" s="34"/>
      <c r="AK1147" s="34"/>
      <c r="AL1147" s="38"/>
      <c r="AM1147" s="41"/>
      <c r="AN1147" s="25"/>
      <c r="AO1147" s="40"/>
      <c r="AP1147" s="40"/>
    </row>
    <row r="1148" ht="15.0" customHeight="1">
      <c r="A1148" s="32" t="s">
        <v>1173</v>
      </c>
      <c r="B1148" s="34" t="s">
        <v>1404</v>
      </c>
      <c r="C1148" s="34" t="s">
        <v>1403</v>
      </c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25"/>
      <c r="X1148" s="25"/>
      <c r="Y1148" s="34"/>
      <c r="Z1148" s="34"/>
      <c r="AA1148" s="34"/>
      <c r="AB1148" s="34"/>
      <c r="AC1148" s="34"/>
      <c r="AD1148" s="34"/>
      <c r="AE1148" s="34"/>
      <c r="AF1148" s="25"/>
      <c r="AG1148" s="34"/>
      <c r="AH1148" s="34"/>
      <c r="AI1148" s="37"/>
      <c r="AJ1148" s="34"/>
      <c r="AK1148" s="34"/>
      <c r="AL1148" s="38"/>
      <c r="AM1148" s="41"/>
      <c r="AN1148" s="25"/>
      <c r="AO1148" s="40"/>
      <c r="AP1148" s="40"/>
    </row>
    <row r="1149" ht="15.0" customHeight="1">
      <c r="A1149" s="32" t="s">
        <v>1174</v>
      </c>
      <c r="B1149" s="34" t="s">
        <v>1404</v>
      </c>
      <c r="C1149" s="34" t="s">
        <v>1403</v>
      </c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25"/>
      <c r="X1149" s="25"/>
      <c r="Y1149" s="34"/>
      <c r="Z1149" s="34"/>
      <c r="AA1149" s="34"/>
      <c r="AB1149" s="34"/>
      <c r="AC1149" s="34"/>
      <c r="AD1149" s="34"/>
      <c r="AE1149" s="34"/>
      <c r="AF1149" s="25"/>
      <c r="AG1149" s="34"/>
      <c r="AH1149" s="34"/>
      <c r="AI1149" s="37"/>
      <c r="AJ1149" s="34"/>
      <c r="AK1149" s="34"/>
      <c r="AL1149" s="38"/>
      <c r="AM1149" s="41"/>
      <c r="AN1149" s="25"/>
      <c r="AO1149" s="40"/>
      <c r="AP1149" s="40"/>
    </row>
    <row r="1150" ht="15.0" customHeight="1">
      <c r="A1150" s="32" t="s">
        <v>1175</v>
      </c>
      <c r="B1150" s="34" t="s">
        <v>1404</v>
      </c>
      <c r="C1150" s="34" t="s">
        <v>1403</v>
      </c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25"/>
      <c r="X1150" s="25"/>
      <c r="Y1150" s="34"/>
      <c r="Z1150" s="34"/>
      <c r="AA1150" s="34"/>
      <c r="AB1150" s="34"/>
      <c r="AC1150" s="34"/>
      <c r="AD1150" s="34"/>
      <c r="AE1150" s="34"/>
      <c r="AF1150" s="25"/>
      <c r="AG1150" s="34"/>
      <c r="AH1150" s="34"/>
      <c r="AI1150" s="37"/>
      <c r="AJ1150" s="34"/>
      <c r="AK1150" s="34"/>
      <c r="AL1150" s="38"/>
      <c r="AM1150" s="41"/>
      <c r="AN1150" s="25"/>
      <c r="AO1150" s="40"/>
      <c r="AP1150" s="40"/>
    </row>
    <row r="1151" ht="15.0" customHeight="1">
      <c r="A1151" s="32" t="s">
        <v>1176</v>
      </c>
      <c r="B1151" s="34" t="s">
        <v>1404</v>
      </c>
      <c r="C1151" s="34" t="s">
        <v>1403</v>
      </c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25"/>
      <c r="X1151" s="25"/>
      <c r="Y1151" s="34"/>
      <c r="Z1151" s="34"/>
      <c r="AA1151" s="34"/>
      <c r="AB1151" s="34"/>
      <c r="AC1151" s="34"/>
      <c r="AD1151" s="34"/>
      <c r="AE1151" s="34"/>
      <c r="AF1151" s="25"/>
      <c r="AG1151" s="34"/>
      <c r="AH1151" s="34"/>
      <c r="AI1151" s="37"/>
      <c r="AJ1151" s="34"/>
      <c r="AK1151" s="34"/>
      <c r="AL1151" s="38"/>
      <c r="AM1151" s="41"/>
      <c r="AN1151" s="25"/>
      <c r="AO1151" s="40"/>
      <c r="AP1151" s="40"/>
    </row>
    <row r="1152" ht="15.0" customHeight="1">
      <c r="A1152" s="32" t="s">
        <v>1177</v>
      </c>
      <c r="B1152" s="34" t="s">
        <v>1404</v>
      </c>
      <c r="C1152" s="34" t="s">
        <v>1403</v>
      </c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25"/>
      <c r="X1152" s="25"/>
      <c r="Y1152" s="34"/>
      <c r="Z1152" s="34"/>
      <c r="AA1152" s="34"/>
      <c r="AB1152" s="34"/>
      <c r="AC1152" s="34"/>
      <c r="AD1152" s="34"/>
      <c r="AE1152" s="34"/>
      <c r="AF1152" s="25"/>
      <c r="AG1152" s="34"/>
      <c r="AH1152" s="34"/>
      <c r="AI1152" s="37"/>
      <c r="AJ1152" s="34"/>
      <c r="AK1152" s="34"/>
      <c r="AL1152" s="38"/>
      <c r="AM1152" s="41"/>
      <c r="AN1152" s="25"/>
      <c r="AO1152" s="40"/>
      <c r="AP1152" s="40"/>
    </row>
    <row r="1153" ht="15.0" customHeight="1">
      <c r="A1153" s="32" t="s">
        <v>1178</v>
      </c>
      <c r="B1153" s="34" t="s">
        <v>1404</v>
      </c>
      <c r="C1153" s="34" t="s">
        <v>1403</v>
      </c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25"/>
      <c r="X1153" s="25"/>
      <c r="Y1153" s="34"/>
      <c r="Z1153" s="34"/>
      <c r="AA1153" s="34"/>
      <c r="AB1153" s="34"/>
      <c r="AC1153" s="34"/>
      <c r="AD1153" s="34"/>
      <c r="AE1153" s="34"/>
      <c r="AF1153" s="25"/>
      <c r="AG1153" s="34"/>
      <c r="AH1153" s="34"/>
      <c r="AI1153" s="37"/>
      <c r="AJ1153" s="34"/>
      <c r="AK1153" s="34"/>
      <c r="AL1153" s="38"/>
      <c r="AM1153" s="41"/>
      <c r="AN1153" s="25"/>
      <c r="AO1153" s="40"/>
      <c r="AP1153" s="40"/>
    </row>
    <row r="1154" ht="15.0" customHeight="1">
      <c r="A1154" s="32" t="s">
        <v>1179</v>
      </c>
      <c r="B1154" s="34" t="s">
        <v>1404</v>
      </c>
      <c r="C1154" s="34" t="s">
        <v>1403</v>
      </c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25"/>
      <c r="X1154" s="25"/>
      <c r="Y1154" s="34"/>
      <c r="Z1154" s="34"/>
      <c r="AA1154" s="34"/>
      <c r="AB1154" s="34"/>
      <c r="AC1154" s="34"/>
      <c r="AD1154" s="34"/>
      <c r="AE1154" s="34"/>
      <c r="AF1154" s="25"/>
      <c r="AG1154" s="34"/>
      <c r="AH1154" s="34"/>
      <c r="AI1154" s="37"/>
      <c r="AJ1154" s="34"/>
      <c r="AK1154" s="34"/>
      <c r="AL1154" s="38"/>
      <c r="AM1154" s="41"/>
      <c r="AN1154" s="25"/>
      <c r="AO1154" s="40"/>
      <c r="AP1154" s="40"/>
    </row>
    <row r="1155" ht="15.0" customHeight="1">
      <c r="A1155" s="32" t="s">
        <v>1180</v>
      </c>
      <c r="B1155" s="34" t="s">
        <v>1404</v>
      </c>
      <c r="C1155" s="34" t="s">
        <v>1403</v>
      </c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25"/>
      <c r="X1155" s="25"/>
      <c r="Y1155" s="34"/>
      <c r="Z1155" s="34"/>
      <c r="AA1155" s="34"/>
      <c r="AB1155" s="34"/>
      <c r="AC1155" s="34"/>
      <c r="AD1155" s="34"/>
      <c r="AE1155" s="34"/>
      <c r="AF1155" s="25"/>
      <c r="AG1155" s="34"/>
      <c r="AH1155" s="34"/>
      <c r="AI1155" s="37"/>
      <c r="AJ1155" s="34"/>
      <c r="AK1155" s="34"/>
      <c r="AL1155" s="38"/>
      <c r="AM1155" s="41"/>
      <c r="AN1155" s="25"/>
      <c r="AO1155" s="40"/>
      <c r="AP1155" s="40"/>
    </row>
    <row r="1156" ht="15.0" customHeight="1">
      <c r="A1156" s="32" t="s">
        <v>1181</v>
      </c>
      <c r="B1156" s="34" t="s">
        <v>1404</v>
      </c>
      <c r="C1156" s="34" t="s">
        <v>1403</v>
      </c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25"/>
      <c r="X1156" s="25"/>
      <c r="Y1156" s="34"/>
      <c r="Z1156" s="34"/>
      <c r="AA1156" s="34"/>
      <c r="AB1156" s="34"/>
      <c r="AC1156" s="34"/>
      <c r="AD1156" s="34"/>
      <c r="AE1156" s="34"/>
      <c r="AF1156" s="25"/>
      <c r="AG1156" s="34"/>
      <c r="AH1156" s="34"/>
      <c r="AI1156" s="37"/>
      <c r="AJ1156" s="34"/>
      <c r="AK1156" s="34"/>
      <c r="AL1156" s="38"/>
      <c r="AM1156" s="41"/>
      <c r="AN1156" s="25"/>
      <c r="AO1156" s="40"/>
      <c r="AP1156" s="40"/>
    </row>
    <row r="1157" ht="15.0" customHeight="1">
      <c r="A1157" s="32" t="s">
        <v>1182</v>
      </c>
      <c r="B1157" s="34" t="s">
        <v>1404</v>
      </c>
      <c r="C1157" s="34" t="s">
        <v>1403</v>
      </c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25"/>
      <c r="X1157" s="25"/>
      <c r="Y1157" s="34"/>
      <c r="Z1157" s="34"/>
      <c r="AA1157" s="34"/>
      <c r="AB1157" s="34"/>
      <c r="AC1157" s="34"/>
      <c r="AD1157" s="34"/>
      <c r="AE1157" s="34"/>
      <c r="AF1157" s="25"/>
      <c r="AG1157" s="34"/>
      <c r="AH1157" s="34"/>
      <c r="AI1157" s="37"/>
      <c r="AJ1157" s="34"/>
      <c r="AK1157" s="34"/>
      <c r="AL1157" s="38"/>
      <c r="AM1157" s="41"/>
      <c r="AN1157" s="25"/>
      <c r="AO1157" s="40"/>
      <c r="AP1157" s="40"/>
    </row>
    <row r="1158" ht="15.0" customHeight="1">
      <c r="A1158" s="32" t="s">
        <v>1183</v>
      </c>
      <c r="B1158" s="34" t="s">
        <v>1404</v>
      </c>
      <c r="C1158" s="34" t="s">
        <v>1403</v>
      </c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25"/>
      <c r="X1158" s="25"/>
      <c r="Y1158" s="34"/>
      <c r="Z1158" s="34"/>
      <c r="AA1158" s="34"/>
      <c r="AB1158" s="34"/>
      <c r="AC1158" s="34"/>
      <c r="AD1158" s="34"/>
      <c r="AE1158" s="34"/>
      <c r="AF1158" s="25"/>
      <c r="AG1158" s="34"/>
      <c r="AH1158" s="34"/>
      <c r="AI1158" s="37"/>
      <c r="AJ1158" s="34"/>
      <c r="AK1158" s="34"/>
      <c r="AL1158" s="38"/>
      <c r="AM1158" s="41"/>
      <c r="AN1158" s="25"/>
      <c r="AO1158" s="40"/>
      <c r="AP1158" s="40"/>
    </row>
    <row r="1159" ht="15.0" customHeight="1">
      <c r="A1159" s="32" t="s">
        <v>1184</v>
      </c>
      <c r="B1159" s="34" t="s">
        <v>1404</v>
      </c>
      <c r="C1159" s="34" t="s">
        <v>1403</v>
      </c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25"/>
      <c r="X1159" s="25"/>
      <c r="Y1159" s="34"/>
      <c r="Z1159" s="34"/>
      <c r="AA1159" s="34"/>
      <c r="AB1159" s="34"/>
      <c r="AC1159" s="34"/>
      <c r="AD1159" s="34"/>
      <c r="AE1159" s="34"/>
      <c r="AF1159" s="25"/>
      <c r="AG1159" s="34"/>
      <c r="AH1159" s="34"/>
      <c r="AI1159" s="37"/>
      <c r="AJ1159" s="34"/>
      <c r="AK1159" s="34"/>
      <c r="AL1159" s="38"/>
      <c r="AM1159" s="41"/>
      <c r="AN1159" s="25"/>
      <c r="AO1159" s="40"/>
      <c r="AP1159" s="40"/>
    </row>
    <row r="1160" ht="15.0" customHeight="1">
      <c r="A1160" s="32" t="s">
        <v>1185</v>
      </c>
      <c r="B1160" s="34" t="s">
        <v>1404</v>
      </c>
      <c r="C1160" s="34" t="s">
        <v>1403</v>
      </c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25"/>
      <c r="X1160" s="25"/>
      <c r="Y1160" s="34"/>
      <c r="Z1160" s="34"/>
      <c r="AA1160" s="34"/>
      <c r="AB1160" s="34"/>
      <c r="AC1160" s="34"/>
      <c r="AD1160" s="34"/>
      <c r="AE1160" s="34"/>
      <c r="AF1160" s="25"/>
      <c r="AG1160" s="34"/>
      <c r="AH1160" s="34"/>
      <c r="AI1160" s="37"/>
      <c r="AJ1160" s="34"/>
      <c r="AK1160" s="34"/>
      <c r="AL1160" s="38"/>
      <c r="AM1160" s="41"/>
      <c r="AN1160" s="25"/>
      <c r="AO1160" s="40"/>
      <c r="AP1160" s="40"/>
    </row>
    <row r="1161" ht="15.0" customHeight="1">
      <c r="A1161" s="32" t="s">
        <v>1186</v>
      </c>
      <c r="B1161" s="34" t="s">
        <v>1404</v>
      </c>
      <c r="C1161" s="34" t="s">
        <v>1403</v>
      </c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25"/>
      <c r="X1161" s="25"/>
      <c r="Y1161" s="34"/>
      <c r="Z1161" s="34"/>
      <c r="AA1161" s="34"/>
      <c r="AB1161" s="34"/>
      <c r="AC1161" s="34"/>
      <c r="AD1161" s="34"/>
      <c r="AE1161" s="34"/>
      <c r="AF1161" s="25"/>
      <c r="AG1161" s="34"/>
      <c r="AH1161" s="34"/>
      <c r="AI1161" s="37"/>
      <c r="AJ1161" s="34"/>
      <c r="AK1161" s="34"/>
      <c r="AL1161" s="38"/>
      <c r="AM1161" s="41"/>
      <c r="AN1161" s="25"/>
      <c r="AO1161" s="40"/>
      <c r="AP1161" s="40"/>
    </row>
    <row r="1162" ht="15.0" customHeight="1">
      <c r="A1162" s="32" t="s">
        <v>1187</v>
      </c>
      <c r="B1162" s="34" t="s">
        <v>1404</v>
      </c>
      <c r="C1162" s="34" t="s">
        <v>1403</v>
      </c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25"/>
      <c r="X1162" s="25"/>
      <c r="Y1162" s="34"/>
      <c r="Z1162" s="34"/>
      <c r="AA1162" s="34"/>
      <c r="AB1162" s="34"/>
      <c r="AC1162" s="34"/>
      <c r="AD1162" s="34"/>
      <c r="AE1162" s="34"/>
      <c r="AF1162" s="25"/>
      <c r="AG1162" s="34"/>
      <c r="AH1162" s="34"/>
      <c r="AI1162" s="37"/>
      <c r="AJ1162" s="34"/>
      <c r="AK1162" s="34"/>
      <c r="AL1162" s="38"/>
      <c r="AM1162" s="41"/>
      <c r="AN1162" s="25"/>
      <c r="AO1162" s="40"/>
      <c r="AP1162" s="40"/>
    </row>
    <row r="1163" ht="15.0" customHeight="1">
      <c r="A1163" s="32" t="s">
        <v>1188</v>
      </c>
      <c r="B1163" s="34" t="s">
        <v>1404</v>
      </c>
      <c r="C1163" s="34" t="s">
        <v>1403</v>
      </c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25"/>
      <c r="X1163" s="25"/>
      <c r="Y1163" s="34"/>
      <c r="Z1163" s="34"/>
      <c r="AA1163" s="34"/>
      <c r="AB1163" s="34"/>
      <c r="AC1163" s="34"/>
      <c r="AD1163" s="34"/>
      <c r="AE1163" s="34"/>
      <c r="AF1163" s="25"/>
      <c r="AG1163" s="34"/>
      <c r="AH1163" s="34"/>
      <c r="AI1163" s="37"/>
      <c r="AJ1163" s="34"/>
      <c r="AK1163" s="34"/>
      <c r="AL1163" s="38"/>
      <c r="AM1163" s="41"/>
      <c r="AN1163" s="25"/>
      <c r="AO1163" s="40"/>
      <c r="AP1163" s="40"/>
    </row>
    <row r="1164" ht="15.0" customHeight="1">
      <c r="A1164" s="32" t="s">
        <v>1189</v>
      </c>
      <c r="B1164" s="34" t="s">
        <v>1404</v>
      </c>
      <c r="C1164" s="34" t="s">
        <v>1403</v>
      </c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25"/>
      <c r="X1164" s="25"/>
      <c r="Y1164" s="34"/>
      <c r="Z1164" s="34"/>
      <c r="AA1164" s="34"/>
      <c r="AB1164" s="34"/>
      <c r="AC1164" s="34"/>
      <c r="AD1164" s="34"/>
      <c r="AE1164" s="34"/>
      <c r="AF1164" s="25"/>
      <c r="AG1164" s="34"/>
      <c r="AH1164" s="34"/>
      <c r="AI1164" s="37"/>
      <c r="AJ1164" s="34"/>
      <c r="AK1164" s="34"/>
      <c r="AL1164" s="38"/>
      <c r="AM1164" s="41"/>
      <c r="AN1164" s="25"/>
      <c r="AO1164" s="40"/>
      <c r="AP1164" s="40"/>
    </row>
    <row r="1165" ht="15.0" customHeight="1">
      <c r="A1165" s="32" t="s">
        <v>1190</v>
      </c>
      <c r="B1165" s="34" t="s">
        <v>1404</v>
      </c>
      <c r="C1165" s="34" t="s">
        <v>1403</v>
      </c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25"/>
      <c r="X1165" s="25"/>
      <c r="Y1165" s="34"/>
      <c r="Z1165" s="34"/>
      <c r="AA1165" s="34"/>
      <c r="AB1165" s="34"/>
      <c r="AC1165" s="34"/>
      <c r="AD1165" s="34"/>
      <c r="AE1165" s="34"/>
      <c r="AF1165" s="25"/>
      <c r="AG1165" s="34"/>
      <c r="AH1165" s="34"/>
      <c r="AI1165" s="37"/>
      <c r="AJ1165" s="34"/>
      <c r="AK1165" s="34"/>
      <c r="AL1165" s="38"/>
      <c r="AM1165" s="41"/>
      <c r="AN1165" s="25"/>
      <c r="AO1165" s="40"/>
      <c r="AP1165" s="40"/>
    </row>
    <row r="1166" ht="15.0" customHeight="1">
      <c r="A1166" s="32" t="s">
        <v>1191</v>
      </c>
      <c r="B1166" s="34" t="s">
        <v>1404</v>
      </c>
      <c r="C1166" s="34" t="s">
        <v>1403</v>
      </c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25"/>
      <c r="X1166" s="25"/>
      <c r="Y1166" s="34"/>
      <c r="Z1166" s="34"/>
      <c r="AA1166" s="34"/>
      <c r="AB1166" s="34"/>
      <c r="AC1166" s="34"/>
      <c r="AD1166" s="34"/>
      <c r="AE1166" s="34"/>
      <c r="AF1166" s="25"/>
      <c r="AG1166" s="34"/>
      <c r="AH1166" s="34"/>
      <c r="AI1166" s="37"/>
      <c r="AJ1166" s="34"/>
      <c r="AK1166" s="34"/>
      <c r="AL1166" s="38"/>
      <c r="AM1166" s="41"/>
      <c r="AN1166" s="25"/>
      <c r="AO1166" s="40"/>
      <c r="AP1166" s="40"/>
    </row>
    <row r="1167" ht="15.0" customHeight="1">
      <c r="A1167" s="32" t="s">
        <v>1192</v>
      </c>
      <c r="B1167" s="34" t="s">
        <v>1404</v>
      </c>
      <c r="C1167" s="34" t="s">
        <v>1403</v>
      </c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25"/>
      <c r="X1167" s="25"/>
      <c r="Y1167" s="34"/>
      <c r="Z1167" s="34"/>
      <c r="AA1167" s="34"/>
      <c r="AB1167" s="34"/>
      <c r="AC1167" s="34"/>
      <c r="AD1167" s="34"/>
      <c r="AE1167" s="34"/>
      <c r="AF1167" s="25"/>
      <c r="AG1167" s="34"/>
      <c r="AH1167" s="34"/>
      <c r="AI1167" s="37"/>
      <c r="AJ1167" s="34"/>
      <c r="AK1167" s="34"/>
      <c r="AL1167" s="38"/>
      <c r="AM1167" s="41"/>
      <c r="AN1167" s="25"/>
      <c r="AO1167" s="40"/>
      <c r="AP1167" s="40"/>
    </row>
    <row r="1168" ht="15.0" customHeight="1">
      <c r="A1168" s="32" t="s">
        <v>1193</v>
      </c>
      <c r="B1168" s="34" t="s">
        <v>1404</v>
      </c>
      <c r="C1168" s="34" t="s">
        <v>1403</v>
      </c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25"/>
      <c r="X1168" s="25"/>
      <c r="Y1168" s="34"/>
      <c r="Z1168" s="34"/>
      <c r="AA1168" s="34"/>
      <c r="AB1168" s="34"/>
      <c r="AC1168" s="34"/>
      <c r="AD1168" s="34"/>
      <c r="AE1168" s="34"/>
      <c r="AF1168" s="25"/>
      <c r="AG1168" s="34"/>
      <c r="AH1168" s="34"/>
      <c r="AI1168" s="37"/>
      <c r="AJ1168" s="34"/>
      <c r="AK1168" s="34"/>
      <c r="AL1168" s="38"/>
      <c r="AM1168" s="41"/>
      <c r="AN1168" s="25"/>
      <c r="AO1168" s="40"/>
      <c r="AP1168" s="40"/>
    </row>
    <row r="1169" ht="15.0" customHeight="1">
      <c r="A1169" s="32" t="s">
        <v>1194</v>
      </c>
      <c r="B1169" s="34" t="s">
        <v>1404</v>
      </c>
      <c r="C1169" s="34" t="s">
        <v>1403</v>
      </c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25"/>
      <c r="X1169" s="25"/>
      <c r="Y1169" s="34"/>
      <c r="Z1169" s="34"/>
      <c r="AA1169" s="34"/>
      <c r="AB1169" s="34"/>
      <c r="AC1169" s="34"/>
      <c r="AD1169" s="34"/>
      <c r="AE1169" s="34"/>
      <c r="AF1169" s="25"/>
      <c r="AG1169" s="34"/>
      <c r="AH1169" s="34"/>
      <c r="AI1169" s="37"/>
      <c r="AJ1169" s="34"/>
      <c r="AK1169" s="34"/>
      <c r="AL1169" s="38"/>
      <c r="AM1169" s="41"/>
      <c r="AN1169" s="25"/>
      <c r="AO1169" s="40"/>
      <c r="AP1169" s="40"/>
    </row>
    <row r="1170" ht="15.0" customHeight="1">
      <c r="A1170" s="32" t="s">
        <v>1195</v>
      </c>
      <c r="B1170" s="34" t="s">
        <v>1404</v>
      </c>
      <c r="C1170" s="34" t="s">
        <v>1403</v>
      </c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25"/>
      <c r="X1170" s="25"/>
      <c r="Y1170" s="34"/>
      <c r="Z1170" s="34"/>
      <c r="AA1170" s="34"/>
      <c r="AB1170" s="34"/>
      <c r="AC1170" s="34"/>
      <c r="AD1170" s="34"/>
      <c r="AE1170" s="34"/>
      <c r="AF1170" s="25"/>
      <c r="AG1170" s="34"/>
      <c r="AH1170" s="34"/>
      <c r="AI1170" s="37"/>
      <c r="AJ1170" s="34"/>
      <c r="AK1170" s="34"/>
      <c r="AL1170" s="38"/>
      <c r="AM1170" s="41"/>
      <c r="AN1170" s="25"/>
      <c r="AO1170" s="40"/>
      <c r="AP1170" s="40"/>
    </row>
    <row r="1171" ht="15.0" customHeight="1">
      <c r="A1171" s="32" t="s">
        <v>1196</v>
      </c>
      <c r="B1171" s="34" t="s">
        <v>1404</v>
      </c>
      <c r="C1171" s="34" t="s">
        <v>1403</v>
      </c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25"/>
      <c r="X1171" s="25"/>
      <c r="Y1171" s="34"/>
      <c r="Z1171" s="34"/>
      <c r="AA1171" s="34"/>
      <c r="AB1171" s="34"/>
      <c r="AC1171" s="34"/>
      <c r="AD1171" s="34"/>
      <c r="AE1171" s="34"/>
      <c r="AF1171" s="25"/>
      <c r="AG1171" s="34"/>
      <c r="AH1171" s="34"/>
      <c r="AI1171" s="37"/>
      <c r="AJ1171" s="34"/>
      <c r="AK1171" s="34"/>
      <c r="AL1171" s="38"/>
      <c r="AM1171" s="41"/>
      <c r="AN1171" s="25"/>
      <c r="AO1171" s="40"/>
      <c r="AP1171" s="40"/>
    </row>
    <row r="1172" ht="15.0" customHeight="1">
      <c r="A1172" s="32" t="s">
        <v>1197</v>
      </c>
      <c r="B1172" s="34" t="s">
        <v>1404</v>
      </c>
      <c r="C1172" s="34" t="s">
        <v>1403</v>
      </c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25"/>
      <c r="X1172" s="25"/>
      <c r="Y1172" s="34"/>
      <c r="Z1172" s="34"/>
      <c r="AA1172" s="34"/>
      <c r="AB1172" s="34"/>
      <c r="AC1172" s="34"/>
      <c r="AD1172" s="34"/>
      <c r="AE1172" s="34"/>
      <c r="AF1172" s="25"/>
      <c r="AG1172" s="34"/>
      <c r="AH1172" s="34"/>
      <c r="AI1172" s="37"/>
      <c r="AJ1172" s="34"/>
      <c r="AK1172" s="34"/>
      <c r="AL1172" s="38"/>
      <c r="AM1172" s="41"/>
      <c r="AN1172" s="25"/>
      <c r="AO1172" s="40"/>
      <c r="AP1172" s="40"/>
    </row>
    <row r="1173" ht="15.0" customHeight="1">
      <c r="A1173" s="32" t="s">
        <v>1198</v>
      </c>
      <c r="B1173" s="34" t="s">
        <v>1404</v>
      </c>
      <c r="C1173" s="34" t="s">
        <v>1403</v>
      </c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25"/>
      <c r="X1173" s="25"/>
      <c r="Y1173" s="34"/>
      <c r="Z1173" s="34"/>
      <c r="AA1173" s="34"/>
      <c r="AB1173" s="34"/>
      <c r="AC1173" s="34"/>
      <c r="AD1173" s="34"/>
      <c r="AE1173" s="34"/>
      <c r="AF1173" s="25"/>
      <c r="AG1173" s="34"/>
      <c r="AH1173" s="34"/>
      <c r="AI1173" s="37"/>
      <c r="AJ1173" s="34"/>
      <c r="AK1173" s="34"/>
      <c r="AL1173" s="38"/>
      <c r="AM1173" s="41"/>
      <c r="AN1173" s="25"/>
      <c r="AO1173" s="40"/>
      <c r="AP1173" s="40"/>
    </row>
    <row r="1174" ht="15.0" customHeight="1">
      <c r="A1174" s="32" t="s">
        <v>1199</v>
      </c>
      <c r="B1174" s="34" t="s">
        <v>1404</v>
      </c>
      <c r="C1174" s="34" t="s">
        <v>1403</v>
      </c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25"/>
      <c r="X1174" s="25"/>
      <c r="Y1174" s="34"/>
      <c r="Z1174" s="34"/>
      <c r="AA1174" s="34"/>
      <c r="AB1174" s="34"/>
      <c r="AC1174" s="34"/>
      <c r="AD1174" s="34"/>
      <c r="AE1174" s="34"/>
      <c r="AF1174" s="25"/>
      <c r="AG1174" s="34"/>
      <c r="AH1174" s="34"/>
      <c r="AI1174" s="37"/>
      <c r="AJ1174" s="34"/>
      <c r="AK1174" s="34"/>
      <c r="AL1174" s="38"/>
      <c r="AM1174" s="41"/>
      <c r="AN1174" s="25"/>
      <c r="AO1174" s="40"/>
      <c r="AP1174" s="40"/>
    </row>
    <row r="1175" ht="15.0" customHeight="1">
      <c r="A1175" s="32" t="s">
        <v>1200</v>
      </c>
      <c r="B1175" s="34" t="s">
        <v>1404</v>
      </c>
      <c r="C1175" s="34" t="s">
        <v>1403</v>
      </c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25"/>
      <c r="X1175" s="25"/>
      <c r="Y1175" s="34"/>
      <c r="Z1175" s="34"/>
      <c r="AA1175" s="34"/>
      <c r="AB1175" s="34"/>
      <c r="AC1175" s="34"/>
      <c r="AD1175" s="34"/>
      <c r="AE1175" s="34"/>
      <c r="AF1175" s="25"/>
      <c r="AG1175" s="34"/>
      <c r="AH1175" s="34"/>
      <c r="AI1175" s="37"/>
      <c r="AJ1175" s="34"/>
      <c r="AK1175" s="34"/>
      <c r="AL1175" s="38"/>
      <c r="AM1175" s="41"/>
      <c r="AN1175" s="25"/>
      <c r="AO1175" s="40"/>
      <c r="AP1175" s="40"/>
    </row>
    <row r="1176" ht="15.0" customHeight="1">
      <c r="A1176" s="32" t="s">
        <v>1201</v>
      </c>
      <c r="B1176" s="34" t="s">
        <v>1404</v>
      </c>
      <c r="C1176" s="34" t="s">
        <v>1403</v>
      </c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25"/>
      <c r="X1176" s="25"/>
      <c r="Y1176" s="34"/>
      <c r="Z1176" s="34"/>
      <c r="AA1176" s="34"/>
      <c r="AB1176" s="34"/>
      <c r="AC1176" s="34"/>
      <c r="AD1176" s="34"/>
      <c r="AE1176" s="34"/>
      <c r="AF1176" s="25"/>
      <c r="AG1176" s="34"/>
      <c r="AH1176" s="34"/>
      <c r="AI1176" s="37"/>
      <c r="AJ1176" s="34"/>
      <c r="AK1176" s="34"/>
      <c r="AL1176" s="38"/>
      <c r="AM1176" s="41"/>
      <c r="AN1176" s="25"/>
      <c r="AO1176" s="40"/>
      <c r="AP1176" s="40"/>
    </row>
    <row r="1177" ht="15.0" customHeight="1">
      <c r="A1177" s="32" t="s">
        <v>1202</v>
      </c>
      <c r="B1177" s="34" t="s">
        <v>1404</v>
      </c>
      <c r="C1177" s="34" t="s">
        <v>1403</v>
      </c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25"/>
      <c r="X1177" s="25"/>
      <c r="Y1177" s="34"/>
      <c r="Z1177" s="34"/>
      <c r="AA1177" s="34"/>
      <c r="AB1177" s="34"/>
      <c r="AC1177" s="34"/>
      <c r="AD1177" s="34"/>
      <c r="AE1177" s="34"/>
      <c r="AF1177" s="25"/>
      <c r="AG1177" s="34"/>
      <c r="AH1177" s="34"/>
      <c r="AI1177" s="37"/>
      <c r="AJ1177" s="34"/>
      <c r="AK1177" s="34"/>
      <c r="AL1177" s="38"/>
      <c r="AM1177" s="41"/>
      <c r="AN1177" s="25"/>
      <c r="AO1177" s="40"/>
      <c r="AP1177" s="40"/>
    </row>
    <row r="1178" ht="15.0" customHeight="1">
      <c r="A1178" s="32" t="s">
        <v>1203</v>
      </c>
      <c r="B1178" s="34" t="s">
        <v>1404</v>
      </c>
      <c r="C1178" s="34" t="s">
        <v>1403</v>
      </c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25"/>
      <c r="X1178" s="25"/>
      <c r="Y1178" s="34"/>
      <c r="Z1178" s="34"/>
      <c r="AA1178" s="34"/>
      <c r="AB1178" s="34"/>
      <c r="AC1178" s="34"/>
      <c r="AD1178" s="34"/>
      <c r="AE1178" s="34"/>
      <c r="AF1178" s="25"/>
      <c r="AG1178" s="34"/>
      <c r="AH1178" s="34"/>
      <c r="AI1178" s="37"/>
      <c r="AJ1178" s="34"/>
      <c r="AK1178" s="34"/>
      <c r="AL1178" s="38"/>
      <c r="AM1178" s="41"/>
      <c r="AN1178" s="25"/>
      <c r="AO1178" s="40"/>
      <c r="AP1178" s="40"/>
    </row>
    <row r="1179" ht="15.0" customHeight="1">
      <c r="A1179" s="32" t="s">
        <v>1204</v>
      </c>
      <c r="B1179" s="34" t="s">
        <v>1404</v>
      </c>
      <c r="C1179" s="34" t="s">
        <v>1403</v>
      </c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25"/>
      <c r="X1179" s="25"/>
      <c r="Y1179" s="34"/>
      <c r="Z1179" s="34"/>
      <c r="AA1179" s="34"/>
      <c r="AB1179" s="34"/>
      <c r="AC1179" s="34"/>
      <c r="AD1179" s="34"/>
      <c r="AE1179" s="34"/>
      <c r="AF1179" s="25"/>
      <c r="AG1179" s="34"/>
      <c r="AH1179" s="34"/>
      <c r="AI1179" s="37"/>
      <c r="AJ1179" s="34"/>
      <c r="AK1179" s="34"/>
      <c r="AL1179" s="38"/>
      <c r="AM1179" s="41"/>
      <c r="AN1179" s="25"/>
      <c r="AO1179" s="40"/>
      <c r="AP1179" s="40"/>
    </row>
    <row r="1180" ht="15.0" customHeight="1">
      <c r="A1180" s="32" t="s">
        <v>1205</v>
      </c>
      <c r="B1180" s="34" t="s">
        <v>1404</v>
      </c>
      <c r="C1180" s="34" t="s">
        <v>1403</v>
      </c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25"/>
      <c r="X1180" s="25"/>
      <c r="Y1180" s="34"/>
      <c r="Z1180" s="34"/>
      <c r="AA1180" s="34"/>
      <c r="AB1180" s="34"/>
      <c r="AC1180" s="34"/>
      <c r="AD1180" s="34"/>
      <c r="AE1180" s="34"/>
      <c r="AF1180" s="25"/>
      <c r="AG1180" s="34"/>
      <c r="AH1180" s="34"/>
      <c r="AI1180" s="37"/>
      <c r="AJ1180" s="34"/>
      <c r="AK1180" s="34"/>
      <c r="AL1180" s="38"/>
      <c r="AM1180" s="41"/>
      <c r="AN1180" s="25"/>
      <c r="AO1180" s="40"/>
      <c r="AP1180" s="40"/>
    </row>
    <row r="1181" ht="15.0" customHeight="1">
      <c r="A1181" s="32" t="s">
        <v>1206</v>
      </c>
      <c r="B1181" s="34" t="s">
        <v>1404</v>
      </c>
      <c r="C1181" s="34" t="s">
        <v>1403</v>
      </c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25"/>
      <c r="X1181" s="25"/>
      <c r="Y1181" s="34"/>
      <c r="Z1181" s="34"/>
      <c r="AA1181" s="34"/>
      <c r="AB1181" s="34"/>
      <c r="AC1181" s="34"/>
      <c r="AD1181" s="34"/>
      <c r="AE1181" s="34"/>
      <c r="AF1181" s="25"/>
      <c r="AG1181" s="34"/>
      <c r="AH1181" s="34"/>
      <c r="AI1181" s="37"/>
      <c r="AJ1181" s="34"/>
      <c r="AK1181" s="34"/>
      <c r="AL1181" s="38"/>
      <c r="AM1181" s="41"/>
      <c r="AN1181" s="25"/>
      <c r="AO1181" s="40"/>
      <c r="AP1181" s="40"/>
    </row>
    <row r="1182" ht="15.0" customHeight="1">
      <c r="A1182" s="32" t="s">
        <v>1207</v>
      </c>
      <c r="B1182" s="34" t="s">
        <v>1404</v>
      </c>
      <c r="C1182" s="34" t="s">
        <v>1403</v>
      </c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25"/>
      <c r="X1182" s="25"/>
      <c r="Y1182" s="34"/>
      <c r="Z1182" s="34"/>
      <c r="AA1182" s="34"/>
      <c r="AB1182" s="34"/>
      <c r="AC1182" s="34"/>
      <c r="AD1182" s="34"/>
      <c r="AE1182" s="34"/>
      <c r="AF1182" s="25"/>
      <c r="AG1182" s="34"/>
      <c r="AH1182" s="34"/>
      <c r="AI1182" s="37"/>
      <c r="AJ1182" s="34"/>
      <c r="AK1182" s="34"/>
      <c r="AL1182" s="38"/>
      <c r="AM1182" s="41"/>
      <c r="AN1182" s="25"/>
      <c r="AO1182" s="40"/>
      <c r="AP1182" s="40"/>
    </row>
    <row r="1183" ht="15.0" customHeight="1">
      <c r="A1183" s="32" t="s">
        <v>1208</v>
      </c>
      <c r="B1183" s="34" t="s">
        <v>1404</v>
      </c>
      <c r="C1183" s="34" t="s">
        <v>1403</v>
      </c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25"/>
      <c r="X1183" s="25"/>
      <c r="Y1183" s="34"/>
      <c r="Z1183" s="34"/>
      <c r="AA1183" s="34"/>
      <c r="AB1183" s="34"/>
      <c r="AC1183" s="34"/>
      <c r="AD1183" s="34"/>
      <c r="AE1183" s="34"/>
      <c r="AF1183" s="25"/>
      <c r="AG1183" s="34"/>
      <c r="AH1183" s="34"/>
      <c r="AI1183" s="37"/>
      <c r="AJ1183" s="34"/>
      <c r="AK1183" s="34"/>
      <c r="AL1183" s="38"/>
      <c r="AM1183" s="41"/>
      <c r="AN1183" s="25"/>
      <c r="AO1183" s="40"/>
      <c r="AP1183" s="40"/>
    </row>
    <row r="1184" ht="15.0" customHeight="1">
      <c r="A1184" s="32" t="s">
        <v>1209</v>
      </c>
      <c r="B1184" s="34" t="s">
        <v>1404</v>
      </c>
      <c r="C1184" s="34" t="s">
        <v>1403</v>
      </c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25"/>
      <c r="X1184" s="25"/>
      <c r="Y1184" s="34"/>
      <c r="Z1184" s="34"/>
      <c r="AA1184" s="34"/>
      <c r="AB1184" s="34"/>
      <c r="AC1184" s="34"/>
      <c r="AD1184" s="34"/>
      <c r="AE1184" s="34"/>
      <c r="AF1184" s="25"/>
      <c r="AG1184" s="34"/>
      <c r="AH1184" s="34"/>
      <c r="AI1184" s="37"/>
      <c r="AJ1184" s="34"/>
      <c r="AK1184" s="34"/>
      <c r="AL1184" s="38"/>
      <c r="AM1184" s="41"/>
      <c r="AN1184" s="25"/>
      <c r="AO1184" s="40"/>
      <c r="AP1184" s="40"/>
    </row>
    <row r="1185" ht="15.0" customHeight="1">
      <c r="A1185" s="32" t="s">
        <v>1210</v>
      </c>
      <c r="B1185" s="34" t="s">
        <v>1404</v>
      </c>
      <c r="C1185" s="34" t="s">
        <v>1403</v>
      </c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25"/>
      <c r="X1185" s="25"/>
      <c r="Y1185" s="34"/>
      <c r="Z1185" s="34"/>
      <c r="AA1185" s="34"/>
      <c r="AB1185" s="34"/>
      <c r="AC1185" s="34"/>
      <c r="AD1185" s="34"/>
      <c r="AE1185" s="34"/>
      <c r="AF1185" s="25"/>
      <c r="AG1185" s="34"/>
      <c r="AH1185" s="34"/>
      <c r="AI1185" s="37"/>
      <c r="AJ1185" s="34"/>
      <c r="AK1185" s="34"/>
      <c r="AL1185" s="38"/>
      <c r="AM1185" s="41"/>
      <c r="AN1185" s="25"/>
      <c r="AO1185" s="40"/>
      <c r="AP1185" s="40"/>
    </row>
    <row r="1186" ht="15.0" customHeight="1">
      <c r="A1186" s="32" t="s">
        <v>1211</v>
      </c>
      <c r="B1186" s="34" t="s">
        <v>1404</v>
      </c>
      <c r="C1186" s="34" t="s">
        <v>1403</v>
      </c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25"/>
      <c r="X1186" s="25"/>
      <c r="Y1186" s="34"/>
      <c r="Z1186" s="34"/>
      <c r="AA1186" s="34"/>
      <c r="AB1186" s="34"/>
      <c r="AC1186" s="34"/>
      <c r="AD1186" s="34"/>
      <c r="AE1186" s="34"/>
      <c r="AF1186" s="25"/>
      <c r="AG1186" s="34"/>
      <c r="AH1186" s="34"/>
      <c r="AI1186" s="37"/>
      <c r="AJ1186" s="34"/>
      <c r="AK1186" s="34"/>
      <c r="AL1186" s="38"/>
      <c r="AM1186" s="41"/>
      <c r="AN1186" s="25"/>
      <c r="AO1186" s="40"/>
      <c r="AP1186" s="40"/>
    </row>
    <row r="1187" ht="15.0" customHeight="1">
      <c r="A1187" s="32" t="s">
        <v>1212</v>
      </c>
      <c r="B1187" s="34" t="s">
        <v>1404</v>
      </c>
      <c r="C1187" s="34" t="s">
        <v>1403</v>
      </c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25"/>
      <c r="X1187" s="25"/>
      <c r="Y1187" s="34"/>
      <c r="Z1187" s="34"/>
      <c r="AA1187" s="34"/>
      <c r="AB1187" s="34"/>
      <c r="AC1187" s="34"/>
      <c r="AD1187" s="34"/>
      <c r="AE1187" s="34"/>
      <c r="AF1187" s="25"/>
      <c r="AG1187" s="34"/>
      <c r="AH1187" s="34"/>
      <c r="AI1187" s="37"/>
      <c r="AJ1187" s="34"/>
      <c r="AK1187" s="34"/>
      <c r="AL1187" s="38"/>
      <c r="AM1187" s="41"/>
      <c r="AN1187" s="25"/>
      <c r="AO1187" s="40"/>
      <c r="AP1187" s="40"/>
    </row>
    <row r="1188" ht="15.0" customHeight="1">
      <c r="A1188" s="32" t="s">
        <v>1213</v>
      </c>
      <c r="B1188" s="34" t="s">
        <v>1404</v>
      </c>
      <c r="C1188" s="34" t="s">
        <v>1403</v>
      </c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25"/>
      <c r="X1188" s="25"/>
      <c r="Y1188" s="34"/>
      <c r="Z1188" s="34"/>
      <c r="AA1188" s="34"/>
      <c r="AB1188" s="34"/>
      <c r="AC1188" s="34"/>
      <c r="AD1188" s="34"/>
      <c r="AE1188" s="34"/>
      <c r="AF1188" s="25"/>
      <c r="AG1188" s="34"/>
      <c r="AH1188" s="34"/>
      <c r="AI1188" s="37"/>
      <c r="AJ1188" s="34"/>
      <c r="AK1188" s="34"/>
      <c r="AL1188" s="38"/>
      <c r="AM1188" s="41"/>
      <c r="AN1188" s="25"/>
      <c r="AO1188" s="40"/>
      <c r="AP1188" s="40"/>
    </row>
    <row r="1189" ht="15.0" customHeight="1">
      <c r="A1189" s="32" t="s">
        <v>1214</v>
      </c>
      <c r="B1189" s="34" t="s">
        <v>1404</v>
      </c>
      <c r="C1189" s="34" t="s">
        <v>1403</v>
      </c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25"/>
      <c r="X1189" s="25"/>
      <c r="Y1189" s="34"/>
      <c r="Z1189" s="34"/>
      <c r="AA1189" s="34"/>
      <c r="AB1189" s="34"/>
      <c r="AC1189" s="34"/>
      <c r="AD1189" s="34"/>
      <c r="AE1189" s="34"/>
      <c r="AF1189" s="25"/>
      <c r="AG1189" s="34"/>
      <c r="AH1189" s="34"/>
      <c r="AI1189" s="37"/>
      <c r="AJ1189" s="34"/>
      <c r="AK1189" s="34"/>
      <c r="AL1189" s="38"/>
      <c r="AM1189" s="41"/>
      <c r="AN1189" s="25"/>
      <c r="AO1189" s="40"/>
      <c r="AP1189" s="40"/>
    </row>
    <row r="1190" ht="15.0" customHeight="1">
      <c r="A1190" s="32" t="s">
        <v>1215</v>
      </c>
      <c r="B1190" s="34" t="s">
        <v>1404</v>
      </c>
      <c r="C1190" s="34" t="s">
        <v>1403</v>
      </c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25"/>
      <c r="X1190" s="25"/>
      <c r="Y1190" s="34"/>
      <c r="Z1190" s="34"/>
      <c r="AA1190" s="34"/>
      <c r="AB1190" s="34"/>
      <c r="AC1190" s="34"/>
      <c r="AD1190" s="34"/>
      <c r="AE1190" s="34"/>
      <c r="AF1190" s="25"/>
      <c r="AG1190" s="34"/>
      <c r="AH1190" s="34"/>
      <c r="AI1190" s="37"/>
      <c r="AJ1190" s="34"/>
      <c r="AK1190" s="34"/>
      <c r="AL1190" s="38"/>
      <c r="AM1190" s="41"/>
      <c r="AN1190" s="25"/>
      <c r="AO1190" s="40"/>
      <c r="AP1190" s="40"/>
    </row>
    <row r="1191" ht="15.0" customHeight="1">
      <c r="A1191" s="32" t="s">
        <v>1216</v>
      </c>
      <c r="B1191" s="34" t="s">
        <v>1404</v>
      </c>
      <c r="C1191" s="34" t="s">
        <v>1403</v>
      </c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25"/>
      <c r="X1191" s="25"/>
      <c r="Y1191" s="34"/>
      <c r="Z1191" s="34"/>
      <c r="AA1191" s="34"/>
      <c r="AB1191" s="34"/>
      <c r="AC1191" s="34"/>
      <c r="AD1191" s="34"/>
      <c r="AE1191" s="34"/>
      <c r="AF1191" s="25"/>
      <c r="AG1191" s="34"/>
      <c r="AH1191" s="34"/>
      <c r="AI1191" s="37"/>
      <c r="AJ1191" s="34"/>
      <c r="AK1191" s="34"/>
      <c r="AL1191" s="38"/>
      <c r="AM1191" s="41"/>
      <c r="AN1191" s="25"/>
      <c r="AO1191" s="40"/>
      <c r="AP1191" s="40"/>
    </row>
    <row r="1192" ht="15.0" customHeight="1">
      <c r="A1192" s="32" t="s">
        <v>1217</v>
      </c>
      <c r="B1192" s="34" t="s">
        <v>1404</v>
      </c>
      <c r="C1192" s="34" t="s">
        <v>1403</v>
      </c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25"/>
      <c r="X1192" s="25"/>
      <c r="Y1192" s="34"/>
      <c r="Z1192" s="34"/>
      <c r="AA1192" s="34"/>
      <c r="AB1192" s="34"/>
      <c r="AC1192" s="34"/>
      <c r="AD1192" s="34"/>
      <c r="AE1192" s="34"/>
      <c r="AF1192" s="25"/>
      <c r="AG1192" s="34"/>
      <c r="AH1192" s="34"/>
      <c r="AI1192" s="37"/>
      <c r="AJ1192" s="34"/>
      <c r="AK1192" s="34"/>
      <c r="AL1192" s="38"/>
      <c r="AM1192" s="41"/>
      <c r="AN1192" s="25"/>
      <c r="AO1192" s="40"/>
      <c r="AP1192" s="40"/>
    </row>
    <row r="1193" ht="15.0" customHeight="1">
      <c r="A1193" s="32" t="s">
        <v>1218</v>
      </c>
      <c r="B1193" s="34" t="s">
        <v>1404</v>
      </c>
      <c r="C1193" s="34" t="s">
        <v>1403</v>
      </c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25"/>
      <c r="X1193" s="25"/>
      <c r="Y1193" s="34"/>
      <c r="Z1193" s="34"/>
      <c r="AA1193" s="34"/>
      <c r="AB1193" s="34"/>
      <c r="AC1193" s="34"/>
      <c r="AD1193" s="34"/>
      <c r="AE1193" s="34"/>
      <c r="AF1193" s="25"/>
      <c r="AG1193" s="34"/>
      <c r="AH1193" s="34"/>
      <c r="AI1193" s="37"/>
      <c r="AJ1193" s="34"/>
      <c r="AK1193" s="34"/>
      <c r="AL1193" s="38"/>
      <c r="AM1193" s="41"/>
      <c r="AN1193" s="25"/>
      <c r="AO1193" s="40"/>
      <c r="AP1193" s="40"/>
    </row>
    <row r="1194" ht="15.0" customHeight="1">
      <c r="A1194" s="32" t="s">
        <v>1219</v>
      </c>
      <c r="B1194" s="34" t="s">
        <v>1404</v>
      </c>
      <c r="C1194" s="34" t="s">
        <v>1403</v>
      </c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25"/>
      <c r="X1194" s="25"/>
      <c r="Y1194" s="34"/>
      <c r="Z1194" s="34"/>
      <c r="AA1194" s="34"/>
      <c r="AB1194" s="34"/>
      <c r="AC1194" s="34"/>
      <c r="AD1194" s="34"/>
      <c r="AE1194" s="34"/>
      <c r="AF1194" s="25"/>
      <c r="AG1194" s="34"/>
      <c r="AH1194" s="34"/>
      <c r="AI1194" s="37"/>
      <c r="AJ1194" s="34"/>
      <c r="AK1194" s="34"/>
      <c r="AL1194" s="38"/>
      <c r="AM1194" s="41"/>
      <c r="AN1194" s="25"/>
      <c r="AO1194" s="40"/>
      <c r="AP1194" s="40"/>
    </row>
    <row r="1195" ht="15.0" customHeight="1">
      <c r="A1195" s="32" t="s">
        <v>1220</v>
      </c>
      <c r="B1195" s="34" t="s">
        <v>1404</v>
      </c>
      <c r="C1195" s="34" t="s">
        <v>1403</v>
      </c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25"/>
      <c r="X1195" s="25"/>
      <c r="Y1195" s="34"/>
      <c r="Z1195" s="34"/>
      <c r="AA1195" s="34"/>
      <c r="AB1195" s="34"/>
      <c r="AC1195" s="34"/>
      <c r="AD1195" s="34"/>
      <c r="AE1195" s="34"/>
      <c r="AF1195" s="25"/>
      <c r="AG1195" s="34"/>
      <c r="AH1195" s="34"/>
      <c r="AI1195" s="37"/>
      <c r="AJ1195" s="34"/>
      <c r="AK1195" s="34"/>
      <c r="AL1195" s="38"/>
      <c r="AM1195" s="41"/>
      <c r="AN1195" s="25"/>
      <c r="AO1195" s="40"/>
      <c r="AP1195" s="40"/>
    </row>
    <row r="1196" ht="15.0" customHeight="1">
      <c r="A1196" s="32" t="s">
        <v>1221</v>
      </c>
      <c r="B1196" s="34" t="s">
        <v>1404</v>
      </c>
      <c r="C1196" s="34" t="s">
        <v>1403</v>
      </c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25"/>
      <c r="X1196" s="25"/>
      <c r="Y1196" s="34"/>
      <c r="Z1196" s="34"/>
      <c r="AA1196" s="34"/>
      <c r="AB1196" s="34"/>
      <c r="AC1196" s="34"/>
      <c r="AD1196" s="34"/>
      <c r="AE1196" s="34"/>
      <c r="AF1196" s="25"/>
      <c r="AG1196" s="34"/>
      <c r="AH1196" s="34"/>
      <c r="AI1196" s="37"/>
      <c r="AJ1196" s="34"/>
      <c r="AK1196" s="34"/>
      <c r="AL1196" s="38"/>
      <c r="AM1196" s="41"/>
      <c r="AN1196" s="25"/>
      <c r="AO1196" s="40"/>
      <c r="AP1196" s="40"/>
    </row>
    <row r="1197" ht="15.0" customHeight="1">
      <c r="A1197" s="32" t="s">
        <v>1222</v>
      </c>
      <c r="B1197" s="34" t="s">
        <v>1404</v>
      </c>
      <c r="C1197" s="34" t="s">
        <v>1403</v>
      </c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25"/>
      <c r="X1197" s="25"/>
      <c r="Y1197" s="34"/>
      <c r="Z1197" s="34"/>
      <c r="AA1197" s="34"/>
      <c r="AB1197" s="34"/>
      <c r="AC1197" s="34"/>
      <c r="AD1197" s="34"/>
      <c r="AE1197" s="34"/>
      <c r="AF1197" s="25"/>
      <c r="AG1197" s="34"/>
      <c r="AH1197" s="34"/>
      <c r="AI1197" s="37"/>
      <c r="AJ1197" s="34"/>
      <c r="AK1197" s="34"/>
      <c r="AL1197" s="38"/>
      <c r="AM1197" s="41"/>
      <c r="AN1197" s="25"/>
      <c r="AO1197" s="40"/>
      <c r="AP1197" s="40"/>
    </row>
    <row r="1198" ht="15.0" customHeight="1">
      <c r="A1198" s="32" t="s">
        <v>1223</v>
      </c>
      <c r="B1198" s="34" t="s">
        <v>1404</v>
      </c>
      <c r="C1198" s="34" t="s">
        <v>1403</v>
      </c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25"/>
      <c r="X1198" s="25"/>
      <c r="Y1198" s="34"/>
      <c r="Z1198" s="34"/>
      <c r="AA1198" s="34"/>
      <c r="AB1198" s="34"/>
      <c r="AC1198" s="34"/>
      <c r="AD1198" s="34"/>
      <c r="AE1198" s="34"/>
      <c r="AF1198" s="25"/>
      <c r="AG1198" s="34"/>
      <c r="AH1198" s="34"/>
      <c r="AI1198" s="37"/>
      <c r="AJ1198" s="34"/>
      <c r="AK1198" s="34"/>
      <c r="AL1198" s="38"/>
      <c r="AM1198" s="41"/>
      <c r="AN1198" s="25"/>
      <c r="AO1198" s="40"/>
      <c r="AP1198" s="40"/>
    </row>
    <row r="1199" ht="15.0" customHeight="1">
      <c r="A1199" s="32" t="s">
        <v>1224</v>
      </c>
      <c r="B1199" s="34" t="s">
        <v>1404</v>
      </c>
      <c r="C1199" s="34" t="s">
        <v>1403</v>
      </c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25"/>
      <c r="X1199" s="25"/>
      <c r="Y1199" s="34"/>
      <c r="Z1199" s="34"/>
      <c r="AA1199" s="34"/>
      <c r="AB1199" s="34"/>
      <c r="AC1199" s="34"/>
      <c r="AD1199" s="34"/>
      <c r="AE1199" s="34"/>
      <c r="AF1199" s="25"/>
      <c r="AG1199" s="34"/>
      <c r="AH1199" s="34"/>
      <c r="AI1199" s="37"/>
      <c r="AJ1199" s="34"/>
      <c r="AK1199" s="34"/>
      <c r="AL1199" s="38"/>
      <c r="AM1199" s="41"/>
      <c r="AN1199" s="25"/>
      <c r="AO1199" s="40"/>
      <c r="AP1199" s="40"/>
    </row>
    <row r="1200" ht="15.0" customHeight="1">
      <c r="A1200" s="32" t="s">
        <v>1225</v>
      </c>
      <c r="B1200" s="34" t="s">
        <v>1404</v>
      </c>
      <c r="C1200" s="34" t="s">
        <v>1403</v>
      </c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25"/>
      <c r="X1200" s="25"/>
      <c r="Y1200" s="34"/>
      <c r="Z1200" s="34"/>
      <c r="AA1200" s="34"/>
      <c r="AB1200" s="34"/>
      <c r="AC1200" s="34"/>
      <c r="AD1200" s="34"/>
      <c r="AE1200" s="34"/>
      <c r="AF1200" s="25"/>
      <c r="AG1200" s="34"/>
      <c r="AH1200" s="34"/>
      <c r="AI1200" s="37"/>
      <c r="AJ1200" s="34"/>
      <c r="AK1200" s="34"/>
      <c r="AL1200" s="38"/>
      <c r="AM1200" s="41"/>
      <c r="AN1200" s="25"/>
      <c r="AO1200" s="40"/>
      <c r="AP1200" s="40"/>
    </row>
    <row r="1201" ht="15.0" customHeight="1">
      <c r="A1201" s="32" t="s">
        <v>1226</v>
      </c>
      <c r="B1201" s="34" t="s">
        <v>1404</v>
      </c>
      <c r="C1201" s="34" t="s">
        <v>1403</v>
      </c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25"/>
      <c r="X1201" s="25"/>
      <c r="Y1201" s="34"/>
      <c r="Z1201" s="34"/>
      <c r="AA1201" s="34"/>
      <c r="AB1201" s="34"/>
      <c r="AC1201" s="34"/>
      <c r="AD1201" s="34"/>
      <c r="AE1201" s="34"/>
      <c r="AF1201" s="25"/>
      <c r="AG1201" s="34"/>
      <c r="AH1201" s="34"/>
      <c r="AI1201" s="37"/>
      <c r="AJ1201" s="34"/>
      <c r="AK1201" s="34"/>
      <c r="AL1201" s="38"/>
      <c r="AM1201" s="41"/>
      <c r="AN1201" s="25"/>
      <c r="AO1201" s="40"/>
      <c r="AP1201" s="40"/>
    </row>
    <row r="1202" ht="15.0" customHeight="1">
      <c r="A1202" s="32" t="s">
        <v>1227</v>
      </c>
      <c r="B1202" s="34" t="s">
        <v>1404</v>
      </c>
      <c r="C1202" s="34" t="s">
        <v>1403</v>
      </c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25"/>
      <c r="X1202" s="25"/>
      <c r="Y1202" s="34"/>
      <c r="Z1202" s="34"/>
      <c r="AA1202" s="34"/>
      <c r="AB1202" s="34"/>
      <c r="AC1202" s="34"/>
      <c r="AD1202" s="34"/>
      <c r="AE1202" s="34"/>
      <c r="AF1202" s="25"/>
      <c r="AG1202" s="34"/>
      <c r="AH1202" s="34"/>
      <c r="AI1202" s="37"/>
      <c r="AJ1202" s="34"/>
      <c r="AK1202" s="34"/>
      <c r="AL1202" s="38"/>
      <c r="AM1202" s="41"/>
      <c r="AN1202" s="25"/>
      <c r="AO1202" s="40"/>
      <c r="AP1202" s="40"/>
    </row>
    <row r="1203" ht="15.0" customHeight="1">
      <c r="A1203" s="32" t="s">
        <v>1228</v>
      </c>
      <c r="B1203" s="34" t="s">
        <v>1404</v>
      </c>
      <c r="C1203" s="34" t="s">
        <v>1403</v>
      </c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25"/>
      <c r="X1203" s="25"/>
      <c r="Y1203" s="34"/>
      <c r="Z1203" s="34"/>
      <c r="AA1203" s="34"/>
      <c r="AB1203" s="34"/>
      <c r="AC1203" s="34"/>
      <c r="AD1203" s="34"/>
      <c r="AE1203" s="34"/>
      <c r="AF1203" s="25"/>
      <c r="AG1203" s="34"/>
      <c r="AH1203" s="34"/>
      <c r="AI1203" s="37"/>
      <c r="AJ1203" s="34"/>
      <c r="AK1203" s="34"/>
      <c r="AL1203" s="38"/>
      <c r="AM1203" s="41"/>
      <c r="AN1203" s="25"/>
      <c r="AO1203" s="40"/>
      <c r="AP1203" s="40"/>
    </row>
    <row r="1204" ht="15.0" customHeight="1">
      <c r="A1204" s="32" t="s">
        <v>1229</v>
      </c>
      <c r="B1204" s="34" t="s">
        <v>1404</v>
      </c>
      <c r="C1204" s="34" t="s">
        <v>1403</v>
      </c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25"/>
      <c r="X1204" s="25"/>
      <c r="Y1204" s="34"/>
      <c r="Z1204" s="34"/>
      <c r="AA1204" s="34"/>
      <c r="AB1204" s="34"/>
      <c r="AC1204" s="34"/>
      <c r="AD1204" s="34"/>
      <c r="AE1204" s="34"/>
      <c r="AF1204" s="25"/>
      <c r="AG1204" s="34"/>
      <c r="AH1204" s="34"/>
      <c r="AI1204" s="37"/>
      <c r="AJ1204" s="34"/>
      <c r="AK1204" s="34"/>
      <c r="AL1204" s="38"/>
      <c r="AM1204" s="41"/>
      <c r="AN1204" s="25"/>
      <c r="AO1204" s="40"/>
      <c r="AP1204" s="40"/>
    </row>
    <row r="1205" ht="15.0" customHeight="1">
      <c r="A1205" s="32" t="s">
        <v>1230</v>
      </c>
      <c r="B1205" s="34" t="s">
        <v>1404</v>
      </c>
      <c r="C1205" s="34" t="s">
        <v>1403</v>
      </c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25"/>
      <c r="X1205" s="25"/>
      <c r="Y1205" s="34"/>
      <c r="Z1205" s="34"/>
      <c r="AA1205" s="34"/>
      <c r="AB1205" s="34"/>
      <c r="AC1205" s="34"/>
      <c r="AD1205" s="34"/>
      <c r="AE1205" s="34"/>
      <c r="AF1205" s="25"/>
      <c r="AG1205" s="34"/>
      <c r="AH1205" s="34"/>
      <c r="AI1205" s="37"/>
      <c r="AJ1205" s="34"/>
      <c r="AK1205" s="34"/>
      <c r="AL1205" s="38"/>
      <c r="AM1205" s="41"/>
      <c r="AN1205" s="25"/>
      <c r="AO1205" s="40"/>
      <c r="AP1205" s="40"/>
    </row>
    <row r="1206" ht="15.0" customHeight="1">
      <c r="A1206" s="32" t="s">
        <v>1231</v>
      </c>
      <c r="B1206" s="34" t="s">
        <v>1404</v>
      </c>
      <c r="C1206" s="34" t="s">
        <v>1403</v>
      </c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25"/>
      <c r="X1206" s="25"/>
      <c r="Y1206" s="34"/>
      <c r="Z1206" s="34"/>
      <c r="AA1206" s="34"/>
      <c r="AB1206" s="34"/>
      <c r="AC1206" s="34"/>
      <c r="AD1206" s="34"/>
      <c r="AE1206" s="34"/>
      <c r="AF1206" s="25"/>
      <c r="AG1206" s="34"/>
      <c r="AH1206" s="34"/>
      <c r="AI1206" s="37"/>
      <c r="AJ1206" s="34"/>
      <c r="AK1206" s="34"/>
      <c r="AL1206" s="38"/>
      <c r="AM1206" s="41"/>
      <c r="AN1206" s="25"/>
      <c r="AO1206" s="40"/>
      <c r="AP1206" s="40"/>
    </row>
    <row r="1207" ht="15.0" customHeight="1">
      <c r="A1207" s="32" t="s">
        <v>1232</v>
      </c>
      <c r="B1207" s="34" t="s">
        <v>1404</v>
      </c>
      <c r="C1207" s="34" t="s">
        <v>1403</v>
      </c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25"/>
      <c r="X1207" s="25"/>
      <c r="Y1207" s="34"/>
      <c r="Z1207" s="34"/>
      <c r="AA1207" s="34"/>
      <c r="AB1207" s="34"/>
      <c r="AC1207" s="34"/>
      <c r="AD1207" s="34"/>
      <c r="AE1207" s="34"/>
      <c r="AF1207" s="25"/>
      <c r="AG1207" s="34"/>
      <c r="AH1207" s="34"/>
      <c r="AI1207" s="37"/>
      <c r="AJ1207" s="34"/>
      <c r="AK1207" s="34"/>
      <c r="AL1207" s="38"/>
      <c r="AM1207" s="41"/>
      <c r="AN1207" s="25"/>
      <c r="AO1207" s="40"/>
      <c r="AP1207" s="40"/>
    </row>
    <row r="1208" ht="15.0" customHeight="1">
      <c r="A1208" s="32" t="s">
        <v>1233</v>
      </c>
      <c r="B1208" s="34" t="s">
        <v>1404</v>
      </c>
      <c r="C1208" s="34" t="s">
        <v>1403</v>
      </c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25"/>
      <c r="X1208" s="25"/>
      <c r="Y1208" s="34"/>
      <c r="Z1208" s="34"/>
      <c r="AA1208" s="34"/>
      <c r="AB1208" s="34"/>
      <c r="AC1208" s="34"/>
      <c r="AD1208" s="34"/>
      <c r="AE1208" s="34"/>
      <c r="AF1208" s="25"/>
      <c r="AG1208" s="34"/>
      <c r="AH1208" s="34"/>
      <c r="AI1208" s="37"/>
      <c r="AJ1208" s="34"/>
      <c r="AK1208" s="34"/>
      <c r="AL1208" s="38"/>
      <c r="AM1208" s="41"/>
      <c r="AN1208" s="25"/>
      <c r="AO1208" s="40"/>
      <c r="AP1208" s="40"/>
    </row>
    <row r="1209" ht="15.0" customHeight="1">
      <c r="A1209" s="32" t="s">
        <v>1234</v>
      </c>
      <c r="B1209" s="34" t="s">
        <v>1404</v>
      </c>
      <c r="C1209" s="34" t="s">
        <v>1403</v>
      </c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25"/>
      <c r="X1209" s="25"/>
      <c r="Y1209" s="34"/>
      <c r="Z1209" s="34"/>
      <c r="AA1209" s="34"/>
      <c r="AB1209" s="34"/>
      <c r="AC1209" s="34"/>
      <c r="AD1209" s="34"/>
      <c r="AE1209" s="34"/>
      <c r="AF1209" s="25"/>
      <c r="AG1209" s="34"/>
      <c r="AH1209" s="34"/>
      <c r="AI1209" s="37"/>
      <c r="AJ1209" s="34"/>
      <c r="AK1209" s="34"/>
      <c r="AL1209" s="38"/>
      <c r="AM1209" s="41"/>
      <c r="AN1209" s="25"/>
      <c r="AO1209" s="40"/>
      <c r="AP1209" s="40"/>
    </row>
    <row r="1210" ht="15.0" customHeight="1">
      <c r="A1210" s="32" t="s">
        <v>1235</v>
      </c>
      <c r="B1210" s="34" t="s">
        <v>1404</v>
      </c>
      <c r="C1210" s="34" t="s">
        <v>1403</v>
      </c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25"/>
      <c r="X1210" s="25"/>
      <c r="Y1210" s="34"/>
      <c r="Z1210" s="34"/>
      <c r="AA1210" s="34"/>
      <c r="AB1210" s="34"/>
      <c r="AC1210" s="34"/>
      <c r="AD1210" s="34"/>
      <c r="AE1210" s="34"/>
      <c r="AF1210" s="25"/>
      <c r="AG1210" s="34"/>
      <c r="AH1210" s="34"/>
      <c r="AI1210" s="37"/>
      <c r="AJ1210" s="34"/>
      <c r="AK1210" s="34"/>
      <c r="AL1210" s="38"/>
      <c r="AM1210" s="41"/>
      <c r="AN1210" s="25"/>
      <c r="AO1210" s="40"/>
      <c r="AP1210" s="40"/>
    </row>
    <row r="1211" ht="15.0" customHeight="1">
      <c r="A1211" s="32" t="s">
        <v>1236</v>
      </c>
      <c r="B1211" s="34" t="s">
        <v>1404</v>
      </c>
      <c r="C1211" s="34" t="s">
        <v>1403</v>
      </c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25"/>
      <c r="X1211" s="25"/>
      <c r="Y1211" s="34"/>
      <c r="Z1211" s="34"/>
      <c r="AA1211" s="34"/>
      <c r="AB1211" s="34"/>
      <c r="AC1211" s="34"/>
      <c r="AD1211" s="34"/>
      <c r="AE1211" s="34"/>
      <c r="AF1211" s="25"/>
      <c r="AG1211" s="34"/>
      <c r="AH1211" s="34"/>
      <c r="AI1211" s="37"/>
      <c r="AJ1211" s="34"/>
      <c r="AK1211" s="34"/>
      <c r="AL1211" s="38"/>
      <c r="AM1211" s="41"/>
      <c r="AN1211" s="25"/>
      <c r="AO1211" s="40"/>
      <c r="AP1211" s="40"/>
    </row>
    <row r="1212" ht="15.0" customHeight="1">
      <c r="A1212" s="32" t="s">
        <v>1237</v>
      </c>
      <c r="B1212" s="34" t="s">
        <v>1404</v>
      </c>
      <c r="C1212" s="34" t="s">
        <v>1403</v>
      </c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25"/>
      <c r="X1212" s="25"/>
      <c r="Y1212" s="34"/>
      <c r="Z1212" s="34"/>
      <c r="AA1212" s="34"/>
      <c r="AB1212" s="34"/>
      <c r="AC1212" s="34"/>
      <c r="AD1212" s="34"/>
      <c r="AE1212" s="34"/>
      <c r="AF1212" s="25"/>
      <c r="AG1212" s="34"/>
      <c r="AH1212" s="34"/>
      <c r="AI1212" s="37"/>
      <c r="AJ1212" s="34"/>
      <c r="AK1212" s="34"/>
      <c r="AL1212" s="38"/>
      <c r="AM1212" s="41"/>
      <c r="AN1212" s="25"/>
      <c r="AO1212" s="40"/>
      <c r="AP1212" s="40"/>
    </row>
    <row r="1213" ht="15.0" customHeight="1">
      <c r="A1213" s="32" t="s">
        <v>1238</v>
      </c>
      <c r="B1213" s="34" t="s">
        <v>1404</v>
      </c>
      <c r="C1213" s="34" t="s">
        <v>1403</v>
      </c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25"/>
      <c r="X1213" s="25"/>
      <c r="Y1213" s="34"/>
      <c r="Z1213" s="34"/>
      <c r="AA1213" s="34"/>
      <c r="AB1213" s="34"/>
      <c r="AC1213" s="34"/>
      <c r="AD1213" s="34"/>
      <c r="AE1213" s="34"/>
      <c r="AF1213" s="25"/>
      <c r="AG1213" s="34"/>
      <c r="AH1213" s="34"/>
      <c r="AI1213" s="37"/>
      <c r="AJ1213" s="34"/>
      <c r="AK1213" s="34"/>
      <c r="AL1213" s="38"/>
      <c r="AM1213" s="41"/>
      <c r="AN1213" s="25"/>
      <c r="AO1213" s="40"/>
      <c r="AP1213" s="40"/>
    </row>
    <row r="1214" ht="15.0" customHeight="1">
      <c r="A1214" s="32" t="s">
        <v>1239</v>
      </c>
      <c r="B1214" s="34" t="s">
        <v>1404</v>
      </c>
      <c r="C1214" s="34" t="s">
        <v>1403</v>
      </c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25"/>
      <c r="X1214" s="25"/>
      <c r="Y1214" s="34"/>
      <c r="Z1214" s="34"/>
      <c r="AA1214" s="34"/>
      <c r="AB1214" s="34"/>
      <c r="AC1214" s="34"/>
      <c r="AD1214" s="34"/>
      <c r="AE1214" s="34"/>
      <c r="AF1214" s="25"/>
      <c r="AG1214" s="34"/>
      <c r="AH1214" s="34"/>
      <c r="AI1214" s="37"/>
      <c r="AJ1214" s="34"/>
      <c r="AK1214" s="34"/>
      <c r="AL1214" s="38"/>
      <c r="AM1214" s="41"/>
      <c r="AN1214" s="25"/>
      <c r="AO1214" s="40"/>
      <c r="AP1214" s="40"/>
    </row>
    <row r="1215" ht="15.0" customHeight="1">
      <c r="A1215" s="32" t="s">
        <v>1240</v>
      </c>
      <c r="B1215" s="34" t="s">
        <v>1404</v>
      </c>
      <c r="C1215" s="34" t="s">
        <v>1403</v>
      </c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25"/>
      <c r="X1215" s="25"/>
      <c r="Y1215" s="34"/>
      <c r="Z1215" s="34"/>
      <c r="AA1215" s="34"/>
      <c r="AB1215" s="34"/>
      <c r="AC1215" s="34"/>
      <c r="AD1215" s="34"/>
      <c r="AE1215" s="34"/>
      <c r="AF1215" s="25"/>
      <c r="AG1215" s="34"/>
      <c r="AH1215" s="34"/>
      <c r="AI1215" s="37"/>
      <c r="AJ1215" s="34"/>
      <c r="AK1215" s="34"/>
      <c r="AL1215" s="38"/>
      <c r="AM1215" s="41"/>
      <c r="AN1215" s="25"/>
      <c r="AO1215" s="40"/>
      <c r="AP1215" s="40"/>
    </row>
    <row r="1216" ht="15.0" customHeight="1">
      <c r="A1216" s="32" t="s">
        <v>1241</v>
      </c>
      <c r="B1216" s="34" t="s">
        <v>1404</v>
      </c>
      <c r="C1216" s="34" t="s">
        <v>1403</v>
      </c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25"/>
      <c r="X1216" s="25"/>
      <c r="Y1216" s="34"/>
      <c r="Z1216" s="34"/>
      <c r="AA1216" s="34"/>
      <c r="AB1216" s="34"/>
      <c r="AC1216" s="34"/>
      <c r="AD1216" s="34"/>
      <c r="AE1216" s="34"/>
      <c r="AF1216" s="25"/>
      <c r="AG1216" s="34"/>
      <c r="AH1216" s="34"/>
      <c r="AI1216" s="37"/>
      <c r="AJ1216" s="34"/>
      <c r="AK1216" s="34"/>
      <c r="AL1216" s="38"/>
      <c r="AM1216" s="41"/>
      <c r="AN1216" s="25"/>
      <c r="AO1216" s="40"/>
      <c r="AP1216" s="40"/>
    </row>
    <row r="1217" ht="15.0" customHeight="1">
      <c r="A1217" s="32" t="s">
        <v>1242</v>
      </c>
      <c r="B1217" s="34" t="s">
        <v>1404</v>
      </c>
      <c r="C1217" s="34" t="s">
        <v>1403</v>
      </c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25"/>
      <c r="X1217" s="25"/>
      <c r="Y1217" s="34"/>
      <c r="Z1217" s="34"/>
      <c r="AA1217" s="34"/>
      <c r="AB1217" s="34"/>
      <c r="AC1217" s="34"/>
      <c r="AD1217" s="34"/>
      <c r="AE1217" s="34"/>
      <c r="AF1217" s="25"/>
      <c r="AG1217" s="34"/>
      <c r="AH1217" s="34"/>
      <c r="AI1217" s="37"/>
      <c r="AJ1217" s="34"/>
      <c r="AK1217" s="34"/>
      <c r="AL1217" s="38"/>
      <c r="AM1217" s="41"/>
      <c r="AN1217" s="25"/>
      <c r="AO1217" s="40"/>
      <c r="AP1217" s="40"/>
    </row>
    <row r="1218" ht="15.0" customHeight="1">
      <c r="A1218" s="32" t="s">
        <v>1243</v>
      </c>
      <c r="B1218" s="34" t="s">
        <v>1404</v>
      </c>
      <c r="C1218" s="34" t="s">
        <v>1403</v>
      </c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25"/>
      <c r="X1218" s="25"/>
      <c r="Y1218" s="34"/>
      <c r="Z1218" s="34"/>
      <c r="AA1218" s="34"/>
      <c r="AB1218" s="34"/>
      <c r="AC1218" s="34"/>
      <c r="AD1218" s="34"/>
      <c r="AE1218" s="34"/>
      <c r="AF1218" s="25"/>
      <c r="AG1218" s="34"/>
      <c r="AH1218" s="34"/>
      <c r="AI1218" s="37"/>
      <c r="AJ1218" s="34"/>
      <c r="AK1218" s="34"/>
      <c r="AL1218" s="38"/>
      <c r="AM1218" s="41"/>
      <c r="AN1218" s="25"/>
      <c r="AO1218" s="40"/>
      <c r="AP1218" s="40"/>
    </row>
    <row r="1219" ht="15.0" customHeight="1">
      <c r="A1219" s="32" t="s">
        <v>1244</v>
      </c>
      <c r="B1219" s="34" t="s">
        <v>1404</v>
      </c>
      <c r="C1219" s="34" t="s">
        <v>1403</v>
      </c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25"/>
      <c r="X1219" s="25"/>
      <c r="Y1219" s="34"/>
      <c r="Z1219" s="34"/>
      <c r="AA1219" s="34"/>
      <c r="AB1219" s="34"/>
      <c r="AC1219" s="34"/>
      <c r="AD1219" s="34"/>
      <c r="AE1219" s="34"/>
      <c r="AF1219" s="25"/>
      <c r="AG1219" s="34"/>
      <c r="AH1219" s="34"/>
      <c r="AI1219" s="37"/>
      <c r="AJ1219" s="34"/>
      <c r="AK1219" s="34"/>
      <c r="AL1219" s="38"/>
      <c r="AM1219" s="41"/>
      <c r="AN1219" s="25"/>
      <c r="AO1219" s="40"/>
      <c r="AP1219" s="40"/>
    </row>
    <row r="1220" ht="15.0" customHeight="1">
      <c r="A1220" s="32" t="s">
        <v>1245</v>
      </c>
      <c r="B1220" s="34" t="s">
        <v>1404</v>
      </c>
      <c r="C1220" s="34" t="s">
        <v>1403</v>
      </c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25"/>
      <c r="X1220" s="25"/>
      <c r="Y1220" s="34"/>
      <c r="Z1220" s="34"/>
      <c r="AA1220" s="34"/>
      <c r="AB1220" s="34"/>
      <c r="AC1220" s="34"/>
      <c r="AD1220" s="34"/>
      <c r="AE1220" s="34"/>
      <c r="AF1220" s="25"/>
      <c r="AG1220" s="34"/>
      <c r="AH1220" s="34"/>
      <c r="AI1220" s="37"/>
      <c r="AJ1220" s="34"/>
      <c r="AK1220" s="34"/>
      <c r="AL1220" s="38"/>
      <c r="AM1220" s="41"/>
      <c r="AN1220" s="25"/>
      <c r="AO1220" s="40"/>
      <c r="AP1220" s="40"/>
    </row>
    <row r="1221" ht="15.0" customHeight="1">
      <c r="A1221" s="32" t="s">
        <v>1246</v>
      </c>
      <c r="B1221" s="34" t="s">
        <v>1404</v>
      </c>
      <c r="C1221" s="34" t="s">
        <v>1403</v>
      </c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25"/>
      <c r="X1221" s="25"/>
      <c r="Y1221" s="34"/>
      <c r="Z1221" s="34"/>
      <c r="AA1221" s="34"/>
      <c r="AB1221" s="34"/>
      <c r="AC1221" s="34"/>
      <c r="AD1221" s="34"/>
      <c r="AE1221" s="34"/>
      <c r="AF1221" s="25"/>
      <c r="AG1221" s="34"/>
      <c r="AH1221" s="34"/>
      <c r="AI1221" s="37"/>
      <c r="AJ1221" s="34"/>
      <c r="AK1221" s="34"/>
      <c r="AL1221" s="38"/>
      <c r="AM1221" s="41"/>
      <c r="AN1221" s="25"/>
      <c r="AO1221" s="40"/>
      <c r="AP1221" s="40"/>
    </row>
    <row r="1222" ht="15.0" customHeight="1">
      <c r="A1222" s="32" t="s">
        <v>1247</v>
      </c>
      <c r="B1222" s="34" t="s">
        <v>1404</v>
      </c>
      <c r="C1222" s="34" t="s">
        <v>1403</v>
      </c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25"/>
      <c r="X1222" s="25"/>
      <c r="Y1222" s="34"/>
      <c r="Z1222" s="34"/>
      <c r="AA1222" s="34"/>
      <c r="AB1222" s="34"/>
      <c r="AC1222" s="34"/>
      <c r="AD1222" s="34"/>
      <c r="AE1222" s="34"/>
      <c r="AF1222" s="25"/>
      <c r="AG1222" s="34"/>
      <c r="AH1222" s="34"/>
      <c r="AI1222" s="37"/>
      <c r="AJ1222" s="34"/>
      <c r="AK1222" s="34"/>
      <c r="AL1222" s="38"/>
      <c r="AM1222" s="41"/>
      <c r="AN1222" s="25"/>
      <c r="AO1222" s="40"/>
      <c r="AP1222" s="40"/>
    </row>
    <row r="1223" ht="15.0" customHeight="1">
      <c r="A1223" s="32" t="s">
        <v>1248</v>
      </c>
      <c r="B1223" s="34" t="s">
        <v>1404</v>
      </c>
      <c r="C1223" s="34" t="s">
        <v>1403</v>
      </c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25"/>
      <c r="X1223" s="25"/>
      <c r="Y1223" s="34"/>
      <c r="Z1223" s="34"/>
      <c r="AA1223" s="34"/>
      <c r="AB1223" s="34"/>
      <c r="AC1223" s="34"/>
      <c r="AD1223" s="34"/>
      <c r="AE1223" s="34"/>
      <c r="AF1223" s="25"/>
      <c r="AG1223" s="34"/>
      <c r="AH1223" s="34"/>
      <c r="AI1223" s="37"/>
      <c r="AJ1223" s="34"/>
      <c r="AK1223" s="34"/>
      <c r="AL1223" s="38"/>
      <c r="AM1223" s="41"/>
      <c r="AN1223" s="25"/>
      <c r="AO1223" s="40"/>
      <c r="AP1223" s="40"/>
    </row>
    <row r="1224" ht="15.0" customHeight="1">
      <c r="A1224" s="32" t="s">
        <v>1249</v>
      </c>
      <c r="B1224" s="34" t="s">
        <v>1404</v>
      </c>
      <c r="C1224" s="34" t="s">
        <v>1403</v>
      </c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25"/>
      <c r="X1224" s="25"/>
      <c r="Y1224" s="34"/>
      <c r="Z1224" s="34"/>
      <c r="AA1224" s="34"/>
      <c r="AB1224" s="34"/>
      <c r="AC1224" s="34"/>
      <c r="AD1224" s="34"/>
      <c r="AE1224" s="34"/>
      <c r="AF1224" s="25"/>
      <c r="AG1224" s="34"/>
      <c r="AH1224" s="34"/>
      <c r="AI1224" s="37"/>
      <c r="AJ1224" s="34"/>
      <c r="AK1224" s="34"/>
      <c r="AL1224" s="38"/>
      <c r="AM1224" s="41"/>
      <c r="AN1224" s="25"/>
      <c r="AO1224" s="40"/>
      <c r="AP1224" s="40"/>
    </row>
    <row r="1225" ht="15.0" customHeight="1">
      <c r="A1225" s="32" t="s">
        <v>1250</v>
      </c>
      <c r="B1225" s="34" t="s">
        <v>1404</v>
      </c>
      <c r="C1225" s="34" t="s">
        <v>1403</v>
      </c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25"/>
      <c r="X1225" s="25"/>
      <c r="Y1225" s="34"/>
      <c r="Z1225" s="34"/>
      <c r="AA1225" s="34"/>
      <c r="AB1225" s="34"/>
      <c r="AC1225" s="34"/>
      <c r="AD1225" s="34"/>
      <c r="AE1225" s="34"/>
      <c r="AF1225" s="25"/>
      <c r="AG1225" s="34"/>
      <c r="AH1225" s="34"/>
      <c r="AI1225" s="37"/>
      <c r="AJ1225" s="34"/>
      <c r="AK1225" s="34"/>
      <c r="AL1225" s="38"/>
      <c r="AM1225" s="41"/>
      <c r="AN1225" s="25"/>
      <c r="AO1225" s="40"/>
      <c r="AP1225" s="40"/>
    </row>
    <row r="1226" ht="15.0" customHeight="1">
      <c r="A1226" s="32" t="s">
        <v>1251</v>
      </c>
      <c r="B1226" s="34" t="s">
        <v>1404</v>
      </c>
      <c r="C1226" s="34" t="s">
        <v>1403</v>
      </c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25"/>
      <c r="X1226" s="25"/>
      <c r="Y1226" s="34"/>
      <c r="Z1226" s="34"/>
      <c r="AA1226" s="34"/>
      <c r="AB1226" s="34"/>
      <c r="AC1226" s="34"/>
      <c r="AD1226" s="34"/>
      <c r="AE1226" s="34"/>
      <c r="AF1226" s="25"/>
      <c r="AG1226" s="34"/>
      <c r="AH1226" s="34"/>
      <c r="AI1226" s="37"/>
      <c r="AJ1226" s="34"/>
      <c r="AK1226" s="34"/>
      <c r="AL1226" s="38"/>
      <c r="AM1226" s="41"/>
      <c r="AN1226" s="25"/>
      <c r="AO1226" s="40"/>
      <c r="AP1226" s="40"/>
    </row>
    <row r="1227" ht="15.0" customHeight="1">
      <c r="A1227" s="32" t="s">
        <v>1252</v>
      </c>
      <c r="B1227" s="34" t="s">
        <v>1404</v>
      </c>
      <c r="C1227" s="34" t="s">
        <v>1403</v>
      </c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25"/>
      <c r="X1227" s="25"/>
      <c r="Y1227" s="34"/>
      <c r="Z1227" s="34"/>
      <c r="AA1227" s="34"/>
      <c r="AB1227" s="34"/>
      <c r="AC1227" s="34"/>
      <c r="AD1227" s="34"/>
      <c r="AE1227" s="34"/>
      <c r="AF1227" s="25"/>
      <c r="AG1227" s="34"/>
      <c r="AH1227" s="34"/>
      <c r="AI1227" s="37"/>
      <c r="AJ1227" s="34"/>
      <c r="AK1227" s="34"/>
      <c r="AL1227" s="38"/>
      <c r="AM1227" s="41"/>
      <c r="AN1227" s="25"/>
      <c r="AO1227" s="40"/>
      <c r="AP1227" s="40"/>
    </row>
    <row r="1228" ht="15.0" customHeight="1">
      <c r="A1228" s="32" t="s">
        <v>1253</v>
      </c>
      <c r="B1228" s="34" t="s">
        <v>1404</v>
      </c>
      <c r="C1228" s="34" t="s">
        <v>1403</v>
      </c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25"/>
      <c r="X1228" s="25"/>
      <c r="Y1228" s="34"/>
      <c r="Z1228" s="34"/>
      <c r="AA1228" s="34"/>
      <c r="AB1228" s="34"/>
      <c r="AC1228" s="34"/>
      <c r="AD1228" s="34"/>
      <c r="AE1228" s="34"/>
      <c r="AF1228" s="25"/>
      <c r="AG1228" s="34"/>
      <c r="AH1228" s="34"/>
      <c r="AI1228" s="37"/>
      <c r="AJ1228" s="34"/>
      <c r="AK1228" s="34"/>
      <c r="AL1228" s="38"/>
      <c r="AM1228" s="41"/>
      <c r="AN1228" s="25"/>
      <c r="AO1228" s="40"/>
      <c r="AP1228" s="40"/>
    </row>
    <row r="1229" ht="15.0" customHeight="1">
      <c r="A1229" s="32" t="s">
        <v>1254</v>
      </c>
      <c r="B1229" s="34" t="s">
        <v>1404</v>
      </c>
      <c r="C1229" s="34" t="s">
        <v>1403</v>
      </c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25"/>
      <c r="X1229" s="25"/>
      <c r="Y1229" s="34"/>
      <c r="Z1229" s="34"/>
      <c r="AA1229" s="34"/>
      <c r="AB1229" s="34"/>
      <c r="AC1229" s="34"/>
      <c r="AD1229" s="34"/>
      <c r="AE1229" s="34"/>
      <c r="AF1229" s="25"/>
      <c r="AG1229" s="34"/>
      <c r="AH1229" s="34"/>
      <c r="AI1229" s="37"/>
      <c r="AJ1229" s="34"/>
      <c r="AK1229" s="34"/>
      <c r="AL1229" s="38"/>
      <c r="AM1229" s="41"/>
      <c r="AN1229" s="25"/>
      <c r="AO1229" s="40"/>
      <c r="AP1229" s="40"/>
    </row>
    <row r="1230" ht="15.0" customHeight="1">
      <c r="A1230" s="32" t="s">
        <v>1255</v>
      </c>
      <c r="B1230" s="34" t="s">
        <v>1404</v>
      </c>
      <c r="C1230" s="34" t="s">
        <v>1403</v>
      </c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25"/>
      <c r="X1230" s="25"/>
      <c r="Y1230" s="34"/>
      <c r="Z1230" s="34"/>
      <c r="AA1230" s="34"/>
      <c r="AB1230" s="34"/>
      <c r="AC1230" s="34"/>
      <c r="AD1230" s="34"/>
      <c r="AE1230" s="34"/>
      <c r="AF1230" s="25"/>
      <c r="AG1230" s="34"/>
      <c r="AH1230" s="34"/>
      <c r="AI1230" s="37"/>
      <c r="AJ1230" s="34"/>
      <c r="AK1230" s="34"/>
      <c r="AL1230" s="38"/>
      <c r="AM1230" s="41"/>
      <c r="AN1230" s="25"/>
      <c r="AO1230" s="40"/>
      <c r="AP1230" s="40"/>
    </row>
    <row r="1231" ht="15.0" customHeight="1">
      <c r="A1231" s="32" t="s">
        <v>1256</v>
      </c>
      <c r="B1231" s="34" t="s">
        <v>1404</v>
      </c>
      <c r="C1231" s="34" t="s">
        <v>1403</v>
      </c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25"/>
      <c r="X1231" s="25"/>
      <c r="Y1231" s="34"/>
      <c r="Z1231" s="34"/>
      <c r="AA1231" s="34"/>
      <c r="AB1231" s="34"/>
      <c r="AC1231" s="34"/>
      <c r="AD1231" s="34"/>
      <c r="AE1231" s="34"/>
      <c r="AF1231" s="25"/>
      <c r="AG1231" s="34"/>
      <c r="AH1231" s="34"/>
      <c r="AI1231" s="37"/>
      <c r="AJ1231" s="34"/>
      <c r="AK1231" s="34"/>
      <c r="AL1231" s="38"/>
      <c r="AM1231" s="41"/>
      <c r="AN1231" s="25"/>
      <c r="AO1231" s="40"/>
      <c r="AP1231" s="40"/>
    </row>
    <row r="1232" ht="15.0" customHeight="1">
      <c r="A1232" s="32" t="s">
        <v>1257</v>
      </c>
      <c r="B1232" s="34" t="s">
        <v>1404</v>
      </c>
      <c r="C1232" s="34" t="s">
        <v>1403</v>
      </c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25"/>
      <c r="X1232" s="25"/>
      <c r="Y1232" s="34"/>
      <c r="Z1232" s="34"/>
      <c r="AA1232" s="34"/>
      <c r="AB1232" s="34"/>
      <c r="AC1232" s="34"/>
      <c r="AD1232" s="34"/>
      <c r="AE1232" s="34"/>
      <c r="AF1232" s="25"/>
      <c r="AG1232" s="34"/>
      <c r="AH1232" s="34"/>
      <c r="AI1232" s="37"/>
      <c r="AJ1232" s="34"/>
      <c r="AK1232" s="34"/>
      <c r="AL1232" s="38"/>
      <c r="AM1232" s="41"/>
      <c r="AN1232" s="25"/>
      <c r="AO1232" s="40"/>
      <c r="AP1232" s="40"/>
    </row>
    <row r="1233" ht="15.0" customHeight="1">
      <c r="A1233" s="32" t="s">
        <v>1258</v>
      </c>
      <c r="B1233" s="34" t="s">
        <v>1404</v>
      </c>
      <c r="C1233" s="34" t="s">
        <v>1403</v>
      </c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25"/>
      <c r="X1233" s="25"/>
      <c r="Y1233" s="34"/>
      <c r="Z1233" s="34"/>
      <c r="AA1233" s="34"/>
      <c r="AB1233" s="34"/>
      <c r="AC1233" s="34"/>
      <c r="AD1233" s="34"/>
      <c r="AE1233" s="34"/>
      <c r="AF1233" s="25"/>
      <c r="AG1233" s="34"/>
      <c r="AH1233" s="34"/>
      <c r="AI1233" s="37"/>
      <c r="AJ1233" s="34"/>
      <c r="AK1233" s="34"/>
      <c r="AL1233" s="38"/>
      <c r="AM1233" s="41"/>
      <c r="AN1233" s="25"/>
      <c r="AO1233" s="40"/>
      <c r="AP1233" s="40"/>
    </row>
    <row r="1234" ht="15.0" customHeight="1">
      <c r="A1234" s="32" t="s">
        <v>1259</v>
      </c>
      <c r="B1234" s="34" t="s">
        <v>1404</v>
      </c>
      <c r="C1234" s="34" t="s">
        <v>1403</v>
      </c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25"/>
      <c r="X1234" s="25"/>
      <c r="Y1234" s="34"/>
      <c r="Z1234" s="34"/>
      <c r="AA1234" s="34"/>
      <c r="AB1234" s="34"/>
      <c r="AC1234" s="34"/>
      <c r="AD1234" s="34"/>
      <c r="AE1234" s="34"/>
      <c r="AF1234" s="25"/>
      <c r="AG1234" s="34"/>
      <c r="AH1234" s="34"/>
      <c r="AI1234" s="37"/>
      <c r="AJ1234" s="34"/>
      <c r="AK1234" s="34"/>
      <c r="AL1234" s="38"/>
      <c r="AM1234" s="41"/>
      <c r="AN1234" s="25"/>
      <c r="AO1234" s="40"/>
      <c r="AP1234" s="40"/>
    </row>
    <row r="1235" ht="15.0" customHeight="1">
      <c r="A1235" s="32" t="s">
        <v>1260</v>
      </c>
      <c r="B1235" s="34" t="s">
        <v>1404</v>
      </c>
      <c r="C1235" s="34" t="s">
        <v>1403</v>
      </c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25"/>
      <c r="X1235" s="25"/>
      <c r="Y1235" s="34"/>
      <c r="Z1235" s="34"/>
      <c r="AA1235" s="34"/>
      <c r="AB1235" s="34"/>
      <c r="AC1235" s="34"/>
      <c r="AD1235" s="34"/>
      <c r="AE1235" s="34"/>
      <c r="AF1235" s="25"/>
      <c r="AG1235" s="34"/>
      <c r="AH1235" s="34"/>
      <c r="AI1235" s="37"/>
      <c r="AJ1235" s="34"/>
      <c r="AK1235" s="34"/>
      <c r="AL1235" s="38"/>
      <c r="AM1235" s="41"/>
      <c r="AN1235" s="25"/>
      <c r="AO1235" s="40"/>
      <c r="AP1235" s="40"/>
    </row>
    <row r="1236" ht="15.0" customHeight="1">
      <c r="A1236" s="32" t="s">
        <v>1261</v>
      </c>
      <c r="B1236" s="34" t="s">
        <v>1404</v>
      </c>
      <c r="C1236" s="34" t="s">
        <v>1403</v>
      </c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25"/>
      <c r="X1236" s="25"/>
      <c r="Y1236" s="34"/>
      <c r="Z1236" s="34"/>
      <c r="AA1236" s="34"/>
      <c r="AB1236" s="34"/>
      <c r="AC1236" s="34"/>
      <c r="AD1236" s="34"/>
      <c r="AE1236" s="34"/>
      <c r="AF1236" s="25"/>
      <c r="AG1236" s="34"/>
      <c r="AH1236" s="34"/>
      <c r="AI1236" s="37"/>
      <c r="AJ1236" s="34"/>
      <c r="AK1236" s="34"/>
      <c r="AL1236" s="38"/>
      <c r="AM1236" s="41"/>
      <c r="AN1236" s="25"/>
      <c r="AO1236" s="40"/>
      <c r="AP1236" s="40"/>
    </row>
    <row r="1237" ht="15.0" customHeight="1">
      <c r="A1237" s="32" t="s">
        <v>1262</v>
      </c>
      <c r="B1237" s="34" t="s">
        <v>1404</v>
      </c>
      <c r="C1237" s="34" t="s">
        <v>1403</v>
      </c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25"/>
      <c r="X1237" s="25"/>
      <c r="Y1237" s="34"/>
      <c r="Z1237" s="34"/>
      <c r="AA1237" s="34"/>
      <c r="AB1237" s="34"/>
      <c r="AC1237" s="34"/>
      <c r="AD1237" s="34"/>
      <c r="AE1237" s="34"/>
      <c r="AF1237" s="25"/>
      <c r="AG1237" s="34"/>
      <c r="AH1237" s="34"/>
      <c r="AI1237" s="37"/>
      <c r="AJ1237" s="34"/>
      <c r="AK1237" s="34"/>
      <c r="AL1237" s="38"/>
      <c r="AM1237" s="41"/>
      <c r="AN1237" s="25"/>
      <c r="AO1237" s="40"/>
      <c r="AP1237" s="40"/>
    </row>
    <row r="1238" ht="15.0" customHeight="1">
      <c r="A1238" s="32" t="s">
        <v>1263</v>
      </c>
      <c r="B1238" s="34" t="s">
        <v>1404</v>
      </c>
      <c r="C1238" s="34" t="s">
        <v>1403</v>
      </c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25"/>
      <c r="X1238" s="25"/>
      <c r="Y1238" s="34"/>
      <c r="Z1238" s="34"/>
      <c r="AA1238" s="34"/>
      <c r="AB1238" s="34"/>
      <c r="AC1238" s="34"/>
      <c r="AD1238" s="34"/>
      <c r="AE1238" s="34"/>
      <c r="AF1238" s="25"/>
      <c r="AG1238" s="34"/>
      <c r="AH1238" s="34"/>
      <c r="AI1238" s="37"/>
      <c r="AJ1238" s="34"/>
      <c r="AK1238" s="34"/>
      <c r="AL1238" s="38"/>
      <c r="AM1238" s="41"/>
      <c r="AN1238" s="25"/>
      <c r="AO1238" s="40"/>
      <c r="AP1238" s="40"/>
    </row>
    <row r="1239" ht="15.0" customHeight="1">
      <c r="A1239" s="32" t="s">
        <v>1264</v>
      </c>
      <c r="B1239" s="34" t="s">
        <v>1404</v>
      </c>
      <c r="C1239" s="34" t="s">
        <v>1403</v>
      </c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25"/>
      <c r="X1239" s="25"/>
      <c r="Y1239" s="34"/>
      <c r="Z1239" s="34"/>
      <c r="AA1239" s="34"/>
      <c r="AB1239" s="34"/>
      <c r="AC1239" s="34"/>
      <c r="AD1239" s="34"/>
      <c r="AE1239" s="34"/>
      <c r="AF1239" s="25"/>
      <c r="AG1239" s="34"/>
      <c r="AH1239" s="34"/>
      <c r="AI1239" s="37"/>
      <c r="AJ1239" s="34"/>
      <c r="AK1239" s="34"/>
      <c r="AL1239" s="38"/>
      <c r="AM1239" s="41"/>
      <c r="AN1239" s="25"/>
      <c r="AO1239" s="40"/>
      <c r="AP1239" s="40"/>
    </row>
    <row r="1240" ht="15.0" customHeight="1">
      <c r="A1240" s="32" t="s">
        <v>1265</v>
      </c>
      <c r="B1240" s="34" t="s">
        <v>1404</v>
      </c>
      <c r="C1240" s="34" t="s">
        <v>1403</v>
      </c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25"/>
      <c r="X1240" s="25"/>
      <c r="Y1240" s="34"/>
      <c r="Z1240" s="34"/>
      <c r="AA1240" s="34"/>
      <c r="AB1240" s="34"/>
      <c r="AC1240" s="34"/>
      <c r="AD1240" s="34"/>
      <c r="AE1240" s="34"/>
      <c r="AF1240" s="25"/>
      <c r="AG1240" s="34"/>
      <c r="AH1240" s="34"/>
      <c r="AI1240" s="37"/>
      <c r="AJ1240" s="34"/>
      <c r="AK1240" s="34"/>
      <c r="AL1240" s="38"/>
      <c r="AM1240" s="41"/>
      <c r="AN1240" s="25"/>
      <c r="AO1240" s="40"/>
      <c r="AP1240" s="40"/>
    </row>
    <row r="1241" ht="15.0" customHeight="1">
      <c r="A1241" s="32" t="s">
        <v>1266</v>
      </c>
      <c r="B1241" s="34" t="s">
        <v>1404</v>
      </c>
      <c r="C1241" s="34" t="s">
        <v>1403</v>
      </c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25"/>
      <c r="X1241" s="25"/>
      <c r="Y1241" s="34"/>
      <c r="Z1241" s="34"/>
      <c r="AA1241" s="34"/>
      <c r="AB1241" s="34"/>
      <c r="AC1241" s="34"/>
      <c r="AD1241" s="34"/>
      <c r="AE1241" s="34"/>
      <c r="AF1241" s="25"/>
      <c r="AG1241" s="34"/>
      <c r="AH1241" s="34"/>
      <c r="AI1241" s="37"/>
      <c r="AJ1241" s="34"/>
      <c r="AK1241" s="34"/>
      <c r="AL1241" s="38"/>
      <c r="AM1241" s="41"/>
      <c r="AN1241" s="25"/>
      <c r="AO1241" s="40"/>
      <c r="AP1241" s="40"/>
    </row>
    <row r="1242" ht="15.0" customHeight="1">
      <c r="A1242" s="32" t="s">
        <v>1267</v>
      </c>
      <c r="B1242" s="34" t="s">
        <v>1404</v>
      </c>
      <c r="C1242" s="34" t="s">
        <v>1403</v>
      </c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25"/>
      <c r="X1242" s="25"/>
      <c r="Y1242" s="34"/>
      <c r="Z1242" s="34"/>
      <c r="AA1242" s="34"/>
      <c r="AB1242" s="34"/>
      <c r="AC1242" s="34"/>
      <c r="AD1242" s="34"/>
      <c r="AE1242" s="34"/>
      <c r="AF1242" s="25"/>
      <c r="AG1242" s="34"/>
      <c r="AH1242" s="34"/>
      <c r="AI1242" s="37"/>
      <c r="AJ1242" s="34"/>
      <c r="AK1242" s="34"/>
      <c r="AL1242" s="38"/>
      <c r="AM1242" s="41"/>
      <c r="AN1242" s="25"/>
      <c r="AO1242" s="40"/>
      <c r="AP1242" s="40"/>
    </row>
    <row r="1243" ht="15.0" customHeight="1">
      <c r="A1243" s="32" t="s">
        <v>1268</v>
      </c>
      <c r="B1243" s="34" t="s">
        <v>1404</v>
      </c>
      <c r="C1243" s="34" t="s">
        <v>1403</v>
      </c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25"/>
      <c r="X1243" s="25"/>
      <c r="Y1243" s="34"/>
      <c r="Z1243" s="34"/>
      <c r="AA1243" s="34"/>
      <c r="AB1243" s="34"/>
      <c r="AC1243" s="34"/>
      <c r="AD1243" s="34"/>
      <c r="AE1243" s="34"/>
      <c r="AF1243" s="25"/>
      <c r="AG1243" s="34"/>
      <c r="AH1243" s="34"/>
      <c r="AI1243" s="37"/>
      <c r="AJ1243" s="34"/>
      <c r="AK1243" s="34"/>
      <c r="AL1243" s="38"/>
      <c r="AM1243" s="41"/>
      <c r="AN1243" s="25"/>
      <c r="AO1243" s="40"/>
      <c r="AP1243" s="40"/>
    </row>
    <row r="1244" ht="15.0" customHeight="1">
      <c r="A1244" s="32" t="s">
        <v>1269</v>
      </c>
      <c r="B1244" s="34" t="s">
        <v>1404</v>
      </c>
      <c r="C1244" s="34" t="s">
        <v>1403</v>
      </c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25"/>
      <c r="X1244" s="25"/>
      <c r="Y1244" s="34"/>
      <c r="Z1244" s="34"/>
      <c r="AA1244" s="34"/>
      <c r="AB1244" s="34"/>
      <c r="AC1244" s="34"/>
      <c r="AD1244" s="34"/>
      <c r="AE1244" s="34"/>
      <c r="AF1244" s="25"/>
      <c r="AG1244" s="34"/>
      <c r="AH1244" s="34"/>
      <c r="AI1244" s="37"/>
      <c r="AJ1244" s="34"/>
      <c r="AK1244" s="34"/>
      <c r="AL1244" s="38"/>
      <c r="AM1244" s="41"/>
      <c r="AN1244" s="25"/>
      <c r="AO1244" s="40"/>
      <c r="AP1244" s="40"/>
    </row>
    <row r="1245" ht="15.0" customHeight="1">
      <c r="A1245" s="32" t="s">
        <v>1270</v>
      </c>
      <c r="B1245" s="34" t="s">
        <v>1404</v>
      </c>
      <c r="C1245" s="34" t="s">
        <v>1403</v>
      </c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25"/>
      <c r="X1245" s="25"/>
      <c r="Y1245" s="34"/>
      <c r="Z1245" s="34"/>
      <c r="AA1245" s="34"/>
      <c r="AB1245" s="34"/>
      <c r="AC1245" s="34"/>
      <c r="AD1245" s="34"/>
      <c r="AE1245" s="34"/>
      <c r="AF1245" s="25"/>
      <c r="AG1245" s="34"/>
      <c r="AH1245" s="34"/>
      <c r="AI1245" s="37"/>
      <c r="AJ1245" s="34"/>
      <c r="AK1245" s="34"/>
      <c r="AL1245" s="38"/>
      <c r="AM1245" s="41"/>
      <c r="AN1245" s="25"/>
      <c r="AO1245" s="40"/>
      <c r="AP1245" s="40"/>
    </row>
    <row r="1246" ht="15.0" customHeight="1">
      <c r="A1246" s="32" t="s">
        <v>1271</v>
      </c>
      <c r="B1246" s="34" t="s">
        <v>1404</v>
      </c>
      <c r="C1246" s="34" t="s">
        <v>1403</v>
      </c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25"/>
      <c r="X1246" s="25"/>
      <c r="Y1246" s="34"/>
      <c r="Z1246" s="34"/>
      <c r="AA1246" s="34"/>
      <c r="AB1246" s="34"/>
      <c r="AC1246" s="34"/>
      <c r="AD1246" s="34"/>
      <c r="AE1246" s="34"/>
      <c r="AF1246" s="25"/>
      <c r="AG1246" s="34"/>
      <c r="AH1246" s="34"/>
      <c r="AI1246" s="37"/>
      <c r="AJ1246" s="34"/>
      <c r="AK1246" s="34"/>
      <c r="AL1246" s="38"/>
      <c r="AM1246" s="41"/>
      <c r="AN1246" s="25"/>
      <c r="AO1246" s="40"/>
      <c r="AP1246" s="40"/>
    </row>
    <row r="1247" ht="15.0" customHeight="1">
      <c r="A1247" s="32" t="s">
        <v>1272</v>
      </c>
      <c r="B1247" s="34" t="s">
        <v>1404</v>
      </c>
      <c r="C1247" s="34" t="s">
        <v>1403</v>
      </c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25"/>
      <c r="X1247" s="25"/>
      <c r="Y1247" s="34"/>
      <c r="Z1247" s="34"/>
      <c r="AA1247" s="34"/>
      <c r="AB1247" s="34"/>
      <c r="AC1247" s="34"/>
      <c r="AD1247" s="34"/>
      <c r="AE1247" s="34"/>
      <c r="AF1247" s="25"/>
      <c r="AG1247" s="34"/>
      <c r="AH1247" s="34"/>
      <c r="AI1247" s="37"/>
      <c r="AJ1247" s="34"/>
      <c r="AK1247" s="34"/>
      <c r="AL1247" s="38"/>
      <c r="AM1247" s="41"/>
      <c r="AN1247" s="25"/>
      <c r="AO1247" s="40"/>
      <c r="AP1247" s="40"/>
    </row>
    <row r="1248" ht="15.0" customHeight="1">
      <c r="A1248" s="32" t="s">
        <v>1273</v>
      </c>
      <c r="B1248" s="34" t="s">
        <v>1404</v>
      </c>
      <c r="C1248" s="34" t="s">
        <v>1403</v>
      </c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25"/>
      <c r="X1248" s="25"/>
      <c r="Y1248" s="34"/>
      <c r="Z1248" s="34"/>
      <c r="AA1248" s="34"/>
      <c r="AB1248" s="34"/>
      <c r="AC1248" s="34"/>
      <c r="AD1248" s="34"/>
      <c r="AE1248" s="34"/>
      <c r="AF1248" s="25"/>
      <c r="AG1248" s="34"/>
      <c r="AH1248" s="34"/>
      <c r="AI1248" s="37"/>
      <c r="AJ1248" s="34"/>
      <c r="AK1248" s="34"/>
      <c r="AL1248" s="38"/>
      <c r="AM1248" s="41"/>
      <c r="AN1248" s="25"/>
      <c r="AO1248" s="40"/>
      <c r="AP1248" s="40"/>
    </row>
    <row r="1249" ht="15.0" customHeight="1">
      <c r="A1249" s="32" t="s">
        <v>1274</v>
      </c>
      <c r="B1249" s="34" t="s">
        <v>1404</v>
      </c>
      <c r="C1249" s="34" t="s">
        <v>1403</v>
      </c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25"/>
      <c r="X1249" s="25"/>
      <c r="Y1249" s="34"/>
      <c r="Z1249" s="34"/>
      <c r="AA1249" s="34"/>
      <c r="AB1249" s="34"/>
      <c r="AC1249" s="34"/>
      <c r="AD1249" s="34"/>
      <c r="AE1249" s="34"/>
      <c r="AF1249" s="25"/>
      <c r="AG1249" s="34"/>
      <c r="AH1249" s="34"/>
      <c r="AI1249" s="37"/>
      <c r="AJ1249" s="34"/>
      <c r="AK1249" s="34"/>
      <c r="AL1249" s="38"/>
      <c r="AM1249" s="41"/>
      <c r="AN1249" s="25"/>
      <c r="AO1249" s="40"/>
      <c r="AP1249" s="40"/>
    </row>
    <row r="1250" ht="15.0" customHeight="1">
      <c r="A1250" s="32" t="s">
        <v>1275</v>
      </c>
      <c r="B1250" s="34" t="s">
        <v>1404</v>
      </c>
      <c r="C1250" s="34" t="s">
        <v>1403</v>
      </c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25"/>
      <c r="X1250" s="25"/>
      <c r="Y1250" s="34"/>
      <c r="Z1250" s="34"/>
      <c r="AA1250" s="34"/>
      <c r="AB1250" s="34"/>
      <c r="AC1250" s="34"/>
      <c r="AD1250" s="34"/>
      <c r="AE1250" s="34"/>
      <c r="AF1250" s="25"/>
      <c r="AG1250" s="34"/>
      <c r="AH1250" s="34"/>
      <c r="AI1250" s="37"/>
      <c r="AJ1250" s="34"/>
      <c r="AK1250" s="34"/>
      <c r="AL1250" s="38"/>
      <c r="AM1250" s="41"/>
      <c r="AN1250" s="25"/>
      <c r="AO1250" s="40"/>
      <c r="AP1250" s="40"/>
    </row>
    <row r="1251" ht="15.0" customHeight="1">
      <c r="A1251" s="32" t="s">
        <v>1276</v>
      </c>
      <c r="B1251" s="34" t="s">
        <v>1404</v>
      </c>
      <c r="C1251" s="34" t="s">
        <v>1403</v>
      </c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25"/>
      <c r="X1251" s="25"/>
      <c r="Y1251" s="34"/>
      <c r="Z1251" s="34"/>
      <c r="AA1251" s="34"/>
      <c r="AB1251" s="34"/>
      <c r="AC1251" s="34"/>
      <c r="AD1251" s="34"/>
      <c r="AE1251" s="34"/>
      <c r="AF1251" s="25"/>
      <c r="AG1251" s="34"/>
      <c r="AH1251" s="34"/>
      <c r="AI1251" s="37"/>
      <c r="AJ1251" s="34"/>
      <c r="AK1251" s="34"/>
      <c r="AL1251" s="38"/>
      <c r="AM1251" s="41"/>
      <c r="AN1251" s="25"/>
      <c r="AO1251" s="40"/>
      <c r="AP1251" s="40"/>
    </row>
    <row r="1252" ht="15.0" customHeight="1">
      <c r="A1252" s="32" t="s">
        <v>1277</v>
      </c>
      <c r="B1252" s="34" t="s">
        <v>1404</v>
      </c>
      <c r="C1252" s="34" t="s">
        <v>1403</v>
      </c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25"/>
      <c r="X1252" s="25"/>
      <c r="Y1252" s="34"/>
      <c r="Z1252" s="34"/>
      <c r="AA1252" s="34"/>
      <c r="AB1252" s="34"/>
      <c r="AC1252" s="34"/>
      <c r="AD1252" s="34"/>
      <c r="AE1252" s="34"/>
      <c r="AF1252" s="25"/>
      <c r="AG1252" s="34"/>
      <c r="AH1252" s="34"/>
      <c r="AI1252" s="37"/>
      <c r="AJ1252" s="34"/>
      <c r="AK1252" s="34"/>
      <c r="AL1252" s="38"/>
      <c r="AM1252" s="41"/>
      <c r="AN1252" s="25"/>
      <c r="AO1252" s="40"/>
      <c r="AP1252" s="40"/>
    </row>
    <row r="1253" ht="15.0" customHeight="1">
      <c r="A1253" s="32" t="s">
        <v>1278</v>
      </c>
      <c r="B1253" s="34" t="s">
        <v>1404</v>
      </c>
      <c r="C1253" s="34" t="s">
        <v>1403</v>
      </c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25"/>
      <c r="X1253" s="25"/>
      <c r="Y1253" s="34"/>
      <c r="Z1253" s="34"/>
      <c r="AA1253" s="34"/>
      <c r="AB1253" s="34"/>
      <c r="AC1253" s="34"/>
      <c r="AD1253" s="34"/>
      <c r="AE1253" s="34"/>
      <c r="AF1253" s="25"/>
      <c r="AG1253" s="34"/>
      <c r="AH1253" s="34"/>
      <c r="AI1253" s="37"/>
      <c r="AJ1253" s="34"/>
      <c r="AK1253" s="34"/>
      <c r="AL1253" s="38"/>
      <c r="AM1253" s="41"/>
      <c r="AN1253" s="25"/>
      <c r="AO1253" s="40"/>
      <c r="AP1253" s="40"/>
    </row>
    <row r="1254" ht="15.0" customHeight="1">
      <c r="A1254" s="32" t="s">
        <v>1279</v>
      </c>
      <c r="B1254" s="34" t="s">
        <v>1404</v>
      </c>
      <c r="C1254" s="34" t="s">
        <v>1403</v>
      </c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25"/>
      <c r="X1254" s="25"/>
      <c r="Y1254" s="34"/>
      <c r="Z1254" s="34"/>
      <c r="AA1254" s="34"/>
      <c r="AB1254" s="34"/>
      <c r="AC1254" s="34"/>
      <c r="AD1254" s="34"/>
      <c r="AE1254" s="34"/>
      <c r="AF1254" s="25"/>
      <c r="AG1254" s="34"/>
      <c r="AH1254" s="34"/>
      <c r="AI1254" s="37"/>
      <c r="AJ1254" s="34"/>
      <c r="AK1254" s="34"/>
      <c r="AL1254" s="38"/>
      <c r="AM1254" s="41"/>
      <c r="AN1254" s="25"/>
      <c r="AO1254" s="40"/>
      <c r="AP1254" s="40"/>
    </row>
    <row r="1255" ht="15.0" customHeight="1">
      <c r="A1255" s="32" t="s">
        <v>1280</v>
      </c>
      <c r="B1255" s="34" t="s">
        <v>1404</v>
      </c>
      <c r="C1255" s="34" t="s">
        <v>1403</v>
      </c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25"/>
      <c r="X1255" s="25"/>
      <c r="Y1255" s="34"/>
      <c r="Z1255" s="34"/>
      <c r="AA1255" s="34"/>
      <c r="AB1255" s="34"/>
      <c r="AC1255" s="34"/>
      <c r="AD1255" s="34"/>
      <c r="AE1255" s="34"/>
      <c r="AF1255" s="25"/>
      <c r="AG1255" s="34"/>
      <c r="AH1255" s="34"/>
      <c r="AI1255" s="37"/>
      <c r="AJ1255" s="34"/>
      <c r="AK1255" s="34"/>
      <c r="AL1255" s="38"/>
      <c r="AM1255" s="41"/>
      <c r="AN1255" s="25"/>
      <c r="AO1255" s="40"/>
      <c r="AP1255" s="40"/>
    </row>
    <row r="1256" ht="15.0" customHeight="1">
      <c r="A1256" s="32" t="s">
        <v>1281</v>
      </c>
      <c r="B1256" s="34" t="s">
        <v>1404</v>
      </c>
      <c r="C1256" s="34" t="s">
        <v>1403</v>
      </c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25"/>
      <c r="X1256" s="25"/>
      <c r="Y1256" s="34"/>
      <c r="Z1256" s="34"/>
      <c r="AA1256" s="34"/>
      <c r="AB1256" s="34"/>
      <c r="AC1256" s="34"/>
      <c r="AD1256" s="34"/>
      <c r="AE1256" s="34"/>
      <c r="AF1256" s="25"/>
      <c r="AG1256" s="34"/>
      <c r="AH1256" s="34"/>
      <c r="AI1256" s="37"/>
      <c r="AJ1256" s="34"/>
      <c r="AK1256" s="34"/>
      <c r="AL1256" s="38"/>
      <c r="AM1256" s="41"/>
      <c r="AN1256" s="25"/>
      <c r="AO1256" s="40"/>
      <c r="AP1256" s="40"/>
    </row>
    <row r="1257" ht="15.0" customHeight="1">
      <c r="A1257" s="32" t="s">
        <v>1282</v>
      </c>
      <c r="B1257" s="34" t="s">
        <v>1404</v>
      </c>
      <c r="C1257" s="34" t="s">
        <v>1403</v>
      </c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25"/>
      <c r="X1257" s="25"/>
      <c r="Y1257" s="34"/>
      <c r="Z1257" s="34"/>
      <c r="AA1257" s="34"/>
      <c r="AB1257" s="34"/>
      <c r="AC1257" s="34"/>
      <c r="AD1257" s="34"/>
      <c r="AE1257" s="34"/>
      <c r="AF1257" s="25"/>
      <c r="AG1257" s="34"/>
      <c r="AH1257" s="34"/>
      <c r="AI1257" s="37"/>
      <c r="AJ1257" s="34"/>
      <c r="AK1257" s="34"/>
      <c r="AL1257" s="38"/>
      <c r="AM1257" s="41"/>
      <c r="AN1257" s="25"/>
      <c r="AO1257" s="40"/>
      <c r="AP1257" s="40"/>
    </row>
    <row r="1258" ht="15.0" customHeight="1">
      <c r="A1258" s="32" t="s">
        <v>1283</v>
      </c>
      <c r="B1258" s="34" t="s">
        <v>1404</v>
      </c>
      <c r="C1258" s="34" t="s">
        <v>1403</v>
      </c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25"/>
      <c r="X1258" s="25"/>
      <c r="Y1258" s="34"/>
      <c r="Z1258" s="34"/>
      <c r="AA1258" s="34"/>
      <c r="AB1258" s="34"/>
      <c r="AC1258" s="34"/>
      <c r="AD1258" s="34"/>
      <c r="AE1258" s="34"/>
      <c r="AF1258" s="25"/>
      <c r="AG1258" s="34"/>
      <c r="AH1258" s="34"/>
      <c r="AI1258" s="37"/>
      <c r="AJ1258" s="34"/>
      <c r="AK1258" s="34"/>
      <c r="AL1258" s="38"/>
      <c r="AM1258" s="41"/>
      <c r="AN1258" s="25"/>
      <c r="AO1258" s="40"/>
      <c r="AP1258" s="40"/>
    </row>
    <row r="1259" ht="15.0" customHeight="1">
      <c r="A1259" s="32" t="s">
        <v>1284</v>
      </c>
      <c r="B1259" s="34" t="s">
        <v>1404</v>
      </c>
      <c r="C1259" s="34" t="s">
        <v>1403</v>
      </c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25"/>
      <c r="X1259" s="25"/>
      <c r="Y1259" s="34"/>
      <c r="Z1259" s="34"/>
      <c r="AA1259" s="34"/>
      <c r="AB1259" s="34"/>
      <c r="AC1259" s="34"/>
      <c r="AD1259" s="34"/>
      <c r="AE1259" s="34"/>
      <c r="AF1259" s="25"/>
      <c r="AG1259" s="34"/>
      <c r="AH1259" s="34"/>
      <c r="AI1259" s="37"/>
      <c r="AJ1259" s="34"/>
      <c r="AK1259" s="34"/>
      <c r="AL1259" s="38"/>
      <c r="AM1259" s="41"/>
      <c r="AN1259" s="25"/>
      <c r="AO1259" s="40"/>
      <c r="AP1259" s="40"/>
    </row>
    <row r="1260" ht="15.0" customHeight="1">
      <c r="A1260" s="32" t="s">
        <v>1285</v>
      </c>
      <c r="B1260" s="34" t="s">
        <v>1404</v>
      </c>
      <c r="C1260" s="34" t="s">
        <v>1403</v>
      </c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25"/>
      <c r="X1260" s="25"/>
      <c r="Y1260" s="34"/>
      <c r="Z1260" s="34"/>
      <c r="AA1260" s="34"/>
      <c r="AB1260" s="34"/>
      <c r="AC1260" s="34"/>
      <c r="AD1260" s="34"/>
      <c r="AE1260" s="34"/>
      <c r="AF1260" s="25"/>
      <c r="AG1260" s="34"/>
      <c r="AH1260" s="34"/>
      <c r="AI1260" s="37"/>
      <c r="AJ1260" s="34"/>
      <c r="AK1260" s="34"/>
      <c r="AL1260" s="38"/>
      <c r="AM1260" s="41"/>
      <c r="AN1260" s="25"/>
      <c r="AO1260" s="40"/>
      <c r="AP1260" s="40"/>
    </row>
    <row r="1261" ht="15.0" customHeight="1">
      <c r="A1261" s="32" t="s">
        <v>1286</v>
      </c>
      <c r="B1261" s="34" t="s">
        <v>1404</v>
      </c>
      <c r="C1261" s="34" t="s">
        <v>1403</v>
      </c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25"/>
      <c r="X1261" s="25"/>
      <c r="Y1261" s="34"/>
      <c r="Z1261" s="34"/>
      <c r="AA1261" s="34"/>
      <c r="AB1261" s="34"/>
      <c r="AC1261" s="34"/>
      <c r="AD1261" s="34"/>
      <c r="AE1261" s="34"/>
      <c r="AF1261" s="25"/>
      <c r="AG1261" s="34"/>
      <c r="AH1261" s="34"/>
      <c r="AI1261" s="37"/>
      <c r="AJ1261" s="34"/>
      <c r="AK1261" s="34"/>
      <c r="AL1261" s="38"/>
      <c r="AM1261" s="41"/>
      <c r="AN1261" s="25"/>
      <c r="AO1261" s="40"/>
      <c r="AP1261" s="40"/>
    </row>
    <row r="1262" ht="15.0" customHeight="1">
      <c r="A1262" s="32" t="s">
        <v>1287</v>
      </c>
      <c r="B1262" s="34" t="s">
        <v>1404</v>
      </c>
      <c r="C1262" s="34" t="s">
        <v>1403</v>
      </c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25"/>
      <c r="X1262" s="25"/>
      <c r="Y1262" s="34"/>
      <c r="Z1262" s="34"/>
      <c r="AA1262" s="34"/>
      <c r="AB1262" s="34"/>
      <c r="AC1262" s="34"/>
      <c r="AD1262" s="34"/>
      <c r="AE1262" s="34"/>
      <c r="AF1262" s="25"/>
      <c r="AG1262" s="34"/>
      <c r="AH1262" s="34"/>
      <c r="AI1262" s="37"/>
      <c r="AJ1262" s="34"/>
      <c r="AK1262" s="34"/>
      <c r="AL1262" s="38"/>
      <c r="AM1262" s="41"/>
      <c r="AN1262" s="25"/>
      <c r="AO1262" s="40"/>
      <c r="AP1262" s="40"/>
    </row>
    <row r="1263" ht="15.0" customHeight="1">
      <c r="A1263" s="32" t="s">
        <v>1288</v>
      </c>
      <c r="B1263" s="34" t="s">
        <v>1404</v>
      </c>
      <c r="C1263" s="34" t="s">
        <v>1403</v>
      </c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25"/>
      <c r="X1263" s="25"/>
      <c r="Y1263" s="34"/>
      <c r="Z1263" s="34"/>
      <c r="AA1263" s="34"/>
      <c r="AB1263" s="34"/>
      <c r="AC1263" s="34"/>
      <c r="AD1263" s="34"/>
      <c r="AE1263" s="34"/>
      <c r="AF1263" s="25"/>
      <c r="AG1263" s="34"/>
      <c r="AH1263" s="34"/>
      <c r="AI1263" s="37"/>
      <c r="AJ1263" s="34"/>
      <c r="AK1263" s="34"/>
      <c r="AL1263" s="38"/>
      <c r="AM1263" s="41"/>
      <c r="AN1263" s="25"/>
      <c r="AO1263" s="40"/>
      <c r="AP1263" s="40"/>
    </row>
    <row r="1264" ht="15.0" customHeight="1">
      <c r="A1264" s="32" t="s">
        <v>1289</v>
      </c>
      <c r="B1264" s="34" t="s">
        <v>1404</v>
      </c>
      <c r="C1264" s="34" t="s">
        <v>1403</v>
      </c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25"/>
      <c r="X1264" s="25"/>
      <c r="Y1264" s="34"/>
      <c r="Z1264" s="34"/>
      <c r="AA1264" s="34"/>
      <c r="AB1264" s="34"/>
      <c r="AC1264" s="34"/>
      <c r="AD1264" s="34"/>
      <c r="AE1264" s="34"/>
      <c r="AF1264" s="25"/>
      <c r="AG1264" s="34"/>
      <c r="AH1264" s="34"/>
      <c r="AI1264" s="37"/>
      <c r="AJ1264" s="34"/>
      <c r="AK1264" s="34"/>
      <c r="AL1264" s="38"/>
      <c r="AM1264" s="41"/>
      <c r="AN1264" s="25"/>
      <c r="AO1264" s="40"/>
      <c r="AP1264" s="40"/>
    </row>
    <row r="1265" ht="15.0" customHeight="1">
      <c r="A1265" s="32" t="s">
        <v>1290</v>
      </c>
      <c r="B1265" s="34" t="s">
        <v>1404</v>
      </c>
      <c r="C1265" s="34" t="s">
        <v>1403</v>
      </c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25"/>
      <c r="X1265" s="25"/>
      <c r="Y1265" s="34"/>
      <c r="Z1265" s="34"/>
      <c r="AA1265" s="34"/>
      <c r="AB1265" s="34"/>
      <c r="AC1265" s="34"/>
      <c r="AD1265" s="34"/>
      <c r="AE1265" s="34"/>
      <c r="AF1265" s="25"/>
      <c r="AG1265" s="34"/>
      <c r="AH1265" s="34"/>
      <c r="AI1265" s="37"/>
      <c r="AJ1265" s="34"/>
      <c r="AK1265" s="34"/>
      <c r="AL1265" s="38"/>
      <c r="AM1265" s="41"/>
      <c r="AN1265" s="25"/>
      <c r="AO1265" s="40"/>
      <c r="AP1265" s="40"/>
    </row>
    <row r="1266" ht="15.0" customHeight="1">
      <c r="A1266" s="32" t="s">
        <v>1291</v>
      </c>
      <c r="B1266" s="34" t="s">
        <v>1404</v>
      </c>
      <c r="C1266" s="34" t="s">
        <v>1403</v>
      </c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25"/>
      <c r="X1266" s="25"/>
      <c r="Y1266" s="34"/>
      <c r="Z1266" s="34"/>
      <c r="AA1266" s="34"/>
      <c r="AB1266" s="34"/>
      <c r="AC1266" s="34"/>
      <c r="AD1266" s="34"/>
      <c r="AE1266" s="34"/>
      <c r="AF1266" s="25"/>
      <c r="AG1266" s="34"/>
      <c r="AH1266" s="34"/>
      <c r="AI1266" s="37"/>
      <c r="AJ1266" s="34"/>
      <c r="AK1266" s="34"/>
      <c r="AL1266" s="38"/>
      <c r="AM1266" s="41"/>
      <c r="AN1266" s="25"/>
      <c r="AO1266" s="40"/>
      <c r="AP1266" s="40"/>
    </row>
    <row r="1267" ht="15.0" customHeight="1">
      <c r="A1267" s="32" t="s">
        <v>1292</v>
      </c>
      <c r="B1267" s="34" t="s">
        <v>1404</v>
      </c>
      <c r="C1267" s="34" t="s">
        <v>1403</v>
      </c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25"/>
      <c r="X1267" s="25"/>
      <c r="Y1267" s="34"/>
      <c r="Z1267" s="34"/>
      <c r="AA1267" s="34"/>
      <c r="AB1267" s="34"/>
      <c r="AC1267" s="34"/>
      <c r="AD1267" s="34"/>
      <c r="AE1267" s="34"/>
      <c r="AF1267" s="25"/>
      <c r="AG1267" s="34"/>
      <c r="AH1267" s="34"/>
      <c r="AI1267" s="37"/>
      <c r="AJ1267" s="34"/>
      <c r="AK1267" s="34"/>
      <c r="AL1267" s="38"/>
      <c r="AM1267" s="41"/>
      <c r="AN1267" s="25"/>
      <c r="AO1267" s="40"/>
      <c r="AP1267" s="40"/>
    </row>
    <row r="1268" ht="15.0" customHeight="1">
      <c r="A1268" s="32" t="s">
        <v>1293</v>
      </c>
      <c r="B1268" s="34" t="s">
        <v>1404</v>
      </c>
      <c r="C1268" s="34" t="s">
        <v>1403</v>
      </c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25"/>
      <c r="X1268" s="25"/>
      <c r="Y1268" s="34"/>
      <c r="Z1268" s="34"/>
      <c r="AA1268" s="34"/>
      <c r="AB1268" s="34"/>
      <c r="AC1268" s="34"/>
      <c r="AD1268" s="34"/>
      <c r="AE1268" s="34"/>
      <c r="AF1268" s="25"/>
      <c r="AG1268" s="34"/>
      <c r="AH1268" s="34"/>
      <c r="AI1268" s="37"/>
      <c r="AJ1268" s="34"/>
      <c r="AK1268" s="34"/>
      <c r="AL1268" s="38"/>
      <c r="AM1268" s="41"/>
      <c r="AN1268" s="25"/>
      <c r="AO1268" s="40"/>
      <c r="AP1268" s="40"/>
    </row>
    <row r="1269" ht="15.0" customHeight="1">
      <c r="A1269" s="32" t="s">
        <v>1294</v>
      </c>
      <c r="B1269" s="34" t="s">
        <v>1404</v>
      </c>
      <c r="C1269" s="34" t="s">
        <v>1403</v>
      </c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25"/>
      <c r="X1269" s="25"/>
      <c r="Y1269" s="34"/>
      <c r="Z1269" s="34"/>
      <c r="AA1269" s="34"/>
      <c r="AB1269" s="34"/>
      <c r="AC1269" s="34"/>
      <c r="AD1269" s="34"/>
      <c r="AE1269" s="34"/>
      <c r="AF1269" s="25"/>
      <c r="AG1269" s="34"/>
      <c r="AH1269" s="34"/>
      <c r="AI1269" s="37"/>
      <c r="AJ1269" s="34"/>
      <c r="AK1269" s="34"/>
      <c r="AL1269" s="38"/>
      <c r="AM1269" s="41"/>
      <c r="AN1269" s="25"/>
      <c r="AO1269" s="40"/>
      <c r="AP1269" s="40"/>
    </row>
    <row r="1270" ht="15.0" customHeight="1">
      <c r="A1270" s="32" t="s">
        <v>1295</v>
      </c>
      <c r="B1270" s="34" t="s">
        <v>1404</v>
      </c>
      <c r="C1270" s="34" t="s">
        <v>1403</v>
      </c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25"/>
      <c r="X1270" s="25"/>
      <c r="Y1270" s="34"/>
      <c r="Z1270" s="34"/>
      <c r="AA1270" s="34"/>
      <c r="AB1270" s="34"/>
      <c r="AC1270" s="34"/>
      <c r="AD1270" s="34"/>
      <c r="AE1270" s="34"/>
      <c r="AF1270" s="25"/>
      <c r="AG1270" s="34"/>
      <c r="AH1270" s="34"/>
      <c r="AI1270" s="37"/>
      <c r="AJ1270" s="34"/>
      <c r="AK1270" s="34"/>
      <c r="AL1270" s="38"/>
      <c r="AM1270" s="41"/>
      <c r="AN1270" s="25"/>
      <c r="AO1270" s="40"/>
      <c r="AP1270" s="40"/>
    </row>
    <row r="1271" ht="15.0" customHeight="1">
      <c r="A1271" s="32" t="s">
        <v>1296</v>
      </c>
      <c r="B1271" s="34" t="s">
        <v>1404</v>
      </c>
      <c r="C1271" s="34" t="s">
        <v>1403</v>
      </c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25"/>
      <c r="X1271" s="25"/>
      <c r="Y1271" s="34"/>
      <c r="Z1271" s="34"/>
      <c r="AA1271" s="34"/>
      <c r="AB1271" s="34"/>
      <c r="AC1271" s="34"/>
      <c r="AD1271" s="34"/>
      <c r="AE1271" s="34"/>
      <c r="AF1271" s="25"/>
      <c r="AG1271" s="34"/>
      <c r="AH1271" s="34"/>
      <c r="AI1271" s="37"/>
      <c r="AJ1271" s="34"/>
      <c r="AK1271" s="34"/>
      <c r="AL1271" s="38"/>
      <c r="AM1271" s="41"/>
      <c r="AN1271" s="25"/>
      <c r="AO1271" s="40"/>
      <c r="AP1271" s="40"/>
    </row>
    <row r="1272" ht="15.0" customHeight="1">
      <c r="A1272" s="32" t="s">
        <v>1297</v>
      </c>
      <c r="B1272" s="34" t="s">
        <v>1404</v>
      </c>
      <c r="C1272" s="34" t="s">
        <v>1403</v>
      </c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25"/>
      <c r="X1272" s="25"/>
      <c r="Y1272" s="34"/>
      <c r="Z1272" s="34"/>
      <c r="AA1272" s="34"/>
      <c r="AB1272" s="34"/>
      <c r="AC1272" s="34"/>
      <c r="AD1272" s="34"/>
      <c r="AE1272" s="34"/>
      <c r="AF1272" s="25"/>
      <c r="AG1272" s="34"/>
      <c r="AH1272" s="34"/>
      <c r="AI1272" s="37"/>
      <c r="AJ1272" s="34"/>
      <c r="AK1272" s="34"/>
      <c r="AL1272" s="38"/>
      <c r="AM1272" s="41"/>
      <c r="AN1272" s="25"/>
      <c r="AO1272" s="40"/>
      <c r="AP1272" s="40"/>
    </row>
    <row r="1273" ht="15.0" customHeight="1">
      <c r="A1273" s="32" t="s">
        <v>1298</v>
      </c>
      <c r="B1273" s="34" t="s">
        <v>1404</v>
      </c>
      <c r="C1273" s="34" t="s">
        <v>1403</v>
      </c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25"/>
      <c r="X1273" s="25"/>
      <c r="Y1273" s="34"/>
      <c r="Z1273" s="34"/>
      <c r="AA1273" s="34"/>
      <c r="AB1273" s="34"/>
      <c r="AC1273" s="34"/>
      <c r="AD1273" s="34"/>
      <c r="AE1273" s="34"/>
      <c r="AF1273" s="25"/>
      <c r="AG1273" s="34"/>
      <c r="AH1273" s="34"/>
      <c r="AI1273" s="37"/>
      <c r="AJ1273" s="34"/>
      <c r="AK1273" s="34"/>
      <c r="AL1273" s="38"/>
      <c r="AM1273" s="41"/>
      <c r="AN1273" s="25"/>
      <c r="AO1273" s="40"/>
      <c r="AP1273" s="40"/>
    </row>
    <row r="1274" ht="15.0" customHeight="1">
      <c r="A1274" s="32" t="s">
        <v>1299</v>
      </c>
      <c r="B1274" s="34" t="s">
        <v>1404</v>
      </c>
      <c r="C1274" s="34" t="s">
        <v>1403</v>
      </c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25"/>
      <c r="X1274" s="25"/>
      <c r="Y1274" s="34"/>
      <c r="Z1274" s="34"/>
      <c r="AA1274" s="34"/>
      <c r="AB1274" s="34"/>
      <c r="AC1274" s="34"/>
      <c r="AD1274" s="34"/>
      <c r="AE1274" s="34"/>
      <c r="AF1274" s="25"/>
      <c r="AG1274" s="34"/>
      <c r="AH1274" s="34"/>
      <c r="AI1274" s="37"/>
      <c r="AJ1274" s="34"/>
      <c r="AK1274" s="34"/>
      <c r="AL1274" s="38"/>
      <c r="AM1274" s="41"/>
      <c r="AN1274" s="25"/>
      <c r="AO1274" s="40"/>
      <c r="AP1274" s="40"/>
    </row>
    <row r="1275" ht="15.0" customHeight="1">
      <c r="A1275" s="32" t="s">
        <v>1300</v>
      </c>
      <c r="B1275" s="34" t="s">
        <v>1404</v>
      </c>
      <c r="C1275" s="34" t="s">
        <v>1403</v>
      </c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25"/>
      <c r="X1275" s="25"/>
      <c r="Y1275" s="34"/>
      <c r="Z1275" s="34"/>
      <c r="AA1275" s="34"/>
      <c r="AB1275" s="34"/>
      <c r="AC1275" s="34"/>
      <c r="AD1275" s="34"/>
      <c r="AE1275" s="34"/>
      <c r="AF1275" s="25"/>
      <c r="AG1275" s="34"/>
      <c r="AH1275" s="34"/>
      <c r="AI1275" s="37"/>
      <c r="AJ1275" s="34"/>
      <c r="AK1275" s="34"/>
      <c r="AL1275" s="38"/>
      <c r="AM1275" s="41"/>
      <c r="AN1275" s="25"/>
      <c r="AO1275" s="40"/>
      <c r="AP1275" s="40"/>
    </row>
    <row r="1276" ht="15.0" customHeight="1">
      <c r="A1276" s="32" t="s">
        <v>1301</v>
      </c>
      <c r="B1276" s="34" t="s">
        <v>1404</v>
      </c>
      <c r="C1276" s="34" t="s">
        <v>1403</v>
      </c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25"/>
      <c r="X1276" s="25"/>
      <c r="Y1276" s="34"/>
      <c r="Z1276" s="34"/>
      <c r="AA1276" s="34"/>
      <c r="AB1276" s="34"/>
      <c r="AC1276" s="34"/>
      <c r="AD1276" s="34"/>
      <c r="AE1276" s="34"/>
      <c r="AF1276" s="25"/>
      <c r="AG1276" s="34"/>
      <c r="AH1276" s="34"/>
      <c r="AI1276" s="37"/>
      <c r="AJ1276" s="34"/>
      <c r="AK1276" s="34"/>
      <c r="AL1276" s="38"/>
      <c r="AM1276" s="41"/>
      <c r="AN1276" s="25"/>
      <c r="AO1276" s="40"/>
      <c r="AP1276" s="40"/>
    </row>
    <row r="1277" ht="15.0" customHeight="1">
      <c r="A1277" s="32" t="s">
        <v>1302</v>
      </c>
      <c r="B1277" s="34" t="s">
        <v>1404</v>
      </c>
      <c r="C1277" s="34" t="s">
        <v>1403</v>
      </c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25"/>
      <c r="X1277" s="25"/>
      <c r="Y1277" s="34"/>
      <c r="Z1277" s="34"/>
      <c r="AA1277" s="34"/>
      <c r="AB1277" s="34"/>
      <c r="AC1277" s="34"/>
      <c r="AD1277" s="34"/>
      <c r="AE1277" s="34"/>
      <c r="AF1277" s="25"/>
      <c r="AG1277" s="34"/>
      <c r="AH1277" s="34"/>
      <c r="AI1277" s="37"/>
      <c r="AJ1277" s="34"/>
      <c r="AK1277" s="34"/>
      <c r="AL1277" s="38"/>
      <c r="AM1277" s="41"/>
      <c r="AN1277" s="25"/>
      <c r="AO1277" s="40"/>
      <c r="AP1277" s="40"/>
    </row>
    <row r="1278" ht="15.0" customHeight="1">
      <c r="A1278" s="32" t="s">
        <v>1303</v>
      </c>
      <c r="B1278" s="34" t="s">
        <v>1404</v>
      </c>
      <c r="C1278" s="34" t="s">
        <v>1403</v>
      </c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25"/>
      <c r="X1278" s="25"/>
      <c r="Y1278" s="34"/>
      <c r="Z1278" s="34"/>
      <c r="AA1278" s="34"/>
      <c r="AB1278" s="34"/>
      <c r="AC1278" s="34"/>
      <c r="AD1278" s="34"/>
      <c r="AE1278" s="34"/>
      <c r="AF1278" s="25"/>
      <c r="AG1278" s="34"/>
      <c r="AH1278" s="34"/>
      <c r="AI1278" s="37"/>
      <c r="AJ1278" s="34"/>
      <c r="AK1278" s="34"/>
      <c r="AL1278" s="38"/>
      <c r="AM1278" s="41"/>
      <c r="AN1278" s="25"/>
      <c r="AO1278" s="40"/>
      <c r="AP1278" s="40"/>
    </row>
    <row r="1279" ht="15.0" customHeight="1">
      <c r="A1279" s="32" t="s">
        <v>1304</v>
      </c>
      <c r="B1279" s="34" t="s">
        <v>1404</v>
      </c>
      <c r="C1279" s="34" t="s">
        <v>1403</v>
      </c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25"/>
      <c r="X1279" s="25"/>
      <c r="Y1279" s="34"/>
      <c r="Z1279" s="34"/>
      <c r="AA1279" s="34"/>
      <c r="AB1279" s="34"/>
      <c r="AC1279" s="34"/>
      <c r="AD1279" s="34"/>
      <c r="AE1279" s="34"/>
      <c r="AF1279" s="25"/>
      <c r="AG1279" s="34"/>
      <c r="AH1279" s="34"/>
      <c r="AI1279" s="37"/>
      <c r="AJ1279" s="34"/>
      <c r="AK1279" s="34"/>
      <c r="AL1279" s="38"/>
      <c r="AM1279" s="41"/>
      <c r="AN1279" s="25"/>
      <c r="AO1279" s="40"/>
      <c r="AP1279" s="40"/>
    </row>
    <row r="1280" ht="15.0" customHeight="1">
      <c r="A1280" s="32" t="s">
        <v>1305</v>
      </c>
      <c r="B1280" s="34" t="s">
        <v>1404</v>
      </c>
      <c r="C1280" s="34" t="s">
        <v>1403</v>
      </c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25"/>
      <c r="X1280" s="25"/>
      <c r="Y1280" s="34"/>
      <c r="Z1280" s="34"/>
      <c r="AA1280" s="34"/>
      <c r="AB1280" s="34"/>
      <c r="AC1280" s="34"/>
      <c r="AD1280" s="34"/>
      <c r="AE1280" s="34"/>
      <c r="AF1280" s="25"/>
      <c r="AG1280" s="34"/>
      <c r="AH1280" s="34"/>
      <c r="AI1280" s="37"/>
      <c r="AJ1280" s="34"/>
      <c r="AK1280" s="34"/>
      <c r="AL1280" s="38"/>
      <c r="AM1280" s="41"/>
      <c r="AN1280" s="25"/>
      <c r="AO1280" s="40"/>
      <c r="AP1280" s="40"/>
    </row>
    <row r="1281" ht="15.0" customHeight="1">
      <c r="A1281" s="32" t="s">
        <v>1306</v>
      </c>
      <c r="B1281" s="34" t="s">
        <v>1404</v>
      </c>
      <c r="C1281" s="34" t="s">
        <v>1403</v>
      </c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25"/>
      <c r="X1281" s="25"/>
      <c r="Y1281" s="34"/>
      <c r="Z1281" s="34"/>
      <c r="AA1281" s="34"/>
      <c r="AB1281" s="34"/>
      <c r="AC1281" s="34"/>
      <c r="AD1281" s="34"/>
      <c r="AE1281" s="34"/>
      <c r="AF1281" s="25"/>
      <c r="AG1281" s="34"/>
      <c r="AH1281" s="34"/>
      <c r="AI1281" s="37"/>
      <c r="AJ1281" s="34"/>
      <c r="AK1281" s="34"/>
      <c r="AL1281" s="38"/>
      <c r="AM1281" s="41"/>
      <c r="AN1281" s="25"/>
      <c r="AO1281" s="40"/>
      <c r="AP1281" s="40"/>
    </row>
    <row r="1282" ht="15.0" customHeight="1">
      <c r="A1282" s="32" t="s">
        <v>1307</v>
      </c>
      <c r="B1282" s="34" t="s">
        <v>1404</v>
      </c>
      <c r="C1282" s="34" t="s">
        <v>1403</v>
      </c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25"/>
      <c r="X1282" s="25"/>
      <c r="Y1282" s="34"/>
      <c r="Z1282" s="34"/>
      <c r="AA1282" s="34"/>
      <c r="AB1282" s="34"/>
      <c r="AC1282" s="34"/>
      <c r="AD1282" s="34"/>
      <c r="AE1282" s="34"/>
      <c r="AF1282" s="25"/>
      <c r="AG1282" s="34"/>
      <c r="AH1282" s="34"/>
      <c r="AI1282" s="37"/>
      <c r="AJ1282" s="34"/>
      <c r="AK1282" s="34"/>
      <c r="AL1282" s="38"/>
      <c r="AM1282" s="41"/>
      <c r="AN1282" s="25"/>
      <c r="AO1282" s="40"/>
      <c r="AP1282" s="40"/>
    </row>
    <row r="1283" ht="15.0" customHeight="1">
      <c r="A1283" s="32" t="s">
        <v>1308</v>
      </c>
      <c r="B1283" s="34" t="s">
        <v>1404</v>
      </c>
      <c r="C1283" s="34" t="s">
        <v>1403</v>
      </c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25"/>
      <c r="X1283" s="25"/>
      <c r="Y1283" s="34"/>
      <c r="Z1283" s="34"/>
      <c r="AA1283" s="34"/>
      <c r="AB1283" s="34"/>
      <c r="AC1283" s="34"/>
      <c r="AD1283" s="34"/>
      <c r="AE1283" s="34"/>
      <c r="AF1283" s="25"/>
      <c r="AG1283" s="34"/>
      <c r="AH1283" s="34"/>
      <c r="AI1283" s="37"/>
      <c r="AJ1283" s="34"/>
      <c r="AK1283" s="34"/>
      <c r="AL1283" s="38"/>
      <c r="AM1283" s="41"/>
      <c r="AN1283" s="25"/>
      <c r="AO1283" s="40"/>
      <c r="AP1283" s="40"/>
    </row>
    <row r="1284" ht="15.0" customHeight="1">
      <c r="A1284" s="32" t="s">
        <v>1309</v>
      </c>
      <c r="B1284" s="34" t="s">
        <v>1404</v>
      </c>
      <c r="C1284" s="34" t="s">
        <v>1403</v>
      </c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25"/>
      <c r="X1284" s="25"/>
      <c r="Y1284" s="34"/>
      <c r="Z1284" s="34"/>
      <c r="AA1284" s="34"/>
      <c r="AB1284" s="34"/>
      <c r="AC1284" s="34"/>
      <c r="AD1284" s="34"/>
      <c r="AE1284" s="34"/>
      <c r="AF1284" s="25"/>
      <c r="AG1284" s="34"/>
      <c r="AH1284" s="34"/>
      <c r="AI1284" s="37"/>
      <c r="AJ1284" s="34"/>
      <c r="AK1284" s="34"/>
      <c r="AL1284" s="38"/>
      <c r="AM1284" s="41"/>
      <c r="AN1284" s="25"/>
      <c r="AO1284" s="40"/>
      <c r="AP1284" s="40"/>
    </row>
    <row r="1285" ht="15.0" customHeight="1">
      <c r="A1285" s="32" t="s">
        <v>1310</v>
      </c>
      <c r="B1285" s="34" t="s">
        <v>1404</v>
      </c>
      <c r="C1285" s="34" t="s">
        <v>1403</v>
      </c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25"/>
      <c r="X1285" s="25"/>
      <c r="Y1285" s="34"/>
      <c r="Z1285" s="34"/>
      <c r="AA1285" s="34"/>
      <c r="AB1285" s="34"/>
      <c r="AC1285" s="34"/>
      <c r="AD1285" s="34"/>
      <c r="AE1285" s="34"/>
      <c r="AF1285" s="25"/>
      <c r="AG1285" s="34"/>
      <c r="AH1285" s="34"/>
      <c r="AI1285" s="37"/>
      <c r="AJ1285" s="34"/>
      <c r="AK1285" s="34"/>
      <c r="AL1285" s="38"/>
      <c r="AM1285" s="41"/>
      <c r="AN1285" s="25"/>
      <c r="AO1285" s="40"/>
      <c r="AP1285" s="40"/>
    </row>
    <row r="1286" ht="15.0" customHeight="1">
      <c r="A1286" s="32" t="s">
        <v>1311</v>
      </c>
      <c r="B1286" s="34" t="s">
        <v>1404</v>
      </c>
      <c r="C1286" s="34" t="s">
        <v>1403</v>
      </c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25"/>
      <c r="X1286" s="25"/>
      <c r="Y1286" s="34"/>
      <c r="Z1286" s="34"/>
      <c r="AA1286" s="34"/>
      <c r="AB1286" s="34"/>
      <c r="AC1286" s="34"/>
      <c r="AD1286" s="34"/>
      <c r="AE1286" s="34"/>
      <c r="AF1286" s="25"/>
      <c r="AG1286" s="34"/>
      <c r="AH1286" s="34"/>
      <c r="AI1286" s="37"/>
      <c r="AJ1286" s="34"/>
      <c r="AK1286" s="34"/>
      <c r="AL1286" s="38"/>
      <c r="AM1286" s="41"/>
      <c r="AN1286" s="25"/>
      <c r="AO1286" s="40"/>
      <c r="AP1286" s="40"/>
    </row>
    <row r="1287" ht="15.0" customHeight="1">
      <c r="A1287" s="32" t="s">
        <v>1312</v>
      </c>
      <c r="B1287" s="34" t="s">
        <v>1404</v>
      </c>
      <c r="C1287" s="34" t="s">
        <v>1403</v>
      </c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25"/>
      <c r="X1287" s="25"/>
      <c r="Y1287" s="34"/>
      <c r="Z1287" s="34"/>
      <c r="AA1287" s="34"/>
      <c r="AB1287" s="34"/>
      <c r="AC1287" s="34"/>
      <c r="AD1287" s="34"/>
      <c r="AE1287" s="34"/>
      <c r="AF1287" s="25"/>
      <c r="AG1287" s="34"/>
      <c r="AH1287" s="34"/>
      <c r="AI1287" s="37"/>
      <c r="AJ1287" s="34"/>
      <c r="AK1287" s="34"/>
      <c r="AL1287" s="38"/>
      <c r="AM1287" s="41"/>
      <c r="AN1287" s="25"/>
      <c r="AO1287" s="40"/>
      <c r="AP1287" s="40"/>
    </row>
    <row r="1288" ht="15.0" customHeight="1">
      <c r="A1288" s="32" t="s">
        <v>1313</v>
      </c>
      <c r="B1288" s="34" t="s">
        <v>1404</v>
      </c>
      <c r="C1288" s="34" t="s">
        <v>1403</v>
      </c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25"/>
      <c r="X1288" s="25"/>
      <c r="Y1288" s="34"/>
      <c r="Z1288" s="34"/>
      <c r="AA1288" s="34"/>
      <c r="AB1288" s="34"/>
      <c r="AC1288" s="34"/>
      <c r="AD1288" s="34"/>
      <c r="AE1288" s="34"/>
      <c r="AF1288" s="25"/>
      <c r="AG1288" s="34"/>
      <c r="AH1288" s="34"/>
      <c r="AI1288" s="37"/>
      <c r="AJ1288" s="34"/>
      <c r="AK1288" s="34"/>
      <c r="AL1288" s="38"/>
      <c r="AM1288" s="41"/>
      <c r="AN1288" s="25"/>
      <c r="AO1288" s="40"/>
      <c r="AP1288" s="40"/>
    </row>
    <row r="1289" ht="15.0" customHeight="1">
      <c r="A1289" s="32" t="s">
        <v>1314</v>
      </c>
      <c r="B1289" s="34" t="s">
        <v>1404</v>
      </c>
      <c r="C1289" s="34" t="s">
        <v>1403</v>
      </c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25"/>
      <c r="X1289" s="25"/>
      <c r="Y1289" s="34"/>
      <c r="Z1289" s="34"/>
      <c r="AA1289" s="34"/>
      <c r="AB1289" s="34"/>
      <c r="AC1289" s="34"/>
      <c r="AD1289" s="34"/>
      <c r="AE1289" s="34"/>
      <c r="AF1289" s="25"/>
      <c r="AG1289" s="34"/>
      <c r="AH1289" s="34"/>
      <c r="AI1289" s="37"/>
      <c r="AJ1289" s="34"/>
      <c r="AK1289" s="34"/>
      <c r="AL1289" s="38"/>
      <c r="AM1289" s="41"/>
      <c r="AN1289" s="25"/>
      <c r="AO1289" s="40"/>
      <c r="AP1289" s="40"/>
    </row>
    <row r="1290" ht="15.0" customHeight="1">
      <c r="A1290" s="32" t="s">
        <v>1315</v>
      </c>
      <c r="B1290" s="34" t="s">
        <v>1404</v>
      </c>
      <c r="C1290" s="34" t="s">
        <v>1403</v>
      </c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25"/>
      <c r="X1290" s="25"/>
      <c r="Y1290" s="34"/>
      <c r="Z1290" s="34"/>
      <c r="AA1290" s="34"/>
      <c r="AB1290" s="34"/>
      <c r="AC1290" s="34"/>
      <c r="AD1290" s="34"/>
      <c r="AE1290" s="34"/>
      <c r="AF1290" s="25"/>
      <c r="AG1290" s="34"/>
      <c r="AH1290" s="34"/>
      <c r="AI1290" s="37"/>
      <c r="AJ1290" s="34"/>
      <c r="AK1290" s="34"/>
      <c r="AL1290" s="38"/>
      <c r="AM1290" s="41"/>
      <c r="AN1290" s="25"/>
      <c r="AO1290" s="40"/>
      <c r="AP1290" s="40"/>
    </row>
    <row r="1291" ht="15.0" customHeight="1">
      <c r="A1291" s="32" t="s">
        <v>1316</v>
      </c>
      <c r="B1291" s="34" t="s">
        <v>1404</v>
      </c>
      <c r="C1291" s="34" t="s">
        <v>1403</v>
      </c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25"/>
      <c r="X1291" s="25"/>
      <c r="Y1291" s="34"/>
      <c r="Z1291" s="34"/>
      <c r="AA1291" s="34"/>
      <c r="AB1291" s="34"/>
      <c r="AC1291" s="34"/>
      <c r="AD1291" s="34"/>
      <c r="AE1291" s="34"/>
      <c r="AF1291" s="25"/>
      <c r="AG1291" s="34"/>
      <c r="AH1291" s="34"/>
      <c r="AI1291" s="37"/>
      <c r="AJ1291" s="34"/>
      <c r="AK1291" s="34"/>
      <c r="AL1291" s="38"/>
      <c r="AM1291" s="41"/>
      <c r="AN1291" s="25"/>
      <c r="AO1291" s="40"/>
      <c r="AP1291" s="40"/>
    </row>
    <row r="1292" ht="15.0" customHeight="1">
      <c r="A1292" s="32" t="s">
        <v>1317</v>
      </c>
      <c r="B1292" s="34" t="s">
        <v>1404</v>
      </c>
      <c r="C1292" s="34" t="s">
        <v>1403</v>
      </c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25"/>
      <c r="X1292" s="25"/>
      <c r="Y1292" s="34"/>
      <c r="Z1292" s="34"/>
      <c r="AA1292" s="34"/>
      <c r="AB1292" s="34"/>
      <c r="AC1292" s="34"/>
      <c r="AD1292" s="34"/>
      <c r="AE1292" s="34"/>
      <c r="AF1292" s="25"/>
      <c r="AG1292" s="34"/>
      <c r="AH1292" s="34"/>
      <c r="AI1292" s="37"/>
      <c r="AJ1292" s="34"/>
      <c r="AK1292" s="34"/>
      <c r="AL1292" s="38"/>
      <c r="AM1292" s="41"/>
      <c r="AN1292" s="25"/>
      <c r="AO1292" s="40"/>
      <c r="AP1292" s="40"/>
    </row>
    <row r="1293" ht="15.0" customHeight="1">
      <c r="A1293" s="32" t="s">
        <v>1318</v>
      </c>
      <c r="B1293" s="34" t="s">
        <v>1404</v>
      </c>
      <c r="C1293" s="34" t="s">
        <v>1403</v>
      </c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25"/>
      <c r="X1293" s="25"/>
      <c r="Y1293" s="34"/>
      <c r="Z1293" s="34"/>
      <c r="AA1293" s="34"/>
      <c r="AB1293" s="34"/>
      <c r="AC1293" s="34"/>
      <c r="AD1293" s="34"/>
      <c r="AE1293" s="34"/>
      <c r="AF1293" s="25"/>
      <c r="AG1293" s="34"/>
      <c r="AH1293" s="34"/>
      <c r="AI1293" s="37"/>
      <c r="AJ1293" s="34"/>
      <c r="AK1293" s="34"/>
      <c r="AL1293" s="38"/>
      <c r="AM1293" s="41"/>
      <c r="AN1293" s="25"/>
      <c r="AO1293" s="40"/>
      <c r="AP1293" s="40"/>
    </row>
    <row r="1294" ht="15.0" customHeight="1">
      <c r="A1294" s="32" t="s">
        <v>1319</v>
      </c>
      <c r="B1294" s="34" t="s">
        <v>1404</v>
      </c>
      <c r="C1294" s="34" t="s">
        <v>1403</v>
      </c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25"/>
      <c r="X1294" s="25"/>
      <c r="Y1294" s="34"/>
      <c r="Z1294" s="34"/>
      <c r="AA1294" s="34"/>
      <c r="AB1294" s="34"/>
      <c r="AC1294" s="34"/>
      <c r="AD1294" s="34"/>
      <c r="AE1294" s="34"/>
      <c r="AF1294" s="25"/>
      <c r="AG1294" s="34"/>
      <c r="AH1294" s="34"/>
      <c r="AI1294" s="37"/>
      <c r="AJ1294" s="34"/>
      <c r="AK1294" s="34"/>
      <c r="AL1294" s="38"/>
      <c r="AM1294" s="41"/>
      <c r="AN1294" s="25"/>
      <c r="AO1294" s="40"/>
      <c r="AP1294" s="40"/>
    </row>
    <row r="1295" ht="15.0" customHeight="1">
      <c r="A1295" s="32" t="s">
        <v>1320</v>
      </c>
      <c r="B1295" s="34" t="s">
        <v>1404</v>
      </c>
      <c r="C1295" s="34" t="s">
        <v>1403</v>
      </c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25"/>
      <c r="X1295" s="25"/>
      <c r="Y1295" s="34"/>
      <c r="Z1295" s="34"/>
      <c r="AA1295" s="34"/>
      <c r="AB1295" s="34"/>
      <c r="AC1295" s="34"/>
      <c r="AD1295" s="34"/>
      <c r="AE1295" s="34"/>
      <c r="AF1295" s="25"/>
      <c r="AG1295" s="34"/>
      <c r="AH1295" s="34"/>
      <c r="AI1295" s="37"/>
      <c r="AJ1295" s="34"/>
      <c r="AK1295" s="34"/>
      <c r="AL1295" s="38"/>
      <c r="AM1295" s="41"/>
      <c r="AN1295" s="25"/>
      <c r="AO1295" s="40"/>
      <c r="AP1295" s="40"/>
    </row>
    <row r="1296" ht="15.0" customHeight="1">
      <c r="A1296" s="32" t="s">
        <v>1321</v>
      </c>
      <c r="B1296" s="34" t="s">
        <v>1404</v>
      </c>
      <c r="C1296" s="34" t="s">
        <v>1403</v>
      </c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25"/>
      <c r="X1296" s="25"/>
      <c r="Y1296" s="34"/>
      <c r="Z1296" s="34"/>
      <c r="AA1296" s="34"/>
      <c r="AB1296" s="34"/>
      <c r="AC1296" s="34"/>
      <c r="AD1296" s="34"/>
      <c r="AE1296" s="34"/>
      <c r="AF1296" s="25"/>
      <c r="AG1296" s="34"/>
      <c r="AH1296" s="34"/>
      <c r="AI1296" s="37"/>
      <c r="AJ1296" s="34"/>
      <c r="AK1296" s="34"/>
      <c r="AL1296" s="38"/>
      <c r="AM1296" s="41"/>
      <c r="AN1296" s="25"/>
      <c r="AO1296" s="40"/>
      <c r="AP1296" s="40"/>
    </row>
    <row r="1297" ht="15.0" customHeight="1">
      <c r="A1297" s="32" t="s">
        <v>1322</v>
      </c>
      <c r="B1297" s="34" t="s">
        <v>1404</v>
      </c>
      <c r="C1297" s="34" t="s">
        <v>1403</v>
      </c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25"/>
      <c r="X1297" s="25"/>
      <c r="Y1297" s="34"/>
      <c r="Z1297" s="34"/>
      <c r="AA1297" s="34"/>
      <c r="AB1297" s="34"/>
      <c r="AC1297" s="34"/>
      <c r="AD1297" s="34"/>
      <c r="AE1297" s="34"/>
      <c r="AF1297" s="25"/>
      <c r="AG1297" s="34"/>
      <c r="AH1297" s="34"/>
      <c r="AI1297" s="37"/>
      <c r="AJ1297" s="34"/>
      <c r="AK1297" s="34"/>
      <c r="AL1297" s="38"/>
      <c r="AM1297" s="41"/>
      <c r="AN1297" s="25"/>
      <c r="AO1297" s="40"/>
      <c r="AP1297" s="40"/>
    </row>
    <row r="1298" ht="15.0" customHeight="1">
      <c r="A1298" s="32" t="s">
        <v>1323</v>
      </c>
      <c r="B1298" s="34" t="s">
        <v>1404</v>
      </c>
      <c r="C1298" s="34" t="s">
        <v>1403</v>
      </c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25"/>
      <c r="X1298" s="25"/>
      <c r="Y1298" s="34"/>
      <c r="Z1298" s="34"/>
      <c r="AA1298" s="34"/>
      <c r="AB1298" s="34"/>
      <c r="AC1298" s="34"/>
      <c r="AD1298" s="34"/>
      <c r="AE1298" s="34"/>
      <c r="AF1298" s="25"/>
      <c r="AG1298" s="34"/>
      <c r="AH1298" s="34"/>
      <c r="AI1298" s="37"/>
      <c r="AJ1298" s="34"/>
      <c r="AK1298" s="34"/>
      <c r="AL1298" s="38"/>
      <c r="AM1298" s="41"/>
      <c r="AN1298" s="25"/>
      <c r="AO1298" s="40"/>
      <c r="AP1298" s="40"/>
    </row>
    <row r="1299" ht="15.0" customHeight="1">
      <c r="A1299" s="32" t="s">
        <v>1324</v>
      </c>
      <c r="B1299" s="34" t="s">
        <v>1404</v>
      </c>
      <c r="C1299" s="34" t="s">
        <v>1403</v>
      </c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25"/>
      <c r="X1299" s="25"/>
      <c r="Y1299" s="34"/>
      <c r="Z1299" s="34"/>
      <c r="AA1299" s="34"/>
      <c r="AB1299" s="34"/>
      <c r="AC1299" s="34"/>
      <c r="AD1299" s="34"/>
      <c r="AE1299" s="34"/>
      <c r="AF1299" s="25"/>
      <c r="AG1299" s="34"/>
      <c r="AH1299" s="34"/>
      <c r="AI1299" s="37"/>
      <c r="AJ1299" s="34"/>
      <c r="AK1299" s="34"/>
      <c r="AL1299" s="38"/>
      <c r="AM1299" s="41"/>
      <c r="AN1299" s="25"/>
      <c r="AO1299" s="40"/>
      <c r="AP1299" s="40"/>
    </row>
    <row r="1300" ht="15.0" customHeight="1">
      <c r="A1300" s="32" t="s">
        <v>1325</v>
      </c>
      <c r="B1300" s="34" t="s">
        <v>1404</v>
      </c>
      <c r="C1300" s="34" t="s">
        <v>1403</v>
      </c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25"/>
      <c r="X1300" s="25"/>
      <c r="Y1300" s="34"/>
      <c r="Z1300" s="34"/>
      <c r="AA1300" s="34"/>
      <c r="AB1300" s="34"/>
      <c r="AC1300" s="34"/>
      <c r="AD1300" s="34"/>
      <c r="AE1300" s="34"/>
      <c r="AF1300" s="25"/>
      <c r="AG1300" s="34"/>
      <c r="AH1300" s="34"/>
      <c r="AI1300" s="37"/>
      <c r="AJ1300" s="34"/>
      <c r="AK1300" s="34"/>
      <c r="AL1300" s="38"/>
      <c r="AM1300" s="41"/>
      <c r="AN1300" s="25"/>
      <c r="AO1300" s="40"/>
      <c r="AP1300" s="40"/>
    </row>
    <row r="1301" ht="15.0" customHeight="1">
      <c r="A1301" s="32" t="s">
        <v>1326</v>
      </c>
      <c r="B1301" s="34" t="s">
        <v>1404</v>
      </c>
      <c r="C1301" s="34" t="s">
        <v>1403</v>
      </c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25"/>
      <c r="X1301" s="25"/>
      <c r="Y1301" s="34"/>
      <c r="Z1301" s="34"/>
      <c r="AA1301" s="34"/>
      <c r="AB1301" s="34"/>
      <c r="AC1301" s="34"/>
      <c r="AD1301" s="34"/>
      <c r="AE1301" s="34"/>
      <c r="AF1301" s="25"/>
      <c r="AG1301" s="34"/>
      <c r="AH1301" s="34"/>
      <c r="AI1301" s="37"/>
      <c r="AJ1301" s="34"/>
      <c r="AK1301" s="34"/>
      <c r="AL1301" s="38"/>
      <c r="AM1301" s="41"/>
      <c r="AN1301" s="25"/>
      <c r="AO1301" s="40"/>
      <c r="AP1301" s="40"/>
    </row>
    <row r="1302" ht="15.0" customHeight="1">
      <c r="A1302" s="32" t="s">
        <v>1327</v>
      </c>
      <c r="B1302" s="34" t="s">
        <v>1404</v>
      </c>
      <c r="C1302" s="34" t="s">
        <v>1403</v>
      </c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25"/>
      <c r="X1302" s="25"/>
      <c r="Y1302" s="34"/>
      <c r="Z1302" s="34"/>
      <c r="AA1302" s="34"/>
      <c r="AB1302" s="34"/>
      <c r="AC1302" s="34"/>
      <c r="AD1302" s="34"/>
      <c r="AE1302" s="34"/>
      <c r="AF1302" s="25"/>
      <c r="AG1302" s="34"/>
      <c r="AH1302" s="34"/>
      <c r="AI1302" s="37"/>
      <c r="AJ1302" s="34"/>
      <c r="AK1302" s="34"/>
      <c r="AL1302" s="38"/>
      <c r="AM1302" s="41"/>
      <c r="AN1302" s="25"/>
      <c r="AO1302" s="40"/>
      <c r="AP1302" s="40"/>
    </row>
    <row r="1303" ht="15.0" customHeight="1">
      <c r="A1303" s="32" t="s">
        <v>1328</v>
      </c>
      <c r="B1303" s="34" t="s">
        <v>1404</v>
      </c>
      <c r="C1303" s="34" t="s">
        <v>1403</v>
      </c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25"/>
      <c r="X1303" s="25"/>
      <c r="Y1303" s="34"/>
      <c r="Z1303" s="34"/>
      <c r="AA1303" s="34"/>
      <c r="AB1303" s="34"/>
      <c r="AC1303" s="34"/>
      <c r="AD1303" s="34"/>
      <c r="AE1303" s="34"/>
      <c r="AF1303" s="25"/>
      <c r="AG1303" s="34"/>
      <c r="AH1303" s="34"/>
      <c r="AI1303" s="37"/>
      <c r="AJ1303" s="34"/>
      <c r="AK1303" s="34"/>
      <c r="AL1303" s="38"/>
      <c r="AM1303" s="41"/>
      <c r="AN1303" s="25"/>
      <c r="AO1303" s="40"/>
      <c r="AP1303" s="40"/>
    </row>
    <row r="1304" ht="15.0" customHeight="1">
      <c r="A1304" s="32" t="s">
        <v>1329</v>
      </c>
      <c r="B1304" s="34" t="s">
        <v>1404</v>
      </c>
      <c r="C1304" s="34" t="s">
        <v>1403</v>
      </c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25"/>
      <c r="X1304" s="25"/>
      <c r="Y1304" s="34"/>
      <c r="Z1304" s="34"/>
      <c r="AA1304" s="34"/>
      <c r="AB1304" s="34"/>
      <c r="AC1304" s="34"/>
      <c r="AD1304" s="34"/>
      <c r="AE1304" s="34"/>
      <c r="AF1304" s="25"/>
      <c r="AG1304" s="34"/>
      <c r="AH1304" s="34"/>
      <c r="AI1304" s="37"/>
      <c r="AJ1304" s="34"/>
      <c r="AK1304" s="34"/>
      <c r="AL1304" s="38"/>
      <c r="AM1304" s="41"/>
      <c r="AN1304" s="25"/>
      <c r="AO1304" s="40"/>
      <c r="AP1304" s="40"/>
    </row>
    <row r="1305" ht="15.0" customHeight="1">
      <c r="A1305" s="25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42"/>
      <c r="Y1305" s="34"/>
      <c r="Z1305" s="34"/>
      <c r="AA1305" s="34"/>
      <c r="AB1305" s="34"/>
      <c r="AC1305" s="34"/>
      <c r="AD1305" s="34"/>
      <c r="AE1305" s="34"/>
      <c r="AF1305" s="25"/>
      <c r="AG1305" s="34"/>
      <c r="AH1305" s="34"/>
      <c r="AI1305" s="37"/>
      <c r="AJ1305" s="34"/>
      <c r="AK1305" s="34"/>
      <c r="AL1305" s="38"/>
      <c r="AM1305" s="41"/>
      <c r="AN1305" s="34"/>
      <c r="AO1305" s="40"/>
      <c r="AP1305" s="40"/>
    </row>
  </sheetData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9" width="16.71"/>
    <col customWidth="1" min="10" max="10" width="17.43"/>
    <col customWidth="1" min="11" max="16" width="16.71"/>
  </cols>
  <sheetData>
    <row r="1" ht="15.0" customHeight="1">
      <c r="A1" s="27"/>
      <c r="B1" s="27" t="s">
        <v>1330</v>
      </c>
      <c r="C1" s="27" t="s">
        <v>1331</v>
      </c>
      <c r="D1" s="27" t="s">
        <v>1332</v>
      </c>
      <c r="E1" s="27" t="s">
        <v>1333</v>
      </c>
      <c r="F1" s="43" t="s">
        <v>1334</v>
      </c>
      <c r="G1" s="43" t="s">
        <v>1405</v>
      </c>
      <c r="H1" s="43" t="s">
        <v>1406</v>
      </c>
      <c r="I1" s="43" t="s">
        <v>1406</v>
      </c>
      <c r="J1" s="43" t="s">
        <v>1406</v>
      </c>
      <c r="K1" s="43" t="s">
        <v>1407</v>
      </c>
      <c r="L1" s="43" t="s">
        <v>1408</v>
      </c>
      <c r="M1" s="43" t="s">
        <v>1409</v>
      </c>
      <c r="N1" s="27"/>
      <c r="O1" s="27"/>
      <c r="P1" s="27"/>
    </row>
    <row r="2" ht="15.0" customHeight="1">
      <c r="A2" s="25"/>
      <c r="B2" s="44" t="s">
        <v>1358</v>
      </c>
      <c r="C2" s="44" t="s">
        <v>1358</v>
      </c>
      <c r="D2" s="44" t="s">
        <v>1358</v>
      </c>
      <c r="E2" s="44" t="s">
        <v>1358</v>
      </c>
      <c r="F2" s="45" t="s">
        <v>1359</v>
      </c>
      <c r="G2" s="45" t="s">
        <v>115</v>
      </c>
      <c r="H2" s="45" t="s">
        <v>1363</v>
      </c>
      <c r="I2" s="45" t="s">
        <v>1360</v>
      </c>
      <c r="J2" s="45" t="s">
        <v>1361</v>
      </c>
      <c r="K2" s="45" t="s">
        <v>1360</v>
      </c>
      <c r="L2" s="45" t="s">
        <v>1361</v>
      </c>
      <c r="M2" s="45" t="s">
        <v>1410</v>
      </c>
      <c r="N2" s="28"/>
      <c r="O2" s="28"/>
      <c r="P2" s="28"/>
    </row>
    <row r="3" ht="15.0" customHeight="1">
      <c r="A3" s="25"/>
      <c r="B3" s="44">
        <v>10.0</v>
      </c>
      <c r="C3" s="44">
        <v>10.0</v>
      </c>
      <c r="D3" s="44">
        <v>10.0</v>
      </c>
      <c r="E3" s="44">
        <v>10.0</v>
      </c>
      <c r="F3" s="46" t="s">
        <v>1366</v>
      </c>
      <c r="G3" s="44" t="s">
        <v>1411</v>
      </c>
      <c r="H3" s="44" t="s">
        <v>1368</v>
      </c>
      <c r="I3" s="44"/>
      <c r="J3" s="44"/>
      <c r="K3" s="44"/>
      <c r="L3" s="44"/>
      <c r="M3" s="44"/>
      <c r="N3" s="25"/>
      <c r="O3" s="25"/>
      <c r="P3" s="25"/>
    </row>
    <row r="4" ht="15.0" customHeight="1">
      <c r="A4" s="23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ht="15.0" customHeight="1">
      <c r="A5" s="23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ht="15.0" customHeight="1">
      <c r="A6" s="23" t="s">
        <v>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ht="15.0" customHeight="1">
      <c r="A7" s="23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34"/>
    </row>
    <row r="8" ht="15.0" customHeight="1">
      <c r="A8" s="23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ht="15.0" customHeight="1">
      <c r="A9" s="23" t="s">
        <v>7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ht="15.0" customHeight="1">
      <c r="A10" s="23" t="s">
        <v>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ht="15.0" customHeight="1">
      <c r="A11" s="23" t="s">
        <v>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ht="15.0" customHeight="1">
      <c r="A12" s="23" t="s">
        <v>10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ht="15.0" customHeight="1">
      <c r="A13" s="23" t="s">
        <v>11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ht="15.0" customHeight="1">
      <c r="A14" s="23" t="s">
        <v>12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ht="15.0" customHeight="1">
      <c r="A15" s="23" t="s">
        <v>13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ht="15.0" customHeight="1">
      <c r="A16" s="23" t="s">
        <v>14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ht="15.0" customHeight="1">
      <c r="A17" s="23" t="s">
        <v>15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ht="15.0" customHeight="1">
      <c r="A18" s="23" t="s">
        <v>16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ht="15.0" customHeight="1">
      <c r="A19" s="23" t="s">
        <v>17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ht="15.0" customHeight="1">
      <c r="A20" s="23" t="s">
        <v>18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ht="15.0" customHeight="1">
      <c r="A21" s="23" t="s">
        <v>19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ht="15.0" customHeight="1">
      <c r="A22" s="23" t="s">
        <v>20</v>
      </c>
      <c r="B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ht="15.0" customHeight="1">
      <c r="A23" s="23" t="s">
        <v>21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ht="15.0" customHeight="1">
      <c r="A24" s="23" t="s">
        <v>22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ht="15.0" customHeight="1">
      <c r="A25" s="23" t="s">
        <v>23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ht="15.0" customHeight="1">
      <c r="A26" s="23" t="s">
        <v>24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ht="15.0" customHeight="1">
      <c r="A27" s="23" t="s">
        <v>25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ht="15.0" customHeight="1">
      <c r="A28" s="23" t="s">
        <v>26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ht="15.0" customHeight="1">
      <c r="A29" s="23" t="s">
        <v>27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ht="15.0" customHeight="1">
      <c r="A30" s="23" t="s">
        <v>28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ht="15.0" customHeight="1">
      <c r="A31" s="23" t="s">
        <v>29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ht="15.0" customHeight="1">
      <c r="A32" s="23" t="s">
        <v>30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ht="15.0" customHeight="1">
      <c r="A33" s="23" t="s">
        <v>31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ht="15.0" customHeight="1">
      <c r="A34" s="23" t="s">
        <v>32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ht="15.0" customHeight="1">
      <c r="A35" s="23" t="s">
        <v>33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ht="15.0" customHeight="1">
      <c r="A36" s="23" t="s">
        <v>34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ht="15.0" customHeight="1">
      <c r="A37" s="23" t="s">
        <v>35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ht="15.0" customHeight="1">
      <c r="A38" s="23" t="s">
        <v>36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ht="15.0" customHeight="1">
      <c r="A39" s="23" t="s">
        <v>37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ht="15.0" customHeight="1">
      <c r="A40" s="23" t="s">
        <v>38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ht="15.0" customHeight="1">
      <c r="A41" s="23" t="s">
        <v>39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ht="15.0" customHeight="1">
      <c r="A42" s="23" t="s">
        <v>40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ht="15.0" customHeight="1">
      <c r="A43" s="23" t="s">
        <v>41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ht="15.0" customHeight="1">
      <c r="A44" s="23" t="s">
        <v>42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ht="15.0" customHeight="1">
      <c r="A45" s="23" t="s">
        <v>43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ht="15.0" customHeight="1">
      <c r="A46" s="23" t="s">
        <v>44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ht="15.0" customHeight="1">
      <c r="A47" s="23" t="s">
        <v>45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ht="15.0" customHeight="1">
      <c r="A48" s="23" t="s">
        <v>46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ht="15.0" customHeight="1">
      <c r="A49" s="23" t="s">
        <v>47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ht="15.0" customHeight="1">
      <c r="A50" s="23" t="s">
        <v>48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ht="15.0" customHeight="1">
      <c r="A51" s="23" t="s">
        <v>49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ht="15.0" customHeight="1">
      <c r="A52" s="23" t="s">
        <v>50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ht="15.0" customHeight="1">
      <c r="A53" s="23" t="s">
        <v>51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ht="15.0" customHeight="1">
      <c r="A54" s="23" t="s">
        <v>52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ht="15.0" customHeight="1">
      <c r="A55" s="23" t="s">
        <v>53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ht="15.0" customHeight="1">
      <c r="A56" s="23" t="s">
        <v>54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ht="15.0" customHeight="1">
      <c r="A57" s="23" t="s">
        <v>55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ht="15.0" customHeight="1">
      <c r="A58" s="23" t="s">
        <v>56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ht="15.0" customHeight="1">
      <c r="A59" s="23" t="s">
        <v>57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ht="15.0" customHeight="1">
      <c r="A60" s="23" t="s">
        <v>58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ht="15.0" customHeight="1">
      <c r="A61" s="23" t="s">
        <v>59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ht="15.0" customHeight="1">
      <c r="A62" s="23" t="s">
        <v>60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ht="15.0" customHeight="1">
      <c r="A63" s="23" t="s">
        <v>61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ht="15.0" customHeight="1">
      <c r="A64" s="23" t="s">
        <v>62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ht="15.0" customHeight="1">
      <c r="A65" s="23" t="s">
        <v>63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ht="15.0" customHeight="1">
      <c r="A66" s="23" t="s">
        <v>64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ht="15.0" customHeight="1">
      <c r="A67" s="23" t="s">
        <v>65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ht="15.0" customHeight="1">
      <c r="A68" s="23" t="s">
        <v>66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ht="15.0" customHeight="1">
      <c r="A69" s="23" t="s">
        <v>67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ht="15.0" customHeight="1">
      <c r="A70" s="23" t="s">
        <v>68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ht="15.0" customHeight="1">
      <c r="A71" s="23" t="s">
        <v>69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ht="15.0" customHeight="1">
      <c r="A72" s="23" t="s">
        <v>70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ht="15.0" customHeight="1">
      <c r="A73" s="23" t="s">
        <v>71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ht="15.0" customHeight="1">
      <c r="A74" s="23" t="s">
        <v>72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ht="15.0" customHeight="1">
      <c r="A75" s="23" t="s">
        <v>73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ht="15.0" customHeight="1">
      <c r="A76" s="23" t="s">
        <v>74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ht="15.0" customHeight="1">
      <c r="A77" s="23" t="s">
        <v>75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ht="15.0" customHeight="1">
      <c r="A78" s="23" t="s">
        <v>76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ht="15.0" customHeight="1">
      <c r="A79" s="23" t="s">
        <v>77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ht="15.0" customHeight="1">
      <c r="A80" s="23" t="s">
        <v>78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ht="15.0" customHeight="1">
      <c r="A81" s="23" t="s">
        <v>79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ht="15.0" customHeight="1">
      <c r="A82" s="23" t="s">
        <v>80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ht="15.0" customHeight="1">
      <c r="A83" s="23" t="s">
        <v>81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ht="15.0" customHeight="1">
      <c r="A84" s="23" t="s">
        <v>82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ht="15.0" customHeight="1">
      <c r="A85" s="23" t="s">
        <v>83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ht="15.0" customHeight="1">
      <c r="A86" s="23" t="s">
        <v>84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ht="15.0" customHeight="1">
      <c r="A87" s="23" t="s">
        <v>85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ht="15.0" customHeight="1">
      <c r="A88" s="23" t="s">
        <v>86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ht="15.0" customHeight="1">
      <c r="A89" s="23" t="s">
        <v>87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ht="15.0" customHeight="1">
      <c r="A90" s="23" t="s">
        <v>88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ht="15.0" customHeight="1">
      <c r="A91" s="23" t="s">
        <v>89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ht="15.0" customHeight="1">
      <c r="A92" s="23" t="s">
        <v>90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ht="15.0" customHeight="1">
      <c r="A93" s="23" t="s">
        <v>91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ht="15.0" customHeight="1">
      <c r="A94" s="23" t="s">
        <v>92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ht="15.0" customHeight="1">
      <c r="A95" s="23" t="s">
        <v>93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ht="15.0" customHeight="1">
      <c r="A96" s="23" t="s">
        <v>94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ht="15.0" customHeight="1">
      <c r="A97" s="23" t="s">
        <v>95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ht="15.0" customHeight="1">
      <c r="A98" s="23" t="s">
        <v>96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ht="15.0" customHeight="1">
      <c r="A99" s="23" t="s">
        <v>97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ht="15.0" customHeight="1">
      <c r="A100" s="23" t="s">
        <v>98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ht="15.0" customHeight="1">
      <c r="A101" s="23" t="s">
        <v>99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ht="15.0" customHeight="1">
      <c r="A102" s="23" t="s">
        <v>100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ht="15.0" customHeight="1">
      <c r="A103" s="23" t="s">
        <v>101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ht="15.0" customHeight="1">
      <c r="A104" s="23" t="s">
        <v>130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ht="15.0" customHeight="1">
      <c r="A105" s="23" t="s">
        <v>131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ht="15.0" customHeight="1">
      <c r="A106" s="23" t="s">
        <v>132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ht="15.0" customHeight="1">
      <c r="A107" s="23" t="s">
        <v>133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ht="15.0" customHeight="1">
      <c r="A108" s="23" t="s">
        <v>134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ht="15.0" customHeight="1">
      <c r="A109" s="23" t="s">
        <v>135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ht="15.0" customHeight="1">
      <c r="A110" s="23" t="s">
        <v>136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ht="15.0" customHeight="1">
      <c r="A111" s="23" t="s">
        <v>137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ht="15.0" customHeight="1">
      <c r="A112" s="23" t="s">
        <v>138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ht="15.0" customHeight="1">
      <c r="A113" s="23" t="s">
        <v>139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ht="15.0" customHeight="1">
      <c r="A114" s="23" t="s">
        <v>140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ht="15.0" customHeight="1">
      <c r="A115" s="23" t="s">
        <v>141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ht="15.0" customHeight="1">
      <c r="A116" s="23" t="s">
        <v>142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ht="15.0" customHeight="1">
      <c r="A117" s="23" t="s">
        <v>143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ht="15.0" customHeight="1">
      <c r="A118" s="23" t="s">
        <v>144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ht="15.0" customHeight="1">
      <c r="A119" s="23" t="s">
        <v>145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ht="15.0" customHeight="1">
      <c r="A120" s="23" t="s">
        <v>146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  <row r="121" ht="15.0" customHeight="1">
      <c r="A121" s="23" t="s">
        <v>147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</row>
    <row r="122" ht="15.0" customHeight="1">
      <c r="A122" s="23" t="s">
        <v>148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</row>
    <row r="123" ht="15.0" customHeight="1">
      <c r="A123" s="23" t="s">
        <v>149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</row>
    <row r="124" ht="15.0" customHeight="1">
      <c r="A124" s="23" t="s">
        <v>150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</row>
    <row r="125" ht="15.0" customHeight="1">
      <c r="A125" s="23" t="s">
        <v>151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</row>
    <row r="126" ht="15.0" customHeight="1">
      <c r="A126" s="23" t="s">
        <v>152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</row>
    <row r="127" ht="15.0" customHeight="1">
      <c r="A127" s="23" t="s">
        <v>153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</row>
    <row r="128" ht="15.0" customHeight="1">
      <c r="A128" s="23" t="s">
        <v>154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</row>
    <row r="129" ht="15.0" customHeight="1">
      <c r="A129" s="23" t="s">
        <v>155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</row>
    <row r="130" ht="15.0" customHeight="1">
      <c r="A130" s="23" t="s">
        <v>156</v>
      </c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</row>
    <row r="131" ht="15.0" customHeight="1">
      <c r="A131" s="23" t="s">
        <v>157</v>
      </c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ht="15.0" customHeight="1">
      <c r="A132" s="23" t="s">
        <v>158</v>
      </c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ht="15.0" customHeight="1">
      <c r="A133" s="23" t="s">
        <v>159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ht="15.0" customHeight="1">
      <c r="A134" s="23" t="s">
        <v>160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</row>
    <row r="135" ht="15.0" customHeight="1">
      <c r="A135" s="23" t="s">
        <v>161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</row>
    <row r="136" ht="15.0" customHeight="1">
      <c r="A136" s="23" t="s">
        <v>162</v>
      </c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</row>
    <row r="137" ht="15.0" customHeight="1">
      <c r="A137" s="23" t="s">
        <v>163</v>
      </c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</row>
    <row r="138" ht="15.0" customHeight="1">
      <c r="A138" s="23" t="s">
        <v>164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39" ht="15.0" customHeight="1">
      <c r="A139" s="23" t="s">
        <v>165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</row>
    <row r="140" ht="15.0" customHeight="1">
      <c r="A140" s="23" t="s">
        <v>166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</row>
    <row r="141" ht="15.0" customHeight="1">
      <c r="A141" s="23" t="s">
        <v>167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</row>
    <row r="142" ht="15.0" customHeight="1">
      <c r="A142" s="23" t="s">
        <v>168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</row>
    <row r="143" ht="15.0" customHeight="1">
      <c r="A143" s="23" t="s">
        <v>169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</row>
    <row r="144" ht="15.0" customHeight="1">
      <c r="A144" s="23" t="s">
        <v>170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</row>
    <row r="145" ht="15.0" customHeight="1">
      <c r="A145" s="23" t="s">
        <v>171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</row>
    <row r="146" ht="15.0" customHeight="1">
      <c r="A146" s="23" t="s">
        <v>172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</row>
    <row r="147" ht="15.0" customHeight="1">
      <c r="A147" s="23" t="s">
        <v>173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</row>
    <row r="148" ht="15.0" customHeight="1">
      <c r="A148" s="23" t="s">
        <v>174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</row>
    <row r="149" ht="15.0" customHeight="1">
      <c r="A149" s="23" t="s">
        <v>175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</row>
    <row r="150" ht="15.0" customHeight="1">
      <c r="A150" s="23" t="s">
        <v>176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</row>
    <row r="151" ht="15.0" customHeight="1">
      <c r="A151" s="23" t="s">
        <v>177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</row>
    <row r="152" ht="15.0" customHeight="1">
      <c r="A152" s="23" t="s">
        <v>178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</row>
    <row r="153" ht="15.0" customHeight="1">
      <c r="A153" s="23" t="s">
        <v>179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</row>
    <row r="154" ht="15.0" customHeight="1">
      <c r="A154" s="23" t="s">
        <v>180</v>
      </c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</row>
    <row r="155" ht="15.0" customHeight="1">
      <c r="A155" s="23" t="s">
        <v>181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</row>
    <row r="156" ht="15.0" customHeight="1">
      <c r="A156" s="23" t="s">
        <v>182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</row>
    <row r="157" ht="15.0" customHeight="1">
      <c r="A157" s="23" t="s">
        <v>183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</row>
    <row r="158" ht="15.0" customHeight="1">
      <c r="A158" s="23" t="s">
        <v>184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</row>
    <row r="159" ht="15.0" customHeight="1">
      <c r="A159" s="23" t="s">
        <v>185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</row>
    <row r="160" ht="15.0" customHeight="1">
      <c r="A160" s="23" t="s">
        <v>186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</row>
    <row r="161" ht="15.0" customHeight="1">
      <c r="A161" s="23" t="s">
        <v>187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</row>
    <row r="162" ht="15.0" customHeight="1">
      <c r="A162" s="23" t="s">
        <v>188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</row>
    <row r="163" ht="15.0" customHeight="1">
      <c r="A163" s="23" t="s">
        <v>189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ht="15.0" customHeight="1">
      <c r="A164" s="23" t="s">
        <v>190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</row>
    <row r="165" ht="15.0" customHeight="1">
      <c r="A165" s="23" t="s">
        <v>191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ht="15.0" customHeight="1">
      <c r="A166" s="23" t="s">
        <v>192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</row>
    <row r="167" ht="15.0" customHeight="1">
      <c r="A167" s="23" t="s">
        <v>193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</row>
    <row r="168" ht="15.0" customHeight="1">
      <c r="A168" s="23" t="s">
        <v>194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</row>
    <row r="169" ht="15.0" customHeight="1">
      <c r="A169" s="23" t="s">
        <v>195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</row>
    <row r="170" ht="15.0" customHeight="1">
      <c r="A170" s="23" t="s">
        <v>196</v>
      </c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</row>
    <row r="171" ht="15.0" customHeight="1">
      <c r="A171" s="23" t="s">
        <v>197</v>
      </c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</row>
    <row r="172" ht="15.0" customHeight="1">
      <c r="A172" s="23" t="s">
        <v>198</v>
      </c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</row>
    <row r="173" ht="15.0" customHeight="1">
      <c r="A173" s="23" t="s">
        <v>199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</row>
    <row r="174" ht="15.0" customHeight="1">
      <c r="A174" s="23" t="s">
        <v>200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</row>
    <row r="175" ht="15.0" customHeight="1">
      <c r="A175" s="23" t="s">
        <v>201</v>
      </c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</row>
    <row r="176" ht="15.0" customHeight="1">
      <c r="A176" s="23" t="s">
        <v>202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</row>
    <row r="177" ht="15.0" customHeight="1">
      <c r="A177" s="23" t="s">
        <v>203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</row>
    <row r="178" ht="15.0" customHeight="1">
      <c r="A178" s="23" t="s">
        <v>204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</row>
    <row r="179" ht="15.0" customHeight="1">
      <c r="A179" s="23" t="s">
        <v>205</v>
      </c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</row>
    <row r="180" ht="15.0" customHeight="1">
      <c r="A180" s="23" t="s">
        <v>206</v>
      </c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</row>
    <row r="181" ht="15.0" customHeight="1">
      <c r="A181" s="23" t="s">
        <v>207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</row>
    <row r="182" ht="15.0" customHeight="1">
      <c r="A182" s="23" t="s">
        <v>208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</row>
    <row r="183" ht="15.0" customHeight="1">
      <c r="A183" s="23" t="s">
        <v>209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</row>
    <row r="184" ht="15.0" customHeight="1">
      <c r="A184" s="23" t="s">
        <v>210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</row>
    <row r="185" ht="15.0" customHeight="1">
      <c r="A185" s="23" t="s">
        <v>211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</row>
    <row r="186" ht="15.0" customHeight="1">
      <c r="A186" s="23" t="s">
        <v>212</v>
      </c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</row>
    <row r="187" ht="15.0" customHeight="1">
      <c r="A187" s="23" t="s">
        <v>213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</row>
    <row r="188" ht="15.0" customHeight="1">
      <c r="A188" s="23" t="s">
        <v>214</v>
      </c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</row>
    <row r="189" ht="15.0" customHeight="1">
      <c r="A189" s="23" t="s">
        <v>215</v>
      </c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</row>
    <row r="190" ht="15.0" customHeight="1">
      <c r="A190" s="23" t="s">
        <v>216</v>
      </c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</row>
    <row r="191" ht="15.0" customHeight="1">
      <c r="A191" s="23" t="s">
        <v>217</v>
      </c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</row>
    <row r="192" ht="15.0" customHeight="1">
      <c r="A192" s="23" t="s">
        <v>218</v>
      </c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</row>
    <row r="193" ht="15.0" customHeight="1">
      <c r="A193" s="23" t="s">
        <v>219</v>
      </c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194" ht="15.0" customHeight="1">
      <c r="A194" s="23" t="s">
        <v>220</v>
      </c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</row>
    <row r="195" ht="15.0" customHeight="1">
      <c r="A195" s="23" t="s">
        <v>221</v>
      </c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</row>
    <row r="196" ht="15.0" customHeight="1">
      <c r="A196" s="23" t="s">
        <v>222</v>
      </c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</row>
    <row r="197" ht="15.0" customHeight="1">
      <c r="A197" s="23" t="s">
        <v>223</v>
      </c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</row>
    <row r="198" ht="15.0" customHeight="1">
      <c r="A198" s="23" t="s">
        <v>224</v>
      </c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</row>
    <row r="199" ht="15.0" customHeight="1">
      <c r="A199" s="23" t="s">
        <v>225</v>
      </c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</row>
    <row r="200" ht="15.0" customHeight="1">
      <c r="A200" s="23" t="s">
        <v>226</v>
      </c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</row>
    <row r="201" ht="15.0" customHeight="1">
      <c r="A201" s="23" t="s">
        <v>227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</row>
    <row r="202" ht="15.0" customHeight="1">
      <c r="A202" s="23" t="s">
        <v>228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</row>
    <row r="203" ht="15.0" customHeight="1">
      <c r="A203" s="23" t="s">
        <v>229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</row>
    <row r="204" ht="15.0" customHeight="1">
      <c r="A204" s="23" t="s">
        <v>230</v>
      </c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</row>
    <row r="205" ht="15.0" customHeight="1">
      <c r="A205" s="23" t="s">
        <v>231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</row>
    <row r="206" ht="15.0" customHeight="1">
      <c r="A206" s="23" t="s">
        <v>232</v>
      </c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</row>
    <row r="207" ht="15.0" customHeight="1">
      <c r="A207" s="23" t="s">
        <v>233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</row>
    <row r="208" ht="15.0" customHeight="1">
      <c r="A208" s="23" t="s">
        <v>234</v>
      </c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</row>
    <row r="209" ht="15.0" customHeight="1">
      <c r="A209" s="23" t="s">
        <v>235</v>
      </c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</row>
    <row r="210" ht="15.0" customHeight="1">
      <c r="A210" s="23" t="s">
        <v>236</v>
      </c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</row>
    <row r="211" ht="15.0" customHeight="1">
      <c r="A211" s="23" t="s">
        <v>237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</row>
    <row r="212" ht="15.0" customHeight="1">
      <c r="A212" s="23" t="s">
        <v>238</v>
      </c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</row>
    <row r="213" ht="15.0" customHeight="1">
      <c r="A213" s="23" t="s">
        <v>239</v>
      </c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</row>
    <row r="214" ht="15.0" customHeight="1">
      <c r="A214" s="23" t="s">
        <v>240</v>
      </c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</row>
    <row r="215" ht="15.0" customHeight="1">
      <c r="A215" s="23" t="s">
        <v>241</v>
      </c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</row>
    <row r="216" ht="15.0" customHeight="1">
      <c r="A216" s="23" t="s">
        <v>242</v>
      </c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</row>
    <row r="217" ht="15.0" customHeight="1">
      <c r="A217" s="23" t="s">
        <v>243</v>
      </c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</row>
    <row r="218" ht="15.0" customHeight="1">
      <c r="A218" s="23" t="s">
        <v>244</v>
      </c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</row>
    <row r="219" ht="15.0" customHeight="1">
      <c r="A219" s="23" t="s">
        <v>245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</row>
    <row r="220" ht="15.0" customHeight="1">
      <c r="A220" s="23" t="s">
        <v>246</v>
      </c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</row>
    <row r="221" ht="15.0" customHeight="1">
      <c r="A221" s="23" t="s">
        <v>247</v>
      </c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</row>
    <row r="222" ht="15.0" customHeight="1">
      <c r="A222" s="23" t="s">
        <v>248</v>
      </c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</row>
    <row r="223" ht="15.0" customHeight="1">
      <c r="A223" s="23" t="s">
        <v>249</v>
      </c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</row>
    <row r="224" ht="15.0" customHeight="1">
      <c r="A224" s="23" t="s">
        <v>250</v>
      </c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</row>
    <row r="225" ht="15.0" customHeight="1">
      <c r="A225" s="23" t="s">
        <v>251</v>
      </c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</row>
    <row r="226" ht="15.0" customHeight="1">
      <c r="A226" s="23" t="s">
        <v>252</v>
      </c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</row>
    <row r="227" ht="15.0" customHeight="1">
      <c r="A227" s="23" t="s">
        <v>253</v>
      </c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</row>
    <row r="228" ht="15.0" customHeight="1">
      <c r="A228" s="23" t="s">
        <v>254</v>
      </c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</row>
    <row r="229" ht="15.0" customHeight="1">
      <c r="A229" s="23" t="s">
        <v>255</v>
      </c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</row>
    <row r="230" ht="15.0" customHeight="1">
      <c r="A230" s="23" t="s">
        <v>256</v>
      </c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</row>
    <row r="231" ht="15.0" customHeight="1">
      <c r="A231" s="23" t="s">
        <v>257</v>
      </c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</row>
    <row r="232" ht="15.0" customHeight="1">
      <c r="A232" s="23" t="s">
        <v>258</v>
      </c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</row>
    <row r="233" ht="15.0" customHeight="1">
      <c r="A233" s="23" t="s">
        <v>259</v>
      </c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</row>
    <row r="234" ht="15.0" customHeight="1">
      <c r="A234" s="23" t="s">
        <v>260</v>
      </c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</row>
    <row r="235" ht="15.0" customHeight="1">
      <c r="A235" s="23" t="s">
        <v>261</v>
      </c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</row>
    <row r="236" ht="15.0" customHeight="1">
      <c r="A236" s="23" t="s">
        <v>262</v>
      </c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</row>
    <row r="237" ht="15.0" customHeight="1">
      <c r="A237" s="23" t="s">
        <v>263</v>
      </c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</row>
    <row r="238" ht="15.0" customHeight="1">
      <c r="A238" s="23" t="s">
        <v>264</v>
      </c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</row>
    <row r="239" ht="15.0" customHeight="1">
      <c r="A239" s="23" t="s">
        <v>265</v>
      </c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</row>
    <row r="240" ht="15.0" customHeight="1">
      <c r="A240" s="23" t="s">
        <v>266</v>
      </c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</row>
    <row r="241" ht="15.0" customHeight="1">
      <c r="A241" s="23" t="s">
        <v>267</v>
      </c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</row>
    <row r="242" ht="15.0" customHeight="1">
      <c r="A242" s="23" t="s">
        <v>268</v>
      </c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</row>
    <row r="243" ht="15.0" customHeight="1">
      <c r="A243" s="23" t="s">
        <v>269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</row>
    <row r="244" ht="15.0" customHeight="1">
      <c r="A244" s="23" t="s">
        <v>270</v>
      </c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</row>
    <row r="245" ht="15.0" customHeight="1">
      <c r="A245" s="23" t="s">
        <v>271</v>
      </c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</row>
    <row r="246" ht="15.0" customHeight="1">
      <c r="A246" s="23" t="s">
        <v>272</v>
      </c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</row>
    <row r="247" ht="15.0" customHeight="1">
      <c r="A247" s="23" t="s">
        <v>273</v>
      </c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</row>
    <row r="248" ht="15.0" customHeight="1">
      <c r="A248" s="23" t="s">
        <v>274</v>
      </c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</row>
    <row r="249" ht="15.0" customHeight="1">
      <c r="A249" s="23" t="s">
        <v>275</v>
      </c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</row>
    <row r="250" ht="15.0" customHeight="1">
      <c r="A250" s="23" t="s">
        <v>276</v>
      </c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</row>
    <row r="251" ht="15.0" customHeight="1">
      <c r="A251" s="23" t="s">
        <v>277</v>
      </c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</row>
    <row r="252" ht="15.0" customHeight="1">
      <c r="A252" s="23" t="s">
        <v>278</v>
      </c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</row>
    <row r="253" ht="15.0" customHeight="1">
      <c r="A253" s="23" t="s">
        <v>279</v>
      </c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</row>
    <row r="254" ht="15.0" customHeight="1">
      <c r="A254" s="23" t="s">
        <v>280</v>
      </c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</row>
    <row r="255" ht="15.0" customHeight="1">
      <c r="A255" s="23" t="s">
        <v>281</v>
      </c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</row>
    <row r="256" ht="15.0" customHeight="1">
      <c r="A256" s="23" t="s">
        <v>282</v>
      </c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</row>
    <row r="257" ht="15.0" customHeight="1">
      <c r="A257" s="23" t="s">
        <v>283</v>
      </c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</row>
    <row r="258" ht="15.0" customHeight="1">
      <c r="A258" s="23" t="s">
        <v>284</v>
      </c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</row>
    <row r="259" ht="15.0" customHeight="1">
      <c r="A259" s="23" t="s">
        <v>285</v>
      </c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</row>
    <row r="260" ht="15.0" customHeight="1">
      <c r="A260" s="23" t="s">
        <v>286</v>
      </c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</row>
    <row r="261" ht="15.0" customHeight="1">
      <c r="A261" s="23" t="s">
        <v>287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</row>
    <row r="262" ht="15.0" customHeight="1">
      <c r="A262" s="23" t="s">
        <v>288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</row>
    <row r="263" ht="15.0" customHeight="1">
      <c r="A263" s="23" t="s">
        <v>289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</row>
    <row r="264" ht="15.0" customHeight="1">
      <c r="A264" s="23" t="s">
        <v>290</v>
      </c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</row>
    <row r="265" ht="15.0" customHeight="1">
      <c r="A265" s="23" t="s">
        <v>291</v>
      </c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</row>
    <row r="266" ht="15.0" customHeight="1">
      <c r="A266" s="23" t="s">
        <v>292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</row>
    <row r="267" ht="15.0" customHeight="1">
      <c r="A267" s="23" t="s">
        <v>293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</row>
    <row r="268" ht="15.0" customHeight="1">
      <c r="A268" s="23" t="s">
        <v>294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</row>
    <row r="269" ht="15.0" customHeight="1">
      <c r="A269" s="23" t="s">
        <v>295</v>
      </c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</row>
    <row r="270" ht="15.0" customHeight="1">
      <c r="A270" s="23" t="s">
        <v>296</v>
      </c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</row>
    <row r="271" ht="15.0" customHeight="1">
      <c r="A271" s="23" t="s">
        <v>297</v>
      </c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</row>
    <row r="272" ht="15.0" customHeight="1">
      <c r="A272" s="23" t="s">
        <v>298</v>
      </c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</row>
    <row r="273" ht="15.0" customHeight="1">
      <c r="A273" s="23" t="s">
        <v>299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</row>
    <row r="274" ht="15.0" customHeight="1">
      <c r="A274" s="23" t="s">
        <v>300</v>
      </c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</row>
    <row r="275" ht="15.0" customHeight="1">
      <c r="A275" s="23" t="s">
        <v>301</v>
      </c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</row>
    <row r="276" ht="15.0" customHeight="1">
      <c r="A276" s="23" t="s">
        <v>302</v>
      </c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</row>
    <row r="277" ht="15.0" customHeight="1">
      <c r="A277" s="23" t="s">
        <v>303</v>
      </c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</row>
    <row r="278" ht="15.0" customHeight="1">
      <c r="A278" s="23" t="s">
        <v>304</v>
      </c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</row>
    <row r="279" ht="15.0" customHeight="1">
      <c r="A279" s="23" t="s">
        <v>305</v>
      </c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</row>
    <row r="280" ht="15.0" customHeight="1">
      <c r="A280" s="23" t="s">
        <v>306</v>
      </c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</row>
    <row r="281" ht="15.0" customHeight="1">
      <c r="A281" s="23" t="s">
        <v>307</v>
      </c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</row>
    <row r="282" ht="15.0" customHeight="1">
      <c r="A282" s="23" t="s">
        <v>308</v>
      </c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</row>
    <row r="283" ht="15.0" customHeight="1">
      <c r="A283" s="23" t="s">
        <v>309</v>
      </c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</row>
    <row r="284" ht="15.0" customHeight="1">
      <c r="A284" s="23" t="s">
        <v>310</v>
      </c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</row>
    <row r="285" ht="15.0" customHeight="1">
      <c r="A285" s="23" t="s">
        <v>311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</row>
    <row r="286" ht="15.0" customHeight="1">
      <c r="A286" s="23" t="s">
        <v>312</v>
      </c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</row>
    <row r="287" ht="15.0" customHeight="1">
      <c r="A287" s="23" t="s">
        <v>313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</row>
    <row r="288" ht="15.0" customHeight="1">
      <c r="A288" s="23" t="s">
        <v>314</v>
      </c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</row>
    <row r="289" ht="15.0" customHeight="1">
      <c r="A289" s="23" t="s">
        <v>315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</row>
    <row r="290" ht="15.0" customHeight="1">
      <c r="A290" s="23" t="s">
        <v>316</v>
      </c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</row>
    <row r="291" ht="15.0" customHeight="1">
      <c r="A291" s="23" t="s">
        <v>317</v>
      </c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</row>
    <row r="292" ht="15.0" customHeight="1">
      <c r="A292" s="23" t="s">
        <v>318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</row>
    <row r="293" ht="15.0" customHeight="1">
      <c r="A293" s="23" t="s">
        <v>319</v>
      </c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</row>
    <row r="294" ht="15.0" customHeight="1">
      <c r="A294" s="23" t="s">
        <v>320</v>
      </c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</row>
    <row r="295" ht="15.0" customHeight="1">
      <c r="A295" s="23" t="s">
        <v>321</v>
      </c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</row>
    <row r="296" ht="15.0" customHeight="1">
      <c r="A296" s="23" t="s">
        <v>322</v>
      </c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</row>
    <row r="297" ht="15.0" customHeight="1">
      <c r="A297" s="23" t="s">
        <v>323</v>
      </c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</row>
    <row r="298" ht="15.0" customHeight="1">
      <c r="A298" s="23" t="s">
        <v>324</v>
      </c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</row>
    <row r="299" ht="15.0" customHeight="1">
      <c r="A299" s="23" t="s">
        <v>325</v>
      </c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</row>
    <row r="300" ht="15.0" customHeight="1">
      <c r="A300" s="23" t="s">
        <v>326</v>
      </c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</row>
    <row r="301" ht="15.0" customHeight="1">
      <c r="A301" s="23" t="s">
        <v>327</v>
      </c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</row>
    <row r="302" ht="15.0" customHeight="1">
      <c r="A302" s="23" t="s">
        <v>328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</row>
    <row r="303" ht="15.0" customHeight="1">
      <c r="A303" s="23" t="s">
        <v>329</v>
      </c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</row>
    <row r="304" ht="15.0" customHeight="1">
      <c r="A304" s="32" t="s">
        <v>330</v>
      </c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</row>
    <row r="305" ht="15.0" customHeight="1">
      <c r="A305" s="32" t="s">
        <v>331</v>
      </c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</row>
    <row r="306" ht="15.0" customHeight="1">
      <c r="A306" s="32" t="s">
        <v>332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</row>
    <row r="307" ht="15.0" customHeight="1">
      <c r="A307" s="32" t="s">
        <v>333</v>
      </c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</row>
    <row r="308" ht="15.0" customHeight="1">
      <c r="A308" s="32" t="s">
        <v>334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</row>
    <row r="309" ht="15.0" customHeight="1">
      <c r="A309" s="32" t="s">
        <v>335</v>
      </c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</row>
    <row r="310" ht="15.0" customHeight="1">
      <c r="A310" s="32" t="s">
        <v>336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</row>
    <row r="311" ht="15.0" customHeight="1">
      <c r="A311" s="32" t="s">
        <v>337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</row>
    <row r="312" ht="15.0" customHeight="1">
      <c r="A312" s="32" t="s">
        <v>338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</row>
    <row r="313" ht="15.0" customHeight="1">
      <c r="A313" s="32" t="s">
        <v>339</v>
      </c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</row>
    <row r="314" ht="15.0" customHeight="1">
      <c r="A314" s="32" t="s">
        <v>340</v>
      </c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</row>
    <row r="315" ht="15.0" customHeight="1">
      <c r="A315" s="32" t="s">
        <v>341</v>
      </c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</row>
    <row r="316" ht="15.0" customHeight="1">
      <c r="A316" s="32" t="s">
        <v>342</v>
      </c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</row>
    <row r="317" ht="15.0" customHeight="1">
      <c r="A317" s="32" t="s">
        <v>343</v>
      </c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</row>
    <row r="318" ht="15.0" customHeight="1">
      <c r="A318" s="32" t="s">
        <v>344</v>
      </c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</row>
    <row r="319" ht="15.0" customHeight="1">
      <c r="A319" s="32" t="s">
        <v>345</v>
      </c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</row>
    <row r="320" ht="15.0" customHeight="1">
      <c r="A320" s="32" t="s">
        <v>346</v>
      </c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</row>
    <row r="321" ht="15.0" customHeight="1">
      <c r="A321" s="32" t="s">
        <v>347</v>
      </c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</row>
    <row r="322" ht="15.0" customHeight="1">
      <c r="A322" s="32" t="s">
        <v>348</v>
      </c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</row>
    <row r="323" ht="15.0" customHeight="1">
      <c r="A323" s="32" t="s">
        <v>349</v>
      </c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</row>
    <row r="324" ht="15.0" customHeight="1">
      <c r="A324" s="32" t="s">
        <v>350</v>
      </c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</row>
    <row r="325" ht="15.0" customHeight="1">
      <c r="A325" s="32" t="s">
        <v>351</v>
      </c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</row>
    <row r="326" ht="15.0" customHeight="1">
      <c r="A326" s="32" t="s">
        <v>352</v>
      </c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</row>
    <row r="327" ht="15.0" customHeight="1">
      <c r="A327" s="32" t="s">
        <v>353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</row>
    <row r="328" ht="15.0" customHeight="1">
      <c r="A328" s="32" t="s">
        <v>354</v>
      </c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</row>
    <row r="329" ht="15.0" customHeight="1">
      <c r="A329" s="32" t="s">
        <v>355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</row>
    <row r="330" ht="15.0" customHeight="1">
      <c r="A330" s="32" t="s">
        <v>356</v>
      </c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</row>
    <row r="331" ht="15.0" customHeight="1">
      <c r="A331" s="32" t="s">
        <v>357</v>
      </c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</row>
    <row r="332" ht="15.0" customHeight="1">
      <c r="A332" s="32" t="s">
        <v>358</v>
      </c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</row>
    <row r="333" ht="15.0" customHeight="1">
      <c r="A333" s="32" t="s">
        <v>359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</row>
    <row r="334" ht="15.0" customHeight="1">
      <c r="A334" s="32" t="s">
        <v>360</v>
      </c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</row>
    <row r="335" ht="15.0" customHeight="1">
      <c r="A335" s="32" t="s">
        <v>361</v>
      </c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</row>
    <row r="336" ht="15.0" customHeight="1">
      <c r="A336" s="32" t="s">
        <v>362</v>
      </c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</row>
    <row r="337" ht="15.0" customHeight="1">
      <c r="A337" s="32" t="s">
        <v>363</v>
      </c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</row>
    <row r="338" ht="15.0" customHeight="1">
      <c r="A338" s="32" t="s">
        <v>364</v>
      </c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</row>
    <row r="339" ht="15.0" customHeight="1">
      <c r="A339" s="32" t="s">
        <v>365</v>
      </c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</row>
    <row r="340" ht="15.0" customHeight="1">
      <c r="A340" s="32" t="s">
        <v>366</v>
      </c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</row>
    <row r="341" ht="15.0" customHeight="1">
      <c r="A341" s="32" t="s">
        <v>367</v>
      </c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</row>
    <row r="342" ht="15.0" customHeight="1">
      <c r="A342" s="32" t="s">
        <v>368</v>
      </c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</row>
    <row r="343" ht="15.0" customHeight="1">
      <c r="A343" s="32" t="s">
        <v>369</v>
      </c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</row>
    <row r="344" ht="15.0" customHeight="1">
      <c r="A344" s="32" t="s">
        <v>370</v>
      </c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</row>
    <row r="345" ht="15.0" customHeight="1">
      <c r="A345" s="32" t="s">
        <v>371</v>
      </c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</row>
    <row r="346" ht="15.0" customHeight="1">
      <c r="A346" s="32" t="s">
        <v>372</v>
      </c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</row>
    <row r="347" ht="15.0" customHeight="1">
      <c r="A347" s="32" t="s">
        <v>373</v>
      </c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</row>
    <row r="348" ht="15.0" customHeight="1">
      <c r="A348" s="32" t="s">
        <v>374</v>
      </c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</row>
    <row r="349" ht="15.0" customHeight="1">
      <c r="A349" s="32" t="s">
        <v>375</v>
      </c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</row>
    <row r="350" ht="15.0" customHeight="1">
      <c r="A350" s="32" t="s">
        <v>376</v>
      </c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</row>
    <row r="351" ht="15.0" customHeight="1">
      <c r="A351" s="32" t="s">
        <v>377</v>
      </c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</row>
    <row r="352" ht="15.0" customHeight="1">
      <c r="A352" s="32" t="s">
        <v>378</v>
      </c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</row>
    <row r="353" ht="15.0" customHeight="1">
      <c r="A353" s="32" t="s">
        <v>379</v>
      </c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</row>
    <row r="354" ht="15.0" customHeight="1">
      <c r="A354" s="32" t="s">
        <v>380</v>
      </c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</row>
    <row r="355" ht="15.0" customHeight="1">
      <c r="A355" s="32" t="s">
        <v>381</v>
      </c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</row>
    <row r="356" ht="15.0" customHeight="1">
      <c r="A356" s="32" t="s">
        <v>382</v>
      </c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</row>
    <row r="357" ht="15.0" customHeight="1">
      <c r="A357" s="32" t="s">
        <v>383</v>
      </c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</row>
    <row r="358" ht="15.0" customHeight="1">
      <c r="A358" s="32" t="s">
        <v>384</v>
      </c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</row>
    <row r="359" ht="15.0" customHeight="1">
      <c r="A359" s="32" t="s">
        <v>385</v>
      </c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</row>
    <row r="360" ht="15.0" customHeight="1">
      <c r="A360" s="32" t="s">
        <v>386</v>
      </c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</row>
    <row r="361" ht="15.0" customHeight="1">
      <c r="A361" s="32" t="s">
        <v>387</v>
      </c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</row>
    <row r="362" ht="15.0" customHeight="1">
      <c r="A362" s="32" t="s">
        <v>388</v>
      </c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</row>
    <row r="363" ht="15.0" customHeight="1">
      <c r="A363" s="32" t="s">
        <v>389</v>
      </c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</row>
    <row r="364" ht="15.0" customHeight="1">
      <c r="A364" s="32" t="s">
        <v>390</v>
      </c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</row>
    <row r="365" ht="15.0" customHeight="1">
      <c r="A365" s="32" t="s">
        <v>391</v>
      </c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</row>
    <row r="366" ht="15.0" customHeight="1">
      <c r="A366" s="32" t="s">
        <v>392</v>
      </c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</row>
    <row r="367" ht="15.0" customHeight="1">
      <c r="A367" s="32" t="s">
        <v>393</v>
      </c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</row>
    <row r="368" ht="15.0" customHeight="1">
      <c r="A368" s="32" t="s">
        <v>394</v>
      </c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</row>
    <row r="369" ht="15.0" customHeight="1">
      <c r="A369" s="32" t="s">
        <v>395</v>
      </c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</row>
    <row r="370" ht="15.0" customHeight="1">
      <c r="A370" s="32" t="s">
        <v>396</v>
      </c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</row>
    <row r="371" ht="15.0" customHeight="1">
      <c r="A371" s="32" t="s">
        <v>397</v>
      </c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</row>
    <row r="372" ht="15.0" customHeight="1">
      <c r="A372" s="32" t="s">
        <v>398</v>
      </c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</row>
    <row r="373" ht="15.0" customHeight="1">
      <c r="A373" s="32" t="s">
        <v>399</v>
      </c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</row>
    <row r="374" ht="15.0" customHeight="1">
      <c r="A374" s="32" t="s">
        <v>400</v>
      </c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</row>
    <row r="375" ht="15.0" customHeight="1">
      <c r="A375" s="32" t="s">
        <v>401</v>
      </c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</row>
    <row r="376" ht="15.0" customHeight="1">
      <c r="A376" s="32" t="s">
        <v>402</v>
      </c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</row>
    <row r="377" ht="15.0" customHeight="1">
      <c r="A377" s="32" t="s">
        <v>403</v>
      </c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</row>
    <row r="378" ht="15.0" customHeight="1">
      <c r="A378" s="32" t="s">
        <v>404</v>
      </c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</row>
    <row r="379" ht="15.0" customHeight="1">
      <c r="A379" s="32" t="s">
        <v>405</v>
      </c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</row>
    <row r="380" ht="15.0" customHeight="1">
      <c r="A380" s="32" t="s">
        <v>406</v>
      </c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</row>
    <row r="381" ht="15.0" customHeight="1">
      <c r="A381" s="32" t="s">
        <v>407</v>
      </c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</row>
    <row r="382" ht="15.0" customHeight="1">
      <c r="A382" s="32" t="s">
        <v>408</v>
      </c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</row>
    <row r="383" ht="15.0" customHeight="1">
      <c r="A383" s="32" t="s">
        <v>409</v>
      </c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</row>
    <row r="384" ht="15.0" customHeight="1">
      <c r="A384" s="32" t="s">
        <v>410</v>
      </c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</row>
    <row r="385" ht="15.0" customHeight="1">
      <c r="A385" s="32" t="s">
        <v>411</v>
      </c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</row>
    <row r="386" ht="15.0" customHeight="1">
      <c r="A386" s="32" t="s">
        <v>412</v>
      </c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</row>
    <row r="387" ht="15.0" customHeight="1">
      <c r="A387" s="32" t="s">
        <v>413</v>
      </c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</row>
    <row r="388" ht="15.0" customHeight="1">
      <c r="A388" s="32" t="s">
        <v>414</v>
      </c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</row>
    <row r="389" ht="15.0" customHeight="1">
      <c r="A389" s="32" t="s">
        <v>415</v>
      </c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</row>
    <row r="390" ht="15.0" customHeight="1">
      <c r="A390" s="32" t="s">
        <v>416</v>
      </c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</row>
    <row r="391" ht="15.0" customHeight="1">
      <c r="A391" s="32" t="s">
        <v>417</v>
      </c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</row>
    <row r="392" ht="15.0" customHeight="1">
      <c r="A392" s="32" t="s">
        <v>418</v>
      </c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</row>
    <row r="393" ht="15.0" customHeight="1">
      <c r="A393" s="32" t="s">
        <v>419</v>
      </c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</row>
    <row r="394" ht="15.0" customHeight="1">
      <c r="A394" s="32" t="s">
        <v>420</v>
      </c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</row>
    <row r="395" ht="15.0" customHeight="1">
      <c r="A395" s="32" t="s">
        <v>421</v>
      </c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</row>
    <row r="396" ht="15.0" customHeight="1">
      <c r="A396" s="32" t="s">
        <v>422</v>
      </c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</row>
    <row r="397" ht="15.0" customHeight="1">
      <c r="A397" s="32" t="s">
        <v>423</v>
      </c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</row>
    <row r="398" ht="15.0" customHeight="1">
      <c r="A398" s="32" t="s">
        <v>424</v>
      </c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</row>
    <row r="399" ht="15.0" customHeight="1">
      <c r="A399" s="32" t="s">
        <v>425</v>
      </c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</row>
    <row r="400" ht="15.0" customHeight="1">
      <c r="A400" s="32" t="s">
        <v>426</v>
      </c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</row>
    <row r="401" ht="15.0" customHeight="1">
      <c r="A401" s="32" t="s">
        <v>427</v>
      </c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</row>
    <row r="402" ht="15.0" customHeight="1">
      <c r="A402" s="32" t="s">
        <v>428</v>
      </c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</row>
    <row r="403" ht="15.0" customHeight="1">
      <c r="A403" s="32" t="s">
        <v>429</v>
      </c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</row>
    <row r="404" ht="15.0" customHeight="1">
      <c r="A404" s="32" t="s">
        <v>430</v>
      </c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</row>
    <row r="405" ht="15.0" customHeight="1">
      <c r="A405" s="32" t="s">
        <v>431</v>
      </c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</row>
    <row r="406" ht="15.0" customHeight="1">
      <c r="A406" s="32" t="s">
        <v>432</v>
      </c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</row>
    <row r="407" ht="15.0" customHeight="1">
      <c r="A407" s="32" t="s">
        <v>433</v>
      </c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</row>
    <row r="408" ht="15.0" customHeight="1">
      <c r="A408" s="32" t="s">
        <v>434</v>
      </c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</row>
    <row r="409" ht="15.0" customHeight="1">
      <c r="A409" s="32" t="s">
        <v>435</v>
      </c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</row>
    <row r="410" ht="15.0" customHeight="1">
      <c r="A410" s="32" t="s">
        <v>436</v>
      </c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</row>
    <row r="411" ht="15.0" customHeight="1">
      <c r="A411" s="32" t="s">
        <v>437</v>
      </c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</row>
    <row r="412" ht="15.0" customHeight="1">
      <c r="A412" s="32" t="s">
        <v>438</v>
      </c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</row>
    <row r="413" ht="15.0" customHeight="1">
      <c r="A413" s="32" t="s">
        <v>439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</row>
    <row r="414" ht="15.0" customHeight="1">
      <c r="A414" s="32" t="s">
        <v>440</v>
      </c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</row>
    <row r="415" ht="15.0" customHeight="1">
      <c r="A415" s="32" t="s">
        <v>441</v>
      </c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</row>
    <row r="416" ht="15.0" customHeight="1">
      <c r="A416" s="32" t="s">
        <v>442</v>
      </c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</row>
    <row r="417" ht="15.0" customHeight="1">
      <c r="A417" s="32" t="s">
        <v>443</v>
      </c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</row>
    <row r="418" ht="15.0" customHeight="1">
      <c r="A418" s="32" t="s">
        <v>444</v>
      </c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</row>
    <row r="419" ht="15.0" customHeight="1">
      <c r="A419" s="32" t="s">
        <v>445</v>
      </c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</row>
    <row r="420" ht="15.0" customHeight="1">
      <c r="A420" s="32" t="s">
        <v>446</v>
      </c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</row>
    <row r="421" ht="15.0" customHeight="1">
      <c r="A421" s="32" t="s">
        <v>447</v>
      </c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</row>
    <row r="422" ht="15.0" customHeight="1">
      <c r="A422" s="32" t="s">
        <v>448</v>
      </c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</row>
    <row r="423" ht="15.0" customHeight="1">
      <c r="A423" s="32" t="s">
        <v>449</v>
      </c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</row>
    <row r="424" ht="15.0" customHeight="1">
      <c r="A424" s="32" t="s">
        <v>450</v>
      </c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</row>
    <row r="425" ht="15.0" customHeight="1">
      <c r="A425" s="32" t="s">
        <v>451</v>
      </c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</row>
    <row r="426" ht="15.0" customHeight="1">
      <c r="A426" s="32" t="s">
        <v>452</v>
      </c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</row>
    <row r="427" ht="15.0" customHeight="1">
      <c r="A427" s="32" t="s">
        <v>453</v>
      </c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</row>
    <row r="428" ht="15.0" customHeight="1">
      <c r="A428" s="32" t="s">
        <v>454</v>
      </c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</row>
    <row r="429" ht="15.0" customHeight="1">
      <c r="A429" s="32" t="s">
        <v>455</v>
      </c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</row>
    <row r="430" ht="15.0" customHeight="1">
      <c r="A430" s="32" t="s">
        <v>456</v>
      </c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</row>
    <row r="431" ht="15.0" customHeight="1">
      <c r="A431" s="32" t="s">
        <v>457</v>
      </c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</row>
    <row r="432" ht="15.0" customHeight="1">
      <c r="A432" s="32" t="s">
        <v>458</v>
      </c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</row>
    <row r="433" ht="15.0" customHeight="1">
      <c r="A433" s="32" t="s">
        <v>459</v>
      </c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</row>
    <row r="434" ht="15.0" customHeight="1">
      <c r="A434" s="32" t="s">
        <v>460</v>
      </c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</row>
    <row r="435" ht="15.0" customHeight="1">
      <c r="A435" s="32" t="s">
        <v>461</v>
      </c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</row>
    <row r="436" ht="15.0" customHeight="1">
      <c r="A436" s="32" t="s">
        <v>462</v>
      </c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</row>
    <row r="437" ht="15.0" customHeight="1">
      <c r="A437" s="32" t="s">
        <v>463</v>
      </c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</row>
    <row r="438" ht="15.0" customHeight="1">
      <c r="A438" s="32" t="s">
        <v>464</v>
      </c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</row>
    <row r="439" ht="15.0" customHeight="1">
      <c r="A439" s="32" t="s">
        <v>465</v>
      </c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</row>
    <row r="440" ht="15.0" customHeight="1">
      <c r="A440" s="32" t="s">
        <v>466</v>
      </c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</row>
    <row r="441" ht="15.0" customHeight="1">
      <c r="A441" s="32" t="s">
        <v>467</v>
      </c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</row>
    <row r="442" ht="15.0" customHeight="1">
      <c r="A442" s="32" t="s">
        <v>468</v>
      </c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</row>
    <row r="443" ht="15.0" customHeight="1">
      <c r="A443" s="32" t="s">
        <v>469</v>
      </c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</row>
    <row r="444" ht="15.0" customHeight="1">
      <c r="A444" s="32" t="s">
        <v>470</v>
      </c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</row>
    <row r="445" ht="15.0" customHeight="1">
      <c r="A445" s="32" t="s">
        <v>471</v>
      </c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</row>
    <row r="446" ht="15.0" customHeight="1">
      <c r="A446" s="32" t="s">
        <v>472</v>
      </c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</row>
    <row r="447" ht="15.0" customHeight="1">
      <c r="A447" s="32" t="s">
        <v>473</v>
      </c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</row>
    <row r="448" ht="15.0" customHeight="1">
      <c r="A448" s="32" t="s">
        <v>474</v>
      </c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</row>
    <row r="449" ht="15.0" customHeight="1">
      <c r="A449" s="32" t="s">
        <v>475</v>
      </c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</row>
    <row r="450" ht="15.0" customHeight="1">
      <c r="A450" s="32" t="s">
        <v>476</v>
      </c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</row>
    <row r="451" ht="15.0" customHeight="1">
      <c r="A451" s="32" t="s">
        <v>477</v>
      </c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</row>
    <row r="452" ht="15.0" customHeight="1">
      <c r="A452" s="32" t="s">
        <v>478</v>
      </c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</row>
    <row r="453" ht="15.0" customHeight="1">
      <c r="A453" s="32" t="s">
        <v>479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</row>
    <row r="454" ht="15.0" customHeight="1">
      <c r="A454" s="32" t="s">
        <v>480</v>
      </c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</row>
    <row r="455" ht="15.0" customHeight="1">
      <c r="A455" s="32" t="s">
        <v>481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</row>
    <row r="456" ht="15.0" customHeight="1">
      <c r="A456" s="32" t="s">
        <v>482</v>
      </c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</row>
    <row r="457" ht="15.0" customHeight="1">
      <c r="A457" s="32" t="s">
        <v>483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</row>
    <row r="458" ht="15.0" customHeight="1">
      <c r="A458" s="32" t="s">
        <v>484</v>
      </c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</row>
    <row r="459" ht="15.0" customHeight="1">
      <c r="A459" s="32" t="s">
        <v>485</v>
      </c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</row>
    <row r="460" ht="15.0" customHeight="1">
      <c r="A460" s="32" t="s">
        <v>486</v>
      </c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</row>
    <row r="461" ht="15.0" customHeight="1">
      <c r="A461" s="32" t="s">
        <v>487</v>
      </c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</row>
    <row r="462" ht="15.0" customHeight="1">
      <c r="A462" s="32" t="s">
        <v>488</v>
      </c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</row>
    <row r="463" ht="15.0" customHeight="1">
      <c r="A463" s="32" t="s">
        <v>489</v>
      </c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</row>
    <row r="464" ht="15.0" customHeight="1">
      <c r="A464" s="32" t="s">
        <v>490</v>
      </c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</row>
    <row r="465" ht="15.0" customHeight="1">
      <c r="A465" s="32" t="s">
        <v>491</v>
      </c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</row>
    <row r="466" ht="15.0" customHeight="1">
      <c r="A466" s="32" t="s">
        <v>492</v>
      </c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</row>
    <row r="467" ht="15.0" customHeight="1">
      <c r="A467" s="32" t="s">
        <v>493</v>
      </c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</row>
    <row r="468" ht="15.0" customHeight="1">
      <c r="A468" s="32" t="s">
        <v>494</v>
      </c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</row>
    <row r="469" ht="15.0" customHeight="1">
      <c r="A469" s="32" t="s">
        <v>495</v>
      </c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</row>
    <row r="470" ht="15.0" customHeight="1">
      <c r="A470" s="32" t="s">
        <v>496</v>
      </c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</row>
    <row r="471" ht="15.0" customHeight="1">
      <c r="A471" s="32" t="s">
        <v>497</v>
      </c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</row>
    <row r="472" ht="15.0" customHeight="1">
      <c r="A472" s="32" t="s">
        <v>498</v>
      </c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</row>
    <row r="473" ht="15.0" customHeight="1">
      <c r="A473" s="32" t="s">
        <v>499</v>
      </c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</row>
    <row r="474" ht="15.0" customHeight="1">
      <c r="A474" s="32" t="s">
        <v>500</v>
      </c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</row>
    <row r="475" ht="15.0" customHeight="1">
      <c r="A475" s="32" t="s">
        <v>501</v>
      </c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</row>
    <row r="476" ht="15.0" customHeight="1">
      <c r="A476" s="32" t="s">
        <v>502</v>
      </c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</row>
    <row r="477" ht="15.0" customHeight="1">
      <c r="A477" s="32" t="s">
        <v>503</v>
      </c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</row>
    <row r="478" ht="15.0" customHeight="1">
      <c r="A478" s="32" t="s">
        <v>504</v>
      </c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</row>
    <row r="479" ht="15.0" customHeight="1">
      <c r="A479" s="32" t="s">
        <v>505</v>
      </c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</row>
    <row r="480" ht="15.0" customHeight="1">
      <c r="A480" s="32" t="s">
        <v>506</v>
      </c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</row>
    <row r="481" ht="15.0" customHeight="1">
      <c r="A481" s="32" t="s">
        <v>507</v>
      </c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</row>
    <row r="482" ht="15.0" customHeight="1">
      <c r="A482" s="32" t="s">
        <v>508</v>
      </c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</row>
    <row r="483" ht="15.0" customHeight="1">
      <c r="A483" s="32" t="s">
        <v>509</v>
      </c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</row>
    <row r="484" ht="15.0" customHeight="1">
      <c r="A484" s="32" t="s">
        <v>510</v>
      </c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</row>
    <row r="485" ht="15.0" customHeight="1">
      <c r="A485" s="32" t="s">
        <v>511</v>
      </c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</row>
    <row r="486" ht="15.0" customHeight="1">
      <c r="A486" s="32" t="s">
        <v>512</v>
      </c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</row>
    <row r="487" ht="15.0" customHeight="1">
      <c r="A487" s="32" t="s">
        <v>513</v>
      </c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</row>
    <row r="488" ht="15.0" customHeight="1">
      <c r="A488" s="32" t="s">
        <v>514</v>
      </c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</row>
    <row r="489" ht="15.0" customHeight="1">
      <c r="A489" s="32" t="s">
        <v>515</v>
      </c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</row>
    <row r="490" ht="15.0" customHeight="1">
      <c r="A490" s="32" t="s">
        <v>516</v>
      </c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</row>
    <row r="491" ht="15.0" customHeight="1">
      <c r="A491" s="32" t="s">
        <v>517</v>
      </c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</row>
    <row r="492" ht="15.0" customHeight="1">
      <c r="A492" s="32" t="s">
        <v>518</v>
      </c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</row>
    <row r="493" ht="15.0" customHeight="1">
      <c r="A493" s="32" t="s">
        <v>519</v>
      </c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</row>
    <row r="494" ht="15.0" customHeight="1">
      <c r="A494" s="32" t="s">
        <v>520</v>
      </c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</row>
    <row r="495" ht="15.0" customHeight="1">
      <c r="A495" s="32" t="s">
        <v>521</v>
      </c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</row>
    <row r="496" ht="15.0" customHeight="1">
      <c r="A496" s="32" t="s">
        <v>522</v>
      </c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</row>
    <row r="497" ht="15.0" customHeight="1">
      <c r="A497" s="32" t="s">
        <v>523</v>
      </c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</row>
    <row r="498" ht="15.0" customHeight="1">
      <c r="A498" s="32" t="s">
        <v>524</v>
      </c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</row>
    <row r="499" ht="15.0" customHeight="1">
      <c r="A499" s="32" t="s">
        <v>525</v>
      </c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</row>
    <row r="500" ht="15.0" customHeight="1">
      <c r="A500" s="32" t="s">
        <v>526</v>
      </c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</row>
    <row r="501" ht="15.0" customHeight="1">
      <c r="A501" s="32" t="s">
        <v>527</v>
      </c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</row>
    <row r="502" ht="15.0" customHeight="1">
      <c r="A502" s="32" t="s">
        <v>528</v>
      </c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</row>
    <row r="503" ht="15.0" customHeight="1">
      <c r="A503" s="32" t="s">
        <v>529</v>
      </c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</row>
    <row r="504" ht="15.0" customHeight="1">
      <c r="A504" s="32" t="s">
        <v>530</v>
      </c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</row>
    <row r="505" ht="15.0" customHeight="1">
      <c r="A505" s="32" t="s">
        <v>531</v>
      </c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</row>
    <row r="506" ht="15.0" customHeight="1">
      <c r="A506" s="32" t="s">
        <v>532</v>
      </c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</row>
    <row r="507" ht="15.0" customHeight="1">
      <c r="A507" s="32" t="s">
        <v>533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</row>
    <row r="508" ht="15.0" customHeight="1">
      <c r="A508" s="32" t="s">
        <v>534</v>
      </c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</row>
    <row r="509" ht="15.0" customHeight="1">
      <c r="A509" s="32" t="s">
        <v>535</v>
      </c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</row>
    <row r="510" ht="15.0" customHeight="1">
      <c r="A510" s="32" t="s">
        <v>536</v>
      </c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</row>
    <row r="511" ht="15.0" customHeight="1">
      <c r="A511" s="32" t="s">
        <v>537</v>
      </c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</row>
    <row r="512" ht="15.0" customHeight="1">
      <c r="A512" s="32" t="s">
        <v>538</v>
      </c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</row>
    <row r="513" ht="15.0" customHeight="1">
      <c r="A513" s="32" t="s">
        <v>539</v>
      </c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</row>
    <row r="514" ht="15.0" customHeight="1">
      <c r="A514" s="32" t="s">
        <v>540</v>
      </c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</row>
    <row r="515" ht="15.0" customHeight="1">
      <c r="A515" s="32" t="s">
        <v>541</v>
      </c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</row>
    <row r="516" ht="15.0" customHeight="1">
      <c r="A516" s="32" t="s">
        <v>542</v>
      </c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</row>
    <row r="517" ht="15.0" customHeight="1">
      <c r="A517" s="32" t="s">
        <v>543</v>
      </c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</row>
    <row r="518" ht="15.0" customHeight="1">
      <c r="A518" s="32" t="s">
        <v>544</v>
      </c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</row>
    <row r="519" ht="15.0" customHeight="1">
      <c r="A519" s="32" t="s">
        <v>545</v>
      </c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</row>
    <row r="520" ht="15.0" customHeight="1">
      <c r="A520" s="32" t="s">
        <v>546</v>
      </c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</row>
    <row r="521" ht="15.0" customHeight="1">
      <c r="A521" s="32" t="s">
        <v>547</v>
      </c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</row>
    <row r="522" ht="15.0" customHeight="1">
      <c r="A522" s="32" t="s">
        <v>548</v>
      </c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</row>
    <row r="523" ht="15.0" customHeight="1">
      <c r="A523" s="32" t="s">
        <v>549</v>
      </c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</row>
    <row r="524" ht="15.0" customHeight="1">
      <c r="A524" s="32" t="s">
        <v>550</v>
      </c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</row>
    <row r="525" ht="15.0" customHeight="1">
      <c r="A525" s="32" t="s">
        <v>551</v>
      </c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</row>
    <row r="526" ht="15.0" customHeight="1">
      <c r="A526" s="32" t="s">
        <v>552</v>
      </c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</row>
    <row r="527" ht="15.0" customHeight="1">
      <c r="A527" s="32" t="s">
        <v>553</v>
      </c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</row>
    <row r="528" ht="15.0" customHeight="1">
      <c r="A528" s="32" t="s">
        <v>554</v>
      </c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</row>
    <row r="529" ht="15.0" customHeight="1">
      <c r="A529" s="32" t="s">
        <v>555</v>
      </c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</row>
    <row r="530" ht="15.0" customHeight="1">
      <c r="A530" s="32" t="s">
        <v>556</v>
      </c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</row>
    <row r="531" ht="15.0" customHeight="1">
      <c r="A531" s="32" t="s">
        <v>557</v>
      </c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</row>
    <row r="532" ht="15.0" customHeight="1">
      <c r="A532" s="32" t="s">
        <v>558</v>
      </c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</row>
    <row r="533" ht="15.0" customHeight="1">
      <c r="A533" s="32" t="s">
        <v>559</v>
      </c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</row>
    <row r="534" ht="15.0" customHeight="1">
      <c r="A534" s="32" t="s">
        <v>560</v>
      </c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</row>
    <row r="535" ht="15.0" customHeight="1">
      <c r="A535" s="32" t="s">
        <v>561</v>
      </c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</row>
    <row r="536" ht="15.0" customHeight="1">
      <c r="A536" s="32" t="s">
        <v>562</v>
      </c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</row>
    <row r="537" ht="15.0" customHeight="1">
      <c r="A537" s="32" t="s">
        <v>563</v>
      </c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</row>
    <row r="538" ht="15.0" customHeight="1">
      <c r="A538" s="32" t="s">
        <v>564</v>
      </c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</row>
    <row r="539" ht="15.0" customHeight="1">
      <c r="A539" s="32" t="s">
        <v>565</v>
      </c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</row>
    <row r="540" ht="15.0" customHeight="1">
      <c r="A540" s="32" t="s">
        <v>566</v>
      </c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</row>
    <row r="541" ht="15.0" customHeight="1">
      <c r="A541" s="32" t="s">
        <v>567</v>
      </c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</row>
    <row r="542" ht="15.0" customHeight="1">
      <c r="A542" s="32" t="s">
        <v>568</v>
      </c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</row>
    <row r="543" ht="15.0" customHeight="1">
      <c r="A543" s="32" t="s">
        <v>569</v>
      </c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</row>
    <row r="544" ht="15.0" customHeight="1">
      <c r="A544" s="32" t="s">
        <v>570</v>
      </c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</row>
    <row r="545" ht="15.0" customHeight="1">
      <c r="A545" s="32" t="s">
        <v>571</v>
      </c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</row>
    <row r="546" ht="15.0" customHeight="1">
      <c r="A546" s="32" t="s">
        <v>572</v>
      </c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</row>
    <row r="547" ht="15.0" customHeight="1">
      <c r="A547" s="32" t="s">
        <v>573</v>
      </c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</row>
    <row r="548" ht="15.0" customHeight="1">
      <c r="A548" s="32" t="s">
        <v>574</v>
      </c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</row>
    <row r="549" ht="15.0" customHeight="1">
      <c r="A549" s="32" t="s">
        <v>575</v>
      </c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</row>
    <row r="550" ht="15.0" customHeight="1">
      <c r="A550" s="32" t="s">
        <v>576</v>
      </c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</row>
    <row r="551" ht="15.0" customHeight="1">
      <c r="A551" s="32" t="s">
        <v>577</v>
      </c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</row>
    <row r="552" ht="15.0" customHeight="1">
      <c r="A552" s="32" t="s">
        <v>578</v>
      </c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</row>
    <row r="553" ht="15.0" customHeight="1">
      <c r="A553" s="32" t="s">
        <v>579</v>
      </c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</row>
    <row r="554" ht="15.0" customHeight="1">
      <c r="A554" s="32" t="s">
        <v>580</v>
      </c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</row>
    <row r="555" ht="15.0" customHeight="1">
      <c r="A555" s="32" t="s">
        <v>581</v>
      </c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</row>
    <row r="556" ht="15.0" customHeight="1">
      <c r="A556" s="32" t="s">
        <v>582</v>
      </c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</row>
    <row r="557" ht="15.0" customHeight="1">
      <c r="A557" s="32" t="s">
        <v>583</v>
      </c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</row>
    <row r="558" ht="15.0" customHeight="1">
      <c r="A558" s="32" t="s">
        <v>584</v>
      </c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</row>
    <row r="559" ht="15.0" customHeight="1">
      <c r="A559" s="32" t="s">
        <v>585</v>
      </c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</row>
    <row r="560" ht="15.0" customHeight="1">
      <c r="A560" s="32" t="s">
        <v>586</v>
      </c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</row>
    <row r="561" ht="15.0" customHeight="1">
      <c r="A561" s="32" t="s">
        <v>587</v>
      </c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</row>
    <row r="562" ht="15.0" customHeight="1">
      <c r="A562" s="32" t="s">
        <v>588</v>
      </c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</row>
    <row r="563" ht="15.0" customHeight="1">
      <c r="A563" s="32" t="s">
        <v>589</v>
      </c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</row>
    <row r="564" ht="15.0" customHeight="1">
      <c r="A564" s="32" t="s">
        <v>590</v>
      </c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</row>
    <row r="565" ht="15.0" customHeight="1">
      <c r="A565" s="32" t="s">
        <v>591</v>
      </c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</row>
    <row r="566" ht="15.0" customHeight="1">
      <c r="A566" s="32" t="s">
        <v>592</v>
      </c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</row>
    <row r="567" ht="15.0" customHeight="1">
      <c r="A567" s="32" t="s">
        <v>593</v>
      </c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</row>
    <row r="568" ht="15.0" customHeight="1">
      <c r="A568" s="32" t="s">
        <v>594</v>
      </c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</row>
    <row r="569" ht="15.0" customHeight="1">
      <c r="A569" s="32" t="s">
        <v>595</v>
      </c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</row>
    <row r="570" ht="15.0" customHeight="1">
      <c r="A570" s="32" t="s">
        <v>596</v>
      </c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</row>
    <row r="571" ht="15.0" customHeight="1">
      <c r="A571" s="32" t="s">
        <v>597</v>
      </c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</row>
    <row r="572" ht="15.0" customHeight="1">
      <c r="A572" s="32" t="s">
        <v>598</v>
      </c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</row>
    <row r="573" ht="15.0" customHeight="1">
      <c r="A573" s="32" t="s">
        <v>599</v>
      </c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</row>
    <row r="574" ht="15.0" customHeight="1">
      <c r="A574" s="32" t="s">
        <v>600</v>
      </c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</row>
    <row r="575" ht="15.0" customHeight="1">
      <c r="A575" s="32" t="s">
        <v>601</v>
      </c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</row>
    <row r="576" ht="15.0" customHeight="1">
      <c r="A576" s="32" t="s">
        <v>602</v>
      </c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</row>
    <row r="577" ht="15.0" customHeight="1">
      <c r="A577" s="32" t="s">
        <v>603</v>
      </c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</row>
    <row r="578" ht="15.0" customHeight="1">
      <c r="A578" s="32" t="s">
        <v>604</v>
      </c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</row>
    <row r="579" ht="15.0" customHeight="1">
      <c r="A579" s="32" t="s">
        <v>605</v>
      </c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</row>
    <row r="580" ht="15.0" customHeight="1">
      <c r="A580" s="32" t="s">
        <v>606</v>
      </c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</row>
    <row r="581" ht="15.0" customHeight="1">
      <c r="A581" s="32" t="s">
        <v>607</v>
      </c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</row>
    <row r="582" ht="15.0" customHeight="1">
      <c r="A582" s="32" t="s">
        <v>608</v>
      </c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</row>
    <row r="583" ht="15.0" customHeight="1">
      <c r="A583" s="32" t="s">
        <v>609</v>
      </c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</row>
    <row r="584" ht="15.0" customHeight="1">
      <c r="A584" s="32" t="s">
        <v>610</v>
      </c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</row>
    <row r="585" ht="15.0" customHeight="1">
      <c r="A585" s="32" t="s">
        <v>611</v>
      </c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</row>
    <row r="586" ht="15.0" customHeight="1">
      <c r="A586" s="32" t="s">
        <v>612</v>
      </c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</row>
    <row r="587" ht="15.0" customHeight="1">
      <c r="A587" s="32" t="s">
        <v>613</v>
      </c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</row>
    <row r="588" ht="15.0" customHeight="1">
      <c r="A588" s="32" t="s">
        <v>614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</row>
    <row r="589" ht="15.0" customHeight="1">
      <c r="A589" s="32" t="s">
        <v>615</v>
      </c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</row>
    <row r="590" ht="15.0" customHeight="1">
      <c r="A590" s="32" t="s">
        <v>616</v>
      </c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</row>
    <row r="591" ht="15.0" customHeight="1">
      <c r="A591" s="32" t="s">
        <v>617</v>
      </c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</row>
    <row r="592" ht="15.0" customHeight="1">
      <c r="A592" s="32" t="s">
        <v>618</v>
      </c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</row>
    <row r="593" ht="15.0" customHeight="1">
      <c r="A593" s="32" t="s">
        <v>619</v>
      </c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</row>
    <row r="594" ht="15.0" customHeight="1">
      <c r="A594" s="32" t="s">
        <v>620</v>
      </c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</row>
    <row r="595" ht="15.0" customHeight="1">
      <c r="A595" s="32" t="s">
        <v>621</v>
      </c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</row>
    <row r="596" ht="15.0" customHeight="1">
      <c r="A596" s="32" t="s">
        <v>622</v>
      </c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</row>
    <row r="597" ht="15.0" customHeight="1">
      <c r="A597" s="32" t="s">
        <v>623</v>
      </c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</row>
    <row r="598" ht="15.0" customHeight="1">
      <c r="A598" s="32" t="s">
        <v>624</v>
      </c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</row>
    <row r="599" ht="15.0" customHeight="1">
      <c r="A599" s="32" t="s">
        <v>625</v>
      </c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</row>
    <row r="600" ht="15.0" customHeight="1">
      <c r="A600" s="32" t="s">
        <v>626</v>
      </c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</row>
    <row r="601" ht="15.0" customHeight="1">
      <c r="A601" s="32" t="s">
        <v>627</v>
      </c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</row>
    <row r="602" ht="15.0" customHeight="1">
      <c r="A602" s="32" t="s">
        <v>628</v>
      </c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</row>
    <row r="603" ht="15.0" customHeight="1">
      <c r="A603" s="32" t="s">
        <v>629</v>
      </c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</row>
    <row r="604" ht="15.0" customHeight="1">
      <c r="A604" s="32" t="s">
        <v>630</v>
      </c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</row>
    <row r="605" ht="15.0" customHeight="1">
      <c r="A605" s="32" t="s">
        <v>631</v>
      </c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</row>
    <row r="606" ht="15.0" customHeight="1">
      <c r="A606" s="32" t="s">
        <v>632</v>
      </c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</row>
    <row r="607" ht="15.0" customHeight="1">
      <c r="A607" s="32" t="s">
        <v>633</v>
      </c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</row>
    <row r="608" ht="15.0" customHeight="1">
      <c r="A608" s="32" t="s">
        <v>634</v>
      </c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</row>
    <row r="609" ht="15.0" customHeight="1">
      <c r="A609" s="32" t="s">
        <v>635</v>
      </c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</row>
    <row r="610" ht="15.0" customHeight="1">
      <c r="A610" s="32" t="s">
        <v>636</v>
      </c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</row>
    <row r="611" ht="15.0" customHeight="1">
      <c r="A611" s="32" t="s">
        <v>637</v>
      </c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</row>
    <row r="612" ht="15.0" customHeight="1">
      <c r="A612" s="32" t="s">
        <v>638</v>
      </c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</row>
    <row r="613" ht="15.0" customHeight="1">
      <c r="A613" s="32" t="s">
        <v>639</v>
      </c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</row>
    <row r="614" ht="15.0" customHeight="1">
      <c r="A614" s="32" t="s">
        <v>640</v>
      </c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</row>
    <row r="615" ht="15.0" customHeight="1">
      <c r="A615" s="32" t="s">
        <v>641</v>
      </c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</row>
    <row r="616" ht="15.0" customHeight="1">
      <c r="A616" s="32" t="s">
        <v>642</v>
      </c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</row>
    <row r="617" ht="15.0" customHeight="1">
      <c r="A617" s="32" t="s">
        <v>643</v>
      </c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</row>
    <row r="618" ht="15.0" customHeight="1">
      <c r="A618" s="32" t="s">
        <v>644</v>
      </c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</row>
    <row r="619" ht="15.0" customHeight="1">
      <c r="A619" s="32" t="s">
        <v>645</v>
      </c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</row>
    <row r="620" ht="15.0" customHeight="1">
      <c r="A620" s="32" t="s">
        <v>646</v>
      </c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</row>
    <row r="621" ht="15.0" customHeight="1">
      <c r="A621" s="32" t="s">
        <v>647</v>
      </c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</row>
    <row r="622" ht="15.0" customHeight="1">
      <c r="A622" s="32" t="s">
        <v>648</v>
      </c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</row>
    <row r="623" ht="15.0" customHeight="1">
      <c r="A623" s="32" t="s">
        <v>649</v>
      </c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</row>
    <row r="624" ht="15.0" customHeight="1">
      <c r="A624" s="32" t="s">
        <v>650</v>
      </c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</row>
    <row r="625" ht="15.0" customHeight="1">
      <c r="A625" s="32" t="s">
        <v>651</v>
      </c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</row>
    <row r="626" ht="15.0" customHeight="1">
      <c r="A626" s="32" t="s">
        <v>652</v>
      </c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</row>
    <row r="627" ht="15.0" customHeight="1">
      <c r="A627" s="32" t="s">
        <v>653</v>
      </c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</row>
    <row r="628" ht="15.0" customHeight="1">
      <c r="A628" s="32" t="s">
        <v>654</v>
      </c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</row>
    <row r="629" ht="15.0" customHeight="1">
      <c r="A629" s="32" t="s">
        <v>655</v>
      </c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</row>
    <row r="630" ht="15.0" customHeight="1">
      <c r="A630" s="32" t="s">
        <v>656</v>
      </c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</row>
    <row r="631" ht="15.0" customHeight="1">
      <c r="A631" s="32" t="s">
        <v>657</v>
      </c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</row>
    <row r="632" ht="15.0" customHeight="1">
      <c r="A632" s="32" t="s">
        <v>658</v>
      </c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</row>
    <row r="633" ht="15.0" customHeight="1">
      <c r="A633" s="32" t="s">
        <v>659</v>
      </c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</row>
    <row r="634" ht="15.0" customHeight="1">
      <c r="A634" s="32" t="s">
        <v>660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</row>
    <row r="635" ht="15.0" customHeight="1">
      <c r="A635" s="32" t="s">
        <v>661</v>
      </c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</row>
    <row r="636" ht="15.0" customHeight="1">
      <c r="A636" s="32" t="s">
        <v>662</v>
      </c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</row>
    <row r="637" ht="15.0" customHeight="1">
      <c r="A637" s="32" t="s">
        <v>663</v>
      </c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</row>
    <row r="638" ht="15.0" customHeight="1">
      <c r="A638" s="32" t="s">
        <v>664</v>
      </c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</row>
    <row r="639" ht="15.0" customHeight="1">
      <c r="A639" s="32" t="s">
        <v>665</v>
      </c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</row>
    <row r="640" ht="15.0" customHeight="1">
      <c r="A640" s="32" t="s">
        <v>666</v>
      </c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</row>
    <row r="641" ht="15.0" customHeight="1">
      <c r="A641" s="32" t="s">
        <v>667</v>
      </c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</row>
    <row r="642" ht="15.0" customHeight="1">
      <c r="A642" s="32" t="s">
        <v>668</v>
      </c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</row>
    <row r="643" ht="15.0" customHeight="1">
      <c r="A643" s="32" t="s">
        <v>669</v>
      </c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</row>
    <row r="644" ht="15.0" customHeight="1">
      <c r="A644" s="32" t="s">
        <v>670</v>
      </c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</row>
    <row r="645" ht="15.0" customHeight="1">
      <c r="A645" s="32" t="s">
        <v>671</v>
      </c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</row>
    <row r="646" ht="15.0" customHeight="1">
      <c r="A646" s="32" t="s">
        <v>672</v>
      </c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</row>
    <row r="647" ht="15.0" customHeight="1">
      <c r="A647" s="32" t="s">
        <v>673</v>
      </c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</row>
    <row r="648" ht="15.0" customHeight="1">
      <c r="A648" s="32" t="s">
        <v>674</v>
      </c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</row>
    <row r="649" ht="15.0" customHeight="1">
      <c r="A649" s="32" t="s">
        <v>675</v>
      </c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</row>
    <row r="650" ht="15.0" customHeight="1">
      <c r="A650" s="32" t="s">
        <v>676</v>
      </c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</row>
    <row r="651" ht="15.0" customHeight="1">
      <c r="A651" s="32" t="s">
        <v>677</v>
      </c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</row>
    <row r="652" ht="15.0" customHeight="1">
      <c r="A652" s="32" t="s">
        <v>678</v>
      </c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</row>
    <row r="653" ht="15.0" customHeight="1">
      <c r="A653" s="32" t="s">
        <v>679</v>
      </c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</row>
    <row r="654" ht="15.0" customHeight="1">
      <c r="A654" s="32" t="s">
        <v>680</v>
      </c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</row>
    <row r="655" ht="15.0" customHeight="1">
      <c r="A655" s="32" t="s">
        <v>681</v>
      </c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</row>
    <row r="656" ht="15.0" customHeight="1">
      <c r="A656" s="32" t="s">
        <v>682</v>
      </c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</row>
    <row r="657" ht="15.0" customHeight="1">
      <c r="A657" s="32" t="s">
        <v>683</v>
      </c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</row>
    <row r="658" ht="15.0" customHeight="1">
      <c r="A658" s="32" t="s">
        <v>684</v>
      </c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</row>
    <row r="659" ht="15.0" customHeight="1">
      <c r="A659" s="32" t="s">
        <v>685</v>
      </c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</row>
    <row r="660" ht="15.0" customHeight="1">
      <c r="A660" s="32" t="s">
        <v>686</v>
      </c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</row>
    <row r="661" ht="15.0" customHeight="1">
      <c r="A661" s="32" t="s">
        <v>687</v>
      </c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</row>
    <row r="662" ht="15.0" customHeight="1">
      <c r="A662" s="32" t="s">
        <v>688</v>
      </c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</row>
    <row r="663" ht="15.0" customHeight="1">
      <c r="A663" s="32" t="s">
        <v>689</v>
      </c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</row>
    <row r="664" ht="15.0" customHeight="1">
      <c r="A664" s="32" t="s">
        <v>690</v>
      </c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</row>
    <row r="665" ht="15.0" customHeight="1">
      <c r="A665" s="32" t="s">
        <v>691</v>
      </c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</row>
    <row r="666" ht="15.0" customHeight="1">
      <c r="A666" s="32" t="s">
        <v>692</v>
      </c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</row>
    <row r="667" ht="15.0" customHeight="1">
      <c r="A667" s="32" t="s">
        <v>693</v>
      </c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</row>
    <row r="668" ht="15.0" customHeight="1">
      <c r="A668" s="32" t="s">
        <v>694</v>
      </c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</row>
    <row r="669" ht="15.0" customHeight="1">
      <c r="A669" s="32" t="s">
        <v>695</v>
      </c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</row>
    <row r="670" ht="15.0" customHeight="1">
      <c r="A670" s="32" t="s">
        <v>696</v>
      </c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</row>
    <row r="671" ht="15.0" customHeight="1">
      <c r="A671" s="32" t="s">
        <v>697</v>
      </c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</row>
    <row r="672" ht="15.0" customHeight="1">
      <c r="A672" s="32" t="s">
        <v>698</v>
      </c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</row>
    <row r="673" ht="15.0" customHeight="1">
      <c r="A673" s="32" t="s">
        <v>699</v>
      </c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</row>
    <row r="674" ht="15.0" customHeight="1">
      <c r="A674" s="32" t="s">
        <v>700</v>
      </c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</row>
    <row r="675" ht="15.0" customHeight="1">
      <c r="A675" s="32" t="s">
        <v>701</v>
      </c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</row>
    <row r="676" ht="15.0" customHeight="1">
      <c r="A676" s="32" t="s">
        <v>702</v>
      </c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</row>
    <row r="677" ht="15.0" customHeight="1">
      <c r="A677" s="32" t="s">
        <v>703</v>
      </c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</row>
    <row r="678" ht="15.0" customHeight="1">
      <c r="A678" s="32" t="s">
        <v>704</v>
      </c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</row>
    <row r="679" ht="15.0" customHeight="1">
      <c r="A679" s="32" t="s">
        <v>705</v>
      </c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</row>
    <row r="680" ht="15.0" customHeight="1">
      <c r="A680" s="32" t="s">
        <v>706</v>
      </c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</row>
    <row r="681" ht="15.0" customHeight="1">
      <c r="A681" s="32" t="s">
        <v>707</v>
      </c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</row>
    <row r="682" ht="15.0" customHeight="1">
      <c r="A682" s="32" t="s">
        <v>708</v>
      </c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</row>
    <row r="683" ht="15.0" customHeight="1">
      <c r="A683" s="32" t="s">
        <v>709</v>
      </c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</row>
    <row r="684" ht="15.0" customHeight="1">
      <c r="A684" s="32" t="s">
        <v>710</v>
      </c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</row>
    <row r="685" ht="15.0" customHeight="1">
      <c r="A685" s="32" t="s">
        <v>711</v>
      </c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</row>
    <row r="686" ht="15.0" customHeight="1">
      <c r="A686" s="32" t="s">
        <v>712</v>
      </c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</row>
    <row r="687" ht="15.0" customHeight="1">
      <c r="A687" s="32" t="s">
        <v>713</v>
      </c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</row>
    <row r="688" ht="15.0" customHeight="1">
      <c r="A688" s="32" t="s">
        <v>714</v>
      </c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</row>
    <row r="689" ht="15.0" customHeight="1">
      <c r="A689" s="32" t="s">
        <v>715</v>
      </c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</row>
    <row r="690" ht="15.0" customHeight="1">
      <c r="A690" s="32" t="s">
        <v>716</v>
      </c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</row>
    <row r="691" ht="15.0" customHeight="1">
      <c r="A691" s="32" t="s">
        <v>717</v>
      </c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</row>
    <row r="692" ht="15.0" customHeight="1">
      <c r="A692" s="32" t="s">
        <v>718</v>
      </c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</row>
    <row r="693" ht="15.0" customHeight="1">
      <c r="A693" s="32" t="s">
        <v>719</v>
      </c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</row>
    <row r="694" ht="15.0" customHeight="1">
      <c r="A694" s="32" t="s">
        <v>720</v>
      </c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</row>
    <row r="695" ht="15.0" customHeight="1">
      <c r="A695" s="32" t="s">
        <v>721</v>
      </c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</row>
    <row r="696" ht="15.0" customHeight="1">
      <c r="A696" s="32" t="s">
        <v>722</v>
      </c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</row>
    <row r="697" ht="15.0" customHeight="1">
      <c r="A697" s="32" t="s">
        <v>723</v>
      </c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</row>
    <row r="698" ht="15.0" customHeight="1">
      <c r="A698" s="32" t="s">
        <v>724</v>
      </c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</row>
    <row r="699" ht="15.0" customHeight="1">
      <c r="A699" s="32" t="s">
        <v>725</v>
      </c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</row>
    <row r="700" ht="15.0" customHeight="1">
      <c r="A700" s="32" t="s">
        <v>726</v>
      </c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</row>
    <row r="701" ht="15.0" customHeight="1">
      <c r="A701" s="32" t="s">
        <v>727</v>
      </c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</row>
    <row r="702" ht="15.0" customHeight="1">
      <c r="A702" s="32" t="s">
        <v>728</v>
      </c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</row>
    <row r="703" ht="15.0" customHeight="1">
      <c r="A703" s="32" t="s">
        <v>729</v>
      </c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</row>
    <row r="704" ht="15.0" customHeight="1">
      <c r="A704" s="32" t="s">
        <v>730</v>
      </c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</row>
    <row r="705" ht="15.0" customHeight="1">
      <c r="A705" s="32" t="s">
        <v>731</v>
      </c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</row>
    <row r="706" ht="15.0" customHeight="1">
      <c r="A706" s="32" t="s">
        <v>732</v>
      </c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</row>
    <row r="707" ht="15.0" customHeight="1">
      <c r="A707" s="32" t="s">
        <v>733</v>
      </c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</row>
    <row r="708" ht="15.0" customHeight="1">
      <c r="A708" s="32" t="s">
        <v>734</v>
      </c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</row>
    <row r="709" ht="15.0" customHeight="1">
      <c r="A709" s="32" t="s">
        <v>735</v>
      </c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</row>
    <row r="710" ht="15.0" customHeight="1">
      <c r="A710" s="32" t="s">
        <v>736</v>
      </c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</row>
    <row r="711" ht="15.0" customHeight="1">
      <c r="A711" s="32" t="s">
        <v>737</v>
      </c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</row>
    <row r="712" ht="15.0" customHeight="1">
      <c r="A712" s="32" t="s">
        <v>738</v>
      </c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</row>
    <row r="713" ht="15.0" customHeight="1">
      <c r="A713" s="32" t="s">
        <v>739</v>
      </c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</row>
    <row r="714" ht="15.0" customHeight="1">
      <c r="A714" s="32" t="s">
        <v>740</v>
      </c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</row>
    <row r="715" ht="15.0" customHeight="1">
      <c r="A715" s="32" t="s">
        <v>741</v>
      </c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</row>
    <row r="716" ht="15.0" customHeight="1">
      <c r="A716" s="32" t="s">
        <v>742</v>
      </c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</row>
    <row r="717" ht="15.0" customHeight="1">
      <c r="A717" s="32" t="s">
        <v>743</v>
      </c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</row>
    <row r="718" ht="15.0" customHeight="1">
      <c r="A718" s="32" t="s">
        <v>744</v>
      </c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</row>
    <row r="719" ht="15.0" customHeight="1">
      <c r="A719" s="32" t="s">
        <v>745</v>
      </c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</row>
    <row r="720" ht="15.0" customHeight="1">
      <c r="A720" s="32" t="s">
        <v>746</v>
      </c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</row>
    <row r="721" ht="15.0" customHeight="1">
      <c r="A721" s="32" t="s">
        <v>747</v>
      </c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</row>
    <row r="722" ht="15.0" customHeight="1">
      <c r="A722" s="32" t="s">
        <v>748</v>
      </c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</row>
    <row r="723" ht="15.0" customHeight="1">
      <c r="A723" s="32" t="s">
        <v>749</v>
      </c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</row>
    <row r="724" ht="15.0" customHeight="1">
      <c r="A724" s="32" t="s">
        <v>750</v>
      </c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</row>
    <row r="725" ht="15.0" customHeight="1">
      <c r="A725" s="32" t="s">
        <v>751</v>
      </c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</row>
    <row r="726" ht="15.0" customHeight="1">
      <c r="A726" s="32" t="s">
        <v>752</v>
      </c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</row>
    <row r="727" ht="15.0" customHeight="1">
      <c r="A727" s="32" t="s">
        <v>753</v>
      </c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</row>
    <row r="728" ht="15.0" customHeight="1">
      <c r="A728" s="32" t="s">
        <v>754</v>
      </c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</row>
    <row r="729" ht="15.0" customHeight="1">
      <c r="A729" s="32" t="s">
        <v>755</v>
      </c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</row>
    <row r="730" ht="15.0" customHeight="1">
      <c r="A730" s="32" t="s">
        <v>756</v>
      </c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</row>
    <row r="731" ht="15.0" customHeight="1">
      <c r="A731" s="32" t="s">
        <v>757</v>
      </c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</row>
    <row r="732" ht="15.0" customHeight="1">
      <c r="A732" s="32" t="s">
        <v>758</v>
      </c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</row>
    <row r="733" ht="15.0" customHeight="1">
      <c r="A733" s="32" t="s">
        <v>759</v>
      </c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</row>
    <row r="734" ht="15.0" customHeight="1">
      <c r="A734" s="32" t="s">
        <v>760</v>
      </c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</row>
    <row r="735" ht="15.0" customHeight="1">
      <c r="A735" s="32" t="s">
        <v>761</v>
      </c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</row>
    <row r="736" ht="15.0" customHeight="1">
      <c r="A736" s="32" t="s">
        <v>762</v>
      </c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</row>
    <row r="737" ht="15.0" customHeight="1">
      <c r="A737" s="32" t="s">
        <v>763</v>
      </c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</row>
    <row r="738" ht="15.0" customHeight="1">
      <c r="A738" s="32" t="s">
        <v>764</v>
      </c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</row>
    <row r="739" ht="15.0" customHeight="1">
      <c r="A739" s="32" t="s">
        <v>765</v>
      </c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</row>
    <row r="740" ht="15.0" customHeight="1">
      <c r="A740" s="32" t="s">
        <v>766</v>
      </c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</row>
    <row r="741" ht="15.0" customHeight="1">
      <c r="A741" s="32" t="s">
        <v>767</v>
      </c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</row>
    <row r="742" ht="15.0" customHeight="1">
      <c r="A742" s="32" t="s">
        <v>768</v>
      </c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</row>
    <row r="743" ht="15.0" customHeight="1">
      <c r="A743" s="32" t="s">
        <v>769</v>
      </c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</row>
    <row r="744" ht="15.0" customHeight="1">
      <c r="A744" s="32" t="s">
        <v>770</v>
      </c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</row>
    <row r="745" ht="15.0" customHeight="1">
      <c r="A745" s="32" t="s">
        <v>771</v>
      </c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</row>
    <row r="746" ht="15.0" customHeight="1">
      <c r="A746" s="32" t="s">
        <v>772</v>
      </c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</row>
    <row r="747" ht="15.0" customHeight="1">
      <c r="A747" s="32" t="s">
        <v>773</v>
      </c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</row>
    <row r="748" ht="15.0" customHeight="1">
      <c r="A748" s="32" t="s">
        <v>774</v>
      </c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</row>
    <row r="749" ht="15.0" customHeight="1">
      <c r="A749" s="32" t="s">
        <v>775</v>
      </c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</row>
    <row r="750" ht="15.0" customHeight="1">
      <c r="A750" s="32" t="s">
        <v>776</v>
      </c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</row>
    <row r="751" ht="15.0" customHeight="1">
      <c r="A751" s="32" t="s">
        <v>777</v>
      </c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</row>
    <row r="752" ht="15.0" customHeight="1">
      <c r="A752" s="32" t="s">
        <v>778</v>
      </c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</row>
    <row r="753" ht="15.0" customHeight="1">
      <c r="A753" s="32" t="s">
        <v>779</v>
      </c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</row>
    <row r="754" ht="15.0" customHeight="1">
      <c r="A754" s="32" t="s">
        <v>780</v>
      </c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</row>
    <row r="755" ht="15.0" customHeight="1">
      <c r="A755" s="32" t="s">
        <v>781</v>
      </c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</row>
    <row r="756" ht="15.0" customHeight="1">
      <c r="A756" s="32" t="s">
        <v>782</v>
      </c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</row>
    <row r="757" ht="15.0" customHeight="1">
      <c r="A757" s="32" t="s">
        <v>783</v>
      </c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</row>
    <row r="758" ht="15.0" customHeight="1">
      <c r="A758" s="32" t="s">
        <v>784</v>
      </c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</row>
    <row r="759" ht="15.0" customHeight="1">
      <c r="A759" s="32" t="s">
        <v>785</v>
      </c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</row>
    <row r="760" ht="15.0" customHeight="1">
      <c r="A760" s="32" t="s">
        <v>786</v>
      </c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</row>
    <row r="761" ht="15.0" customHeight="1">
      <c r="A761" s="32" t="s">
        <v>787</v>
      </c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</row>
    <row r="762" ht="15.0" customHeight="1">
      <c r="A762" s="32" t="s">
        <v>788</v>
      </c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</row>
    <row r="763" ht="15.0" customHeight="1">
      <c r="A763" s="32" t="s">
        <v>789</v>
      </c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</row>
    <row r="764" ht="15.0" customHeight="1">
      <c r="A764" s="32" t="s">
        <v>790</v>
      </c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</row>
    <row r="765" ht="15.0" customHeight="1">
      <c r="A765" s="32" t="s">
        <v>791</v>
      </c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</row>
    <row r="766" ht="15.0" customHeight="1">
      <c r="A766" s="32" t="s">
        <v>792</v>
      </c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</row>
    <row r="767" ht="15.0" customHeight="1">
      <c r="A767" s="32" t="s">
        <v>793</v>
      </c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</row>
    <row r="768" ht="15.0" customHeight="1">
      <c r="A768" s="32" t="s">
        <v>794</v>
      </c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</row>
    <row r="769" ht="15.0" customHeight="1">
      <c r="A769" s="32" t="s">
        <v>795</v>
      </c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</row>
    <row r="770" ht="15.0" customHeight="1">
      <c r="A770" s="32" t="s">
        <v>796</v>
      </c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</row>
    <row r="771" ht="15.0" customHeight="1">
      <c r="A771" s="32" t="s">
        <v>797</v>
      </c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</row>
    <row r="772" ht="15.0" customHeight="1">
      <c r="A772" s="32" t="s">
        <v>798</v>
      </c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</row>
    <row r="773" ht="15.0" customHeight="1">
      <c r="A773" s="32" t="s">
        <v>799</v>
      </c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</row>
    <row r="774" ht="15.0" customHeight="1">
      <c r="A774" s="32" t="s">
        <v>800</v>
      </c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</row>
    <row r="775" ht="15.0" customHeight="1">
      <c r="A775" s="32" t="s">
        <v>801</v>
      </c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</row>
    <row r="776" ht="15.0" customHeight="1">
      <c r="A776" s="32" t="s">
        <v>802</v>
      </c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</row>
    <row r="777" ht="15.0" customHeight="1">
      <c r="A777" s="32" t="s">
        <v>803</v>
      </c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</row>
    <row r="778" ht="15.0" customHeight="1">
      <c r="A778" s="32" t="s">
        <v>804</v>
      </c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</row>
    <row r="779" ht="15.0" customHeight="1">
      <c r="A779" s="32" t="s">
        <v>805</v>
      </c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</row>
    <row r="780" ht="15.0" customHeight="1">
      <c r="A780" s="32" t="s">
        <v>806</v>
      </c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</row>
    <row r="781" ht="15.0" customHeight="1">
      <c r="A781" s="32" t="s">
        <v>807</v>
      </c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</row>
    <row r="782" ht="15.0" customHeight="1">
      <c r="A782" s="32" t="s">
        <v>808</v>
      </c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</row>
    <row r="783" ht="15.0" customHeight="1">
      <c r="A783" s="32" t="s">
        <v>809</v>
      </c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</row>
    <row r="784" ht="15.0" customHeight="1">
      <c r="A784" s="32" t="s">
        <v>810</v>
      </c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</row>
    <row r="785" ht="15.0" customHeight="1">
      <c r="A785" s="32" t="s">
        <v>811</v>
      </c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</row>
    <row r="786" ht="15.0" customHeight="1">
      <c r="A786" s="32" t="s">
        <v>812</v>
      </c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</row>
    <row r="787" ht="15.0" customHeight="1">
      <c r="A787" s="32" t="s">
        <v>813</v>
      </c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</row>
    <row r="788" ht="15.0" customHeight="1">
      <c r="A788" s="32" t="s">
        <v>814</v>
      </c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</row>
    <row r="789" ht="15.0" customHeight="1">
      <c r="A789" s="32" t="s">
        <v>815</v>
      </c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</row>
    <row r="790" ht="15.0" customHeight="1">
      <c r="A790" s="32" t="s">
        <v>816</v>
      </c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</row>
    <row r="791" ht="15.0" customHeight="1">
      <c r="A791" s="32" t="s">
        <v>817</v>
      </c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</row>
    <row r="792" ht="15.0" customHeight="1">
      <c r="A792" s="32" t="s">
        <v>818</v>
      </c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</row>
    <row r="793" ht="15.0" customHeight="1">
      <c r="A793" s="32" t="s">
        <v>819</v>
      </c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</row>
    <row r="794" ht="15.0" customHeight="1">
      <c r="A794" s="32" t="s">
        <v>820</v>
      </c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</row>
    <row r="795" ht="15.0" customHeight="1">
      <c r="A795" s="32" t="s">
        <v>821</v>
      </c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</row>
    <row r="796" ht="15.0" customHeight="1">
      <c r="A796" s="32" t="s">
        <v>822</v>
      </c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</row>
    <row r="797" ht="15.0" customHeight="1">
      <c r="A797" s="32" t="s">
        <v>823</v>
      </c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</row>
    <row r="798" ht="15.0" customHeight="1">
      <c r="A798" s="32" t="s">
        <v>824</v>
      </c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</row>
    <row r="799" ht="15.0" customHeight="1">
      <c r="A799" s="32" t="s">
        <v>825</v>
      </c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</row>
    <row r="800" ht="15.0" customHeight="1">
      <c r="A800" s="32" t="s">
        <v>826</v>
      </c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</row>
    <row r="801" ht="15.0" customHeight="1">
      <c r="A801" s="32" t="s">
        <v>827</v>
      </c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</row>
    <row r="802" ht="15.0" customHeight="1">
      <c r="A802" s="32" t="s">
        <v>828</v>
      </c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</row>
    <row r="803" ht="15.0" customHeight="1">
      <c r="A803" s="32" t="s">
        <v>829</v>
      </c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</row>
    <row r="804" ht="15.0" customHeight="1">
      <c r="A804" s="32" t="s">
        <v>830</v>
      </c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</row>
    <row r="805" ht="15.0" customHeight="1">
      <c r="A805" s="32" t="s">
        <v>831</v>
      </c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</row>
    <row r="806" ht="15.0" customHeight="1">
      <c r="A806" s="32" t="s">
        <v>832</v>
      </c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</row>
    <row r="807" ht="15.0" customHeight="1">
      <c r="A807" s="32" t="s">
        <v>833</v>
      </c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</row>
    <row r="808" ht="15.0" customHeight="1">
      <c r="A808" s="32" t="s">
        <v>834</v>
      </c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</row>
    <row r="809" ht="15.0" customHeight="1">
      <c r="A809" s="32" t="s">
        <v>835</v>
      </c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</row>
    <row r="810" ht="15.0" customHeight="1">
      <c r="A810" s="32" t="s">
        <v>836</v>
      </c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</row>
    <row r="811" ht="15.0" customHeight="1">
      <c r="A811" s="32" t="s">
        <v>837</v>
      </c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</row>
    <row r="812" ht="15.0" customHeight="1">
      <c r="A812" s="32" t="s">
        <v>838</v>
      </c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</row>
    <row r="813" ht="15.0" customHeight="1">
      <c r="A813" s="32" t="s">
        <v>839</v>
      </c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</row>
    <row r="814" ht="15.0" customHeight="1">
      <c r="A814" s="32" t="s">
        <v>840</v>
      </c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</row>
    <row r="815" ht="15.0" customHeight="1">
      <c r="A815" s="32" t="s">
        <v>841</v>
      </c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</row>
    <row r="816" ht="15.0" customHeight="1">
      <c r="A816" s="32" t="s">
        <v>842</v>
      </c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</row>
    <row r="817" ht="15.0" customHeight="1">
      <c r="A817" s="32" t="s">
        <v>843</v>
      </c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</row>
    <row r="818" ht="15.0" customHeight="1">
      <c r="A818" s="32" t="s">
        <v>844</v>
      </c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</row>
    <row r="819" ht="15.0" customHeight="1">
      <c r="A819" s="32" t="s">
        <v>845</v>
      </c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</row>
    <row r="820" ht="15.0" customHeight="1">
      <c r="A820" s="32" t="s">
        <v>846</v>
      </c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</row>
    <row r="821" ht="15.0" customHeight="1">
      <c r="A821" s="32" t="s">
        <v>847</v>
      </c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</row>
    <row r="822" ht="15.0" customHeight="1">
      <c r="A822" s="32" t="s">
        <v>848</v>
      </c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</row>
    <row r="823" ht="15.0" customHeight="1">
      <c r="A823" s="32" t="s">
        <v>849</v>
      </c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</row>
    <row r="824" ht="15.0" customHeight="1">
      <c r="A824" s="32" t="s">
        <v>850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</row>
    <row r="825" ht="15.0" customHeight="1">
      <c r="A825" s="32" t="s">
        <v>851</v>
      </c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</row>
    <row r="826" ht="15.0" customHeight="1">
      <c r="A826" s="32" t="s">
        <v>852</v>
      </c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</row>
    <row r="827" ht="15.0" customHeight="1">
      <c r="A827" s="32" t="s">
        <v>853</v>
      </c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</row>
    <row r="828" ht="15.0" customHeight="1">
      <c r="A828" s="32" t="s">
        <v>854</v>
      </c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</row>
    <row r="829" ht="15.0" customHeight="1">
      <c r="A829" s="32" t="s">
        <v>855</v>
      </c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</row>
    <row r="830" ht="15.0" customHeight="1">
      <c r="A830" s="32" t="s">
        <v>856</v>
      </c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</row>
    <row r="831" ht="15.0" customHeight="1">
      <c r="A831" s="32" t="s">
        <v>857</v>
      </c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</row>
    <row r="832" ht="15.0" customHeight="1">
      <c r="A832" s="32" t="s">
        <v>858</v>
      </c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</row>
    <row r="833" ht="15.0" customHeight="1">
      <c r="A833" s="32" t="s">
        <v>859</v>
      </c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</row>
    <row r="834" ht="15.0" customHeight="1">
      <c r="A834" s="32" t="s">
        <v>860</v>
      </c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</row>
    <row r="835" ht="15.0" customHeight="1">
      <c r="A835" s="32" t="s">
        <v>861</v>
      </c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</row>
    <row r="836" ht="15.0" customHeight="1">
      <c r="A836" s="32" t="s">
        <v>862</v>
      </c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</row>
    <row r="837" ht="15.0" customHeight="1">
      <c r="A837" s="32" t="s">
        <v>863</v>
      </c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</row>
    <row r="838" ht="15.0" customHeight="1">
      <c r="A838" s="32" t="s">
        <v>864</v>
      </c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</row>
    <row r="839" ht="15.0" customHeight="1">
      <c r="A839" s="32" t="s">
        <v>865</v>
      </c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</row>
    <row r="840" ht="15.0" customHeight="1">
      <c r="A840" s="32" t="s">
        <v>866</v>
      </c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</row>
    <row r="841" ht="15.0" customHeight="1">
      <c r="A841" s="32" t="s">
        <v>867</v>
      </c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</row>
    <row r="842" ht="15.0" customHeight="1">
      <c r="A842" s="32" t="s">
        <v>868</v>
      </c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</row>
    <row r="843" ht="15.0" customHeight="1">
      <c r="A843" s="32" t="s">
        <v>869</v>
      </c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</row>
    <row r="844" ht="15.0" customHeight="1">
      <c r="A844" s="32" t="s">
        <v>870</v>
      </c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</row>
    <row r="845" ht="15.0" customHeight="1">
      <c r="A845" s="32" t="s">
        <v>871</v>
      </c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</row>
    <row r="846" ht="15.0" customHeight="1">
      <c r="A846" s="32" t="s">
        <v>872</v>
      </c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</row>
    <row r="847" ht="15.0" customHeight="1">
      <c r="A847" s="32" t="s">
        <v>873</v>
      </c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</row>
    <row r="848" ht="15.0" customHeight="1">
      <c r="A848" s="32" t="s">
        <v>874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</row>
    <row r="849" ht="15.0" customHeight="1">
      <c r="A849" s="32" t="s">
        <v>875</v>
      </c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</row>
    <row r="850" ht="15.0" customHeight="1">
      <c r="A850" s="32" t="s">
        <v>876</v>
      </c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</row>
    <row r="851" ht="15.0" customHeight="1">
      <c r="A851" s="32" t="s">
        <v>877</v>
      </c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</row>
    <row r="852" ht="15.0" customHeight="1">
      <c r="A852" s="32" t="s">
        <v>878</v>
      </c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</row>
    <row r="853" ht="15.0" customHeight="1">
      <c r="A853" s="32" t="s">
        <v>879</v>
      </c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</row>
    <row r="854" ht="15.0" customHeight="1">
      <c r="A854" s="32" t="s">
        <v>880</v>
      </c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</row>
    <row r="855" ht="15.0" customHeight="1">
      <c r="A855" s="32" t="s">
        <v>881</v>
      </c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</row>
    <row r="856" ht="15.0" customHeight="1">
      <c r="A856" s="32" t="s">
        <v>882</v>
      </c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</row>
    <row r="857" ht="15.0" customHeight="1">
      <c r="A857" s="32" t="s">
        <v>883</v>
      </c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</row>
    <row r="858" ht="15.0" customHeight="1">
      <c r="A858" s="32" t="s">
        <v>884</v>
      </c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</row>
    <row r="859" ht="15.0" customHeight="1">
      <c r="A859" s="32" t="s">
        <v>885</v>
      </c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</row>
    <row r="860" ht="15.0" customHeight="1">
      <c r="A860" s="32" t="s">
        <v>886</v>
      </c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</row>
    <row r="861" ht="15.0" customHeight="1">
      <c r="A861" s="32" t="s">
        <v>887</v>
      </c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</row>
    <row r="862" ht="15.0" customHeight="1">
      <c r="A862" s="32" t="s">
        <v>888</v>
      </c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</row>
    <row r="863" ht="15.0" customHeight="1">
      <c r="A863" s="32" t="s">
        <v>889</v>
      </c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</row>
    <row r="864" ht="15.0" customHeight="1">
      <c r="A864" s="32" t="s">
        <v>890</v>
      </c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</row>
    <row r="865" ht="15.0" customHeight="1">
      <c r="A865" s="32" t="s">
        <v>891</v>
      </c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</row>
    <row r="866" ht="15.0" customHeight="1">
      <c r="A866" s="32" t="s">
        <v>892</v>
      </c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</row>
    <row r="867" ht="15.0" customHeight="1">
      <c r="A867" s="32" t="s">
        <v>893</v>
      </c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</row>
    <row r="868" ht="15.0" customHeight="1">
      <c r="A868" s="32" t="s">
        <v>894</v>
      </c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</row>
    <row r="869" ht="15.0" customHeight="1">
      <c r="A869" s="32" t="s">
        <v>895</v>
      </c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</row>
    <row r="870" ht="15.0" customHeight="1">
      <c r="A870" s="32" t="s">
        <v>896</v>
      </c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</row>
    <row r="871" ht="15.0" customHeight="1">
      <c r="A871" s="32" t="s">
        <v>897</v>
      </c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</row>
    <row r="872" ht="15.0" customHeight="1">
      <c r="A872" s="32" t="s">
        <v>898</v>
      </c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</row>
    <row r="873" ht="15.0" customHeight="1">
      <c r="A873" s="32" t="s">
        <v>899</v>
      </c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</row>
    <row r="874" ht="15.0" customHeight="1">
      <c r="A874" s="32" t="s">
        <v>900</v>
      </c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</row>
    <row r="875" ht="15.0" customHeight="1">
      <c r="A875" s="32" t="s">
        <v>901</v>
      </c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</row>
    <row r="876" ht="15.0" customHeight="1">
      <c r="A876" s="32" t="s">
        <v>902</v>
      </c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</row>
    <row r="877" ht="15.0" customHeight="1">
      <c r="A877" s="32" t="s">
        <v>903</v>
      </c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</row>
    <row r="878" ht="15.0" customHeight="1">
      <c r="A878" s="32" t="s">
        <v>904</v>
      </c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</row>
    <row r="879" ht="15.0" customHeight="1">
      <c r="A879" s="32" t="s">
        <v>905</v>
      </c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</row>
    <row r="880" ht="15.0" customHeight="1">
      <c r="A880" s="32" t="s">
        <v>906</v>
      </c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</row>
    <row r="881" ht="15.0" customHeight="1">
      <c r="A881" s="32" t="s">
        <v>907</v>
      </c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</row>
    <row r="882" ht="15.0" customHeight="1">
      <c r="A882" s="32" t="s">
        <v>908</v>
      </c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</row>
    <row r="883" ht="15.0" customHeight="1">
      <c r="A883" s="32" t="s">
        <v>909</v>
      </c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</row>
    <row r="884" ht="15.0" customHeight="1">
      <c r="A884" s="32" t="s">
        <v>910</v>
      </c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</row>
    <row r="885" ht="15.0" customHeight="1">
      <c r="A885" s="32" t="s">
        <v>911</v>
      </c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</row>
    <row r="886" ht="15.0" customHeight="1">
      <c r="A886" s="32" t="s">
        <v>912</v>
      </c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</row>
    <row r="887" ht="15.0" customHeight="1">
      <c r="A887" s="32" t="s">
        <v>913</v>
      </c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</row>
    <row r="888" ht="15.0" customHeight="1">
      <c r="A888" s="32" t="s">
        <v>914</v>
      </c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</row>
    <row r="889" ht="15.0" customHeight="1">
      <c r="A889" s="32" t="s">
        <v>915</v>
      </c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</row>
    <row r="890" ht="15.0" customHeight="1">
      <c r="A890" s="32" t="s">
        <v>916</v>
      </c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</row>
    <row r="891" ht="15.0" customHeight="1">
      <c r="A891" s="32" t="s">
        <v>917</v>
      </c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</row>
    <row r="892" ht="15.0" customHeight="1">
      <c r="A892" s="32" t="s">
        <v>918</v>
      </c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</row>
    <row r="893" ht="15.0" customHeight="1">
      <c r="A893" s="32" t="s">
        <v>919</v>
      </c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</row>
    <row r="894" ht="15.0" customHeight="1">
      <c r="A894" s="32" t="s">
        <v>920</v>
      </c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</row>
    <row r="895" ht="15.0" customHeight="1">
      <c r="A895" s="32" t="s">
        <v>921</v>
      </c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</row>
    <row r="896" ht="15.0" customHeight="1">
      <c r="A896" s="32" t="s">
        <v>922</v>
      </c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</row>
    <row r="897" ht="15.0" customHeight="1">
      <c r="A897" s="32" t="s">
        <v>923</v>
      </c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</row>
    <row r="898" ht="15.0" customHeight="1">
      <c r="A898" s="32" t="s">
        <v>924</v>
      </c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</row>
    <row r="899" ht="15.0" customHeight="1">
      <c r="A899" s="32" t="s">
        <v>925</v>
      </c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</row>
    <row r="900" ht="15.0" customHeight="1">
      <c r="A900" s="32" t="s">
        <v>926</v>
      </c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</row>
    <row r="901" ht="15.0" customHeight="1">
      <c r="A901" s="32" t="s">
        <v>927</v>
      </c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</row>
    <row r="902" ht="15.0" customHeight="1">
      <c r="A902" s="32" t="s">
        <v>928</v>
      </c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</row>
    <row r="903" ht="15.0" customHeight="1">
      <c r="A903" s="32" t="s">
        <v>929</v>
      </c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</row>
    <row r="904" ht="15.0" customHeight="1">
      <c r="A904" s="32" t="s">
        <v>930</v>
      </c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</row>
    <row r="905" ht="15.0" customHeight="1">
      <c r="A905" s="32" t="s">
        <v>931</v>
      </c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</row>
    <row r="906" ht="15.0" customHeight="1">
      <c r="A906" s="32" t="s">
        <v>932</v>
      </c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</row>
    <row r="907" ht="15.0" customHeight="1">
      <c r="A907" s="32" t="s">
        <v>933</v>
      </c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</row>
    <row r="908" ht="15.0" customHeight="1">
      <c r="A908" s="32" t="s">
        <v>934</v>
      </c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</row>
    <row r="909" ht="15.0" customHeight="1">
      <c r="A909" s="32" t="s">
        <v>935</v>
      </c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</row>
    <row r="910" ht="15.0" customHeight="1">
      <c r="A910" s="32" t="s">
        <v>936</v>
      </c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</row>
    <row r="911" ht="15.0" customHeight="1">
      <c r="A911" s="32" t="s">
        <v>937</v>
      </c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</row>
    <row r="912" ht="15.0" customHeight="1">
      <c r="A912" s="32" t="s">
        <v>938</v>
      </c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</row>
    <row r="913" ht="15.0" customHeight="1">
      <c r="A913" s="32" t="s">
        <v>939</v>
      </c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</row>
    <row r="914" ht="15.0" customHeight="1">
      <c r="A914" s="32" t="s">
        <v>940</v>
      </c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</row>
    <row r="915" ht="15.0" customHeight="1">
      <c r="A915" s="32" t="s">
        <v>941</v>
      </c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</row>
    <row r="916" ht="15.0" customHeight="1">
      <c r="A916" s="32" t="s">
        <v>942</v>
      </c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</row>
    <row r="917" ht="15.0" customHeight="1">
      <c r="A917" s="32" t="s">
        <v>943</v>
      </c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</row>
    <row r="918" ht="15.0" customHeight="1">
      <c r="A918" s="32" t="s">
        <v>944</v>
      </c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</row>
    <row r="919" ht="15.0" customHeight="1">
      <c r="A919" s="32" t="s">
        <v>945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</row>
    <row r="920" ht="15.0" customHeight="1">
      <c r="A920" s="32" t="s">
        <v>946</v>
      </c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</row>
    <row r="921" ht="15.0" customHeight="1">
      <c r="A921" s="32" t="s">
        <v>947</v>
      </c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</row>
    <row r="922" ht="15.0" customHeight="1">
      <c r="A922" s="32" t="s">
        <v>948</v>
      </c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</row>
    <row r="923" ht="15.0" customHeight="1">
      <c r="A923" s="32" t="s">
        <v>949</v>
      </c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</row>
    <row r="924" ht="15.0" customHeight="1">
      <c r="A924" s="32" t="s">
        <v>950</v>
      </c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</row>
    <row r="925" ht="15.0" customHeight="1">
      <c r="A925" s="32" t="s">
        <v>951</v>
      </c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</row>
    <row r="926" ht="15.0" customHeight="1">
      <c r="A926" s="32" t="s">
        <v>952</v>
      </c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</row>
    <row r="927" ht="15.0" customHeight="1">
      <c r="A927" s="32" t="s">
        <v>953</v>
      </c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</row>
    <row r="928" ht="15.0" customHeight="1">
      <c r="A928" s="32" t="s">
        <v>954</v>
      </c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</row>
    <row r="929" ht="15.0" customHeight="1">
      <c r="A929" s="32" t="s">
        <v>955</v>
      </c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</row>
    <row r="930" ht="15.0" customHeight="1">
      <c r="A930" s="32" t="s">
        <v>956</v>
      </c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</row>
    <row r="931" ht="15.0" customHeight="1">
      <c r="A931" s="32" t="s">
        <v>957</v>
      </c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</row>
    <row r="932" ht="15.0" customHeight="1">
      <c r="A932" s="32" t="s">
        <v>958</v>
      </c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</row>
    <row r="933" ht="15.0" customHeight="1">
      <c r="A933" s="32" t="s">
        <v>959</v>
      </c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</row>
    <row r="934" ht="15.0" customHeight="1">
      <c r="A934" s="32" t="s">
        <v>960</v>
      </c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</row>
    <row r="935" ht="15.0" customHeight="1">
      <c r="A935" s="32" t="s">
        <v>961</v>
      </c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</row>
    <row r="936" ht="15.0" customHeight="1">
      <c r="A936" s="32" t="s">
        <v>962</v>
      </c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</row>
    <row r="937" ht="15.0" customHeight="1">
      <c r="A937" s="32" t="s">
        <v>963</v>
      </c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</row>
    <row r="938" ht="15.0" customHeight="1">
      <c r="A938" s="32" t="s">
        <v>964</v>
      </c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</row>
    <row r="939" ht="15.0" customHeight="1">
      <c r="A939" s="32" t="s">
        <v>965</v>
      </c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</row>
    <row r="940" ht="15.0" customHeight="1">
      <c r="A940" s="32" t="s">
        <v>966</v>
      </c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</row>
    <row r="941" ht="15.0" customHeight="1">
      <c r="A941" s="32" t="s">
        <v>967</v>
      </c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</row>
    <row r="942" ht="15.0" customHeight="1">
      <c r="A942" s="32" t="s">
        <v>968</v>
      </c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</row>
    <row r="943" ht="15.0" customHeight="1">
      <c r="A943" s="32" t="s">
        <v>969</v>
      </c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</row>
    <row r="944" ht="15.0" customHeight="1">
      <c r="A944" s="32" t="s">
        <v>970</v>
      </c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</row>
    <row r="945" ht="15.0" customHeight="1">
      <c r="A945" s="32" t="s">
        <v>971</v>
      </c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</row>
    <row r="946" ht="15.0" customHeight="1">
      <c r="A946" s="32" t="s">
        <v>972</v>
      </c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</row>
    <row r="947" ht="15.0" customHeight="1">
      <c r="A947" s="32" t="s">
        <v>973</v>
      </c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</row>
    <row r="948" ht="15.0" customHeight="1">
      <c r="A948" s="32" t="s">
        <v>974</v>
      </c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</row>
    <row r="949" ht="15.0" customHeight="1">
      <c r="A949" s="32" t="s">
        <v>975</v>
      </c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</row>
    <row r="950" ht="15.0" customHeight="1">
      <c r="A950" s="32" t="s">
        <v>976</v>
      </c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</row>
    <row r="951" ht="15.0" customHeight="1">
      <c r="A951" s="32" t="s">
        <v>977</v>
      </c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</row>
    <row r="952" ht="15.0" customHeight="1">
      <c r="A952" s="32" t="s">
        <v>978</v>
      </c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</row>
    <row r="953" ht="15.0" customHeight="1">
      <c r="A953" s="32" t="s">
        <v>979</v>
      </c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</row>
    <row r="954" ht="15.0" customHeight="1">
      <c r="A954" s="32" t="s">
        <v>980</v>
      </c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</row>
    <row r="955" ht="15.0" customHeight="1">
      <c r="A955" s="32" t="s">
        <v>981</v>
      </c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</row>
    <row r="956" ht="15.0" customHeight="1">
      <c r="A956" s="32" t="s">
        <v>982</v>
      </c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</row>
    <row r="957" ht="15.0" customHeight="1">
      <c r="A957" s="32" t="s">
        <v>983</v>
      </c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</row>
    <row r="958" ht="15.0" customHeight="1">
      <c r="A958" s="32" t="s">
        <v>984</v>
      </c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</row>
    <row r="959" ht="15.0" customHeight="1">
      <c r="A959" s="32" t="s">
        <v>985</v>
      </c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</row>
    <row r="960" ht="15.0" customHeight="1">
      <c r="A960" s="32" t="s">
        <v>986</v>
      </c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</row>
    <row r="961" ht="15.0" customHeight="1">
      <c r="A961" s="32" t="s">
        <v>987</v>
      </c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</row>
    <row r="962" ht="15.0" customHeight="1">
      <c r="A962" s="32" t="s">
        <v>988</v>
      </c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</row>
    <row r="963" ht="15.0" customHeight="1">
      <c r="A963" s="32" t="s">
        <v>989</v>
      </c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</row>
    <row r="964" ht="15.0" customHeight="1">
      <c r="A964" s="32" t="s">
        <v>990</v>
      </c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</row>
    <row r="965" ht="15.0" customHeight="1">
      <c r="A965" s="32" t="s">
        <v>991</v>
      </c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</row>
    <row r="966" ht="15.0" customHeight="1">
      <c r="A966" s="32" t="s">
        <v>992</v>
      </c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</row>
    <row r="967" ht="15.0" customHeight="1">
      <c r="A967" s="32" t="s">
        <v>993</v>
      </c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</row>
    <row r="968" ht="15.0" customHeight="1">
      <c r="A968" s="32" t="s">
        <v>994</v>
      </c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</row>
    <row r="969" ht="15.0" customHeight="1">
      <c r="A969" s="32" t="s">
        <v>995</v>
      </c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</row>
    <row r="970" ht="15.0" customHeight="1">
      <c r="A970" s="32" t="s">
        <v>996</v>
      </c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</row>
    <row r="971" ht="15.0" customHeight="1">
      <c r="A971" s="32" t="s">
        <v>997</v>
      </c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</row>
    <row r="972" ht="15.0" customHeight="1">
      <c r="A972" s="32" t="s">
        <v>998</v>
      </c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</row>
    <row r="973" ht="15.0" customHeight="1">
      <c r="A973" s="32" t="s">
        <v>999</v>
      </c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</row>
    <row r="974" ht="15.0" customHeight="1">
      <c r="A974" s="32" t="s">
        <v>1000</v>
      </c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</row>
    <row r="975" ht="15.0" customHeight="1">
      <c r="A975" s="32" t="s">
        <v>1001</v>
      </c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</row>
    <row r="976" ht="15.0" customHeight="1">
      <c r="A976" s="32" t="s">
        <v>1002</v>
      </c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</row>
    <row r="977" ht="15.0" customHeight="1">
      <c r="A977" s="32" t="s">
        <v>1003</v>
      </c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</row>
    <row r="978" ht="15.0" customHeight="1">
      <c r="A978" s="32" t="s">
        <v>1004</v>
      </c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</row>
    <row r="979" ht="15.0" customHeight="1">
      <c r="A979" s="32" t="s">
        <v>1005</v>
      </c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</row>
    <row r="980" ht="15.0" customHeight="1">
      <c r="A980" s="32" t="s">
        <v>1006</v>
      </c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</row>
    <row r="981" ht="15.0" customHeight="1">
      <c r="A981" s="32" t="s">
        <v>1007</v>
      </c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</row>
    <row r="982" ht="15.0" customHeight="1">
      <c r="A982" s="32" t="s">
        <v>1008</v>
      </c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</row>
    <row r="983" ht="15.0" customHeight="1">
      <c r="A983" s="32" t="s">
        <v>1009</v>
      </c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</row>
    <row r="984" ht="15.0" customHeight="1">
      <c r="A984" s="32" t="s">
        <v>1010</v>
      </c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</row>
    <row r="985" ht="15.0" customHeight="1">
      <c r="A985" s="32" t="s">
        <v>1011</v>
      </c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</row>
    <row r="986" ht="15.0" customHeight="1">
      <c r="A986" s="32" t="s">
        <v>1012</v>
      </c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</row>
    <row r="987" ht="15.0" customHeight="1">
      <c r="A987" s="32" t="s">
        <v>1013</v>
      </c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</row>
    <row r="988" ht="15.0" customHeight="1">
      <c r="A988" s="32" t="s">
        <v>1014</v>
      </c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</row>
    <row r="989" ht="15.0" customHeight="1">
      <c r="A989" s="32" t="s">
        <v>1015</v>
      </c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</row>
    <row r="990" ht="15.0" customHeight="1">
      <c r="A990" s="32" t="s">
        <v>1016</v>
      </c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</row>
    <row r="991" ht="15.0" customHeight="1">
      <c r="A991" s="32" t="s">
        <v>1017</v>
      </c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</row>
    <row r="992" ht="15.0" customHeight="1">
      <c r="A992" s="32" t="s">
        <v>1018</v>
      </c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</row>
    <row r="993" ht="15.0" customHeight="1">
      <c r="A993" s="32" t="s">
        <v>1019</v>
      </c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</row>
    <row r="994" ht="15.0" customHeight="1">
      <c r="A994" s="32" t="s">
        <v>1020</v>
      </c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</row>
    <row r="995" ht="15.0" customHeight="1">
      <c r="A995" s="32" t="s">
        <v>1021</v>
      </c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</row>
    <row r="996" ht="15.0" customHeight="1">
      <c r="A996" s="32" t="s">
        <v>1022</v>
      </c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</row>
    <row r="997" ht="15.0" customHeight="1">
      <c r="A997" s="32" t="s">
        <v>1023</v>
      </c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</row>
    <row r="998" ht="15.0" customHeight="1">
      <c r="A998" s="32" t="s">
        <v>1024</v>
      </c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</row>
    <row r="999" ht="15.0" customHeight="1">
      <c r="A999" s="32" t="s">
        <v>1025</v>
      </c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</row>
    <row r="1000" ht="15.0" customHeight="1">
      <c r="A1000" s="32" t="s">
        <v>1026</v>
      </c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</row>
    <row r="1001" ht="15.0" customHeight="1">
      <c r="A1001" s="32" t="s">
        <v>1027</v>
      </c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</row>
    <row r="1002" ht="15.0" customHeight="1">
      <c r="A1002" s="32" t="s">
        <v>1028</v>
      </c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</row>
    <row r="1003" ht="15.0" customHeight="1">
      <c r="A1003" s="32" t="s">
        <v>1029</v>
      </c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</row>
    <row r="1004" ht="15.0" customHeight="1">
      <c r="A1004" s="32" t="s">
        <v>1030</v>
      </c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</row>
    <row r="1005" ht="15.0" customHeight="1">
      <c r="A1005" s="32" t="s">
        <v>1031</v>
      </c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</row>
    <row r="1006" ht="15.0" customHeight="1">
      <c r="A1006" s="32" t="s">
        <v>1032</v>
      </c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</row>
    <row r="1007" ht="15.0" customHeight="1">
      <c r="A1007" s="32" t="s">
        <v>1033</v>
      </c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</row>
    <row r="1008" ht="15.0" customHeight="1">
      <c r="A1008" s="32" t="s">
        <v>1034</v>
      </c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</row>
    <row r="1009" ht="15.0" customHeight="1">
      <c r="A1009" s="32" t="s">
        <v>1035</v>
      </c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</row>
    <row r="1010" ht="15.0" customHeight="1">
      <c r="A1010" s="32" t="s">
        <v>1036</v>
      </c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</row>
    <row r="1011" ht="15.0" customHeight="1">
      <c r="A1011" s="32" t="s">
        <v>1037</v>
      </c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</row>
    <row r="1012" ht="15.0" customHeight="1">
      <c r="A1012" s="32" t="s">
        <v>1038</v>
      </c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</row>
    <row r="1013" ht="15.0" customHeight="1">
      <c r="A1013" s="32" t="s">
        <v>1039</v>
      </c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</row>
    <row r="1014" ht="15.0" customHeight="1">
      <c r="A1014" s="32" t="s">
        <v>1040</v>
      </c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</row>
    <row r="1015" ht="15.0" customHeight="1">
      <c r="A1015" s="32" t="s">
        <v>1041</v>
      </c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</row>
    <row r="1016" ht="15.0" customHeight="1">
      <c r="A1016" s="32" t="s">
        <v>1042</v>
      </c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</row>
    <row r="1017" ht="15.0" customHeight="1">
      <c r="A1017" s="32" t="s">
        <v>1043</v>
      </c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</row>
    <row r="1018" ht="15.0" customHeight="1">
      <c r="A1018" s="32" t="s">
        <v>1044</v>
      </c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</row>
    <row r="1019" ht="15.0" customHeight="1">
      <c r="A1019" s="32" t="s">
        <v>1045</v>
      </c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</row>
    <row r="1020" ht="15.0" customHeight="1">
      <c r="A1020" s="32" t="s">
        <v>1046</v>
      </c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</row>
    <row r="1021" ht="15.0" customHeight="1">
      <c r="A1021" s="32" t="s">
        <v>1047</v>
      </c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</row>
    <row r="1022" ht="15.0" customHeight="1">
      <c r="A1022" s="32" t="s">
        <v>1048</v>
      </c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</row>
    <row r="1023" ht="15.0" customHeight="1">
      <c r="A1023" s="32" t="s">
        <v>1049</v>
      </c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</row>
    <row r="1024" ht="15.0" customHeight="1">
      <c r="A1024" s="32" t="s">
        <v>1050</v>
      </c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</row>
    <row r="1025" ht="15.0" customHeight="1">
      <c r="A1025" s="32" t="s">
        <v>1051</v>
      </c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</row>
    <row r="1026" ht="15.0" customHeight="1">
      <c r="A1026" s="32" t="s">
        <v>1052</v>
      </c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</row>
    <row r="1027" ht="15.0" customHeight="1">
      <c r="A1027" s="32" t="s">
        <v>1053</v>
      </c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</row>
    <row r="1028" ht="15.0" customHeight="1">
      <c r="A1028" s="32" t="s">
        <v>1054</v>
      </c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</row>
    <row r="1029" ht="15.0" customHeight="1">
      <c r="A1029" s="32" t="s">
        <v>1055</v>
      </c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</row>
    <row r="1030" ht="15.0" customHeight="1">
      <c r="A1030" s="32" t="s">
        <v>1056</v>
      </c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</row>
    <row r="1031" ht="15.0" customHeight="1">
      <c r="A1031" s="32" t="s">
        <v>1057</v>
      </c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</row>
    <row r="1032" ht="15.0" customHeight="1">
      <c r="A1032" s="32" t="s">
        <v>1058</v>
      </c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</row>
    <row r="1033" ht="15.0" customHeight="1">
      <c r="A1033" s="32" t="s">
        <v>1059</v>
      </c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</row>
    <row r="1034" ht="15.0" customHeight="1">
      <c r="A1034" s="32" t="s">
        <v>1060</v>
      </c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</row>
    <row r="1035" ht="15.0" customHeight="1">
      <c r="A1035" s="32" t="s">
        <v>1061</v>
      </c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</row>
    <row r="1036" ht="15.0" customHeight="1">
      <c r="A1036" s="32" t="s">
        <v>1062</v>
      </c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</row>
    <row r="1037" ht="15.0" customHeight="1">
      <c r="A1037" s="32" t="s">
        <v>1063</v>
      </c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</row>
    <row r="1038" ht="15.0" customHeight="1">
      <c r="A1038" s="32" t="s">
        <v>1064</v>
      </c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</row>
    <row r="1039" ht="15.0" customHeight="1">
      <c r="A1039" s="32" t="s">
        <v>1065</v>
      </c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</row>
    <row r="1040" ht="15.0" customHeight="1">
      <c r="A1040" s="32" t="s">
        <v>1066</v>
      </c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</row>
    <row r="1041" ht="15.0" customHeight="1">
      <c r="A1041" s="32" t="s">
        <v>1067</v>
      </c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</row>
    <row r="1042" ht="15.0" customHeight="1">
      <c r="A1042" s="32" t="s">
        <v>1068</v>
      </c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</row>
    <row r="1043" ht="15.0" customHeight="1">
      <c r="A1043" s="32" t="s">
        <v>1069</v>
      </c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</row>
    <row r="1044" ht="15.0" customHeight="1">
      <c r="A1044" s="32" t="s">
        <v>1070</v>
      </c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</row>
    <row r="1045" ht="15.0" customHeight="1">
      <c r="A1045" s="32" t="s">
        <v>1071</v>
      </c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</row>
    <row r="1046" ht="15.0" customHeight="1">
      <c r="A1046" s="32" t="s">
        <v>1072</v>
      </c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</row>
    <row r="1047" ht="15.0" customHeight="1">
      <c r="A1047" s="32" t="s">
        <v>1073</v>
      </c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</row>
    <row r="1048" ht="15.0" customHeight="1">
      <c r="A1048" s="32" t="s">
        <v>1074</v>
      </c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</row>
    <row r="1049" ht="15.0" customHeight="1">
      <c r="A1049" s="32" t="s">
        <v>1075</v>
      </c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</row>
    <row r="1050" ht="15.0" customHeight="1">
      <c r="A1050" s="32" t="s">
        <v>1076</v>
      </c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</row>
    <row r="1051" ht="15.0" customHeight="1">
      <c r="A1051" s="32" t="s">
        <v>1077</v>
      </c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</row>
    <row r="1052" ht="15.0" customHeight="1">
      <c r="A1052" s="32" t="s">
        <v>1078</v>
      </c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</row>
    <row r="1053" ht="15.0" customHeight="1">
      <c r="A1053" s="32" t="s">
        <v>1079</v>
      </c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</row>
    <row r="1054" ht="15.0" customHeight="1">
      <c r="A1054" s="32" t="s">
        <v>1080</v>
      </c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</row>
    <row r="1055" ht="15.0" customHeight="1">
      <c r="A1055" s="32" t="s">
        <v>1081</v>
      </c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</row>
    <row r="1056" ht="15.0" customHeight="1">
      <c r="A1056" s="32" t="s">
        <v>1082</v>
      </c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</row>
    <row r="1057" ht="15.0" customHeight="1">
      <c r="A1057" s="32" t="s">
        <v>1083</v>
      </c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</row>
    <row r="1058" ht="15.0" customHeight="1">
      <c r="A1058" s="32" t="s">
        <v>1084</v>
      </c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</row>
    <row r="1059" ht="15.0" customHeight="1">
      <c r="A1059" s="32" t="s">
        <v>1085</v>
      </c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</row>
    <row r="1060" ht="15.0" customHeight="1">
      <c r="A1060" s="32" t="s">
        <v>1086</v>
      </c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</row>
    <row r="1061" ht="15.0" customHeight="1">
      <c r="A1061" s="32" t="s">
        <v>1087</v>
      </c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</row>
    <row r="1062" ht="15.0" customHeight="1">
      <c r="A1062" s="32" t="s">
        <v>1088</v>
      </c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</row>
    <row r="1063" ht="15.0" customHeight="1">
      <c r="A1063" s="32" t="s">
        <v>1089</v>
      </c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</row>
    <row r="1064" ht="15.0" customHeight="1">
      <c r="A1064" s="32" t="s">
        <v>1090</v>
      </c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</row>
    <row r="1065" ht="15.0" customHeight="1">
      <c r="A1065" s="32" t="s">
        <v>1091</v>
      </c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</row>
    <row r="1066" ht="15.0" customHeight="1">
      <c r="A1066" s="32" t="s">
        <v>1092</v>
      </c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</row>
    <row r="1067" ht="15.0" customHeight="1">
      <c r="A1067" s="32" t="s">
        <v>1093</v>
      </c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</row>
    <row r="1068" ht="15.0" customHeight="1">
      <c r="A1068" s="32" t="s">
        <v>1094</v>
      </c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</row>
    <row r="1069" ht="15.0" customHeight="1">
      <c r="A1069" s="32" t="s">
        <v>1095</v>
      </c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</row>
    <row r="1070" ht="15.0" customHeight="1">
      <c r="A1070" s="32" t="s">
        <v>1096</v>
      </c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</row>
    <row r="1071" ht="15.0" customHeight="1">
      <c r="A1071" s="32" t="s">
        <v>1097</v>
      </c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</row>
    <row r="1072" ht="15.0" customHeight="1">
      <c r="A1072" s="32" t="s">
        <v>1098</v>
      </c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</row>
    <row r="1073" ht="15.0" customHeight="1">
      <c r="A1073" s="32" t="s">
        <v>1099</v>
      </c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</row>
    <row r="1074" ht="15.0" customHeight="1">
      <c r="A1074" s="32" t="s">
        <v>1100</v>
      </c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</row>
    <row r="1075" ht="15.0" customHeight="1">
      <c r="A1075" s="32" t="s">
        <v>1101</v>
      </c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</row>
    <row r="1076" ht="15.0" customHeight="1">
      <c r="A1076" s="32" t="s">
        <v>1102</v>
      </c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</row>
    <row r="1077" ht="15.0" customHeight="1">
      <c r="A1077" s="32" t="s">
        <v>1103</v>
      </c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</row>
    <row r="1078" ht="15.0" customHeight="1">
      <c r="A1078" s="32" t="s">
        <v>1104</v>
      </c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</row>
    <row r="1079" ht="15.0" customHeight="1">
      <c r="A1079" s="32" t="s">
        <v>1105</v>
      </c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</row>
    <row r="1080" ht="15.0" customHeight="1">
      <c r="A1080" s="32" t="s">
        <v>1106</v>
      </c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</row>
    <row r="1081" ht="15.0" customHeight="1">
      <c r="A1081" s="32" t="s">
        <v>1107</v>
      </c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</row>
    <row r="1082" ht="15.0" customHeight="1">
      <c r="A1082" s="32" t="s">
        <v>1108</v>
      </c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</row>
    <row r="1083" ht="15.0" customHeight="1">
      <c r="A1083" s="32" t="s">
        <v>1109</v>
      </c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</row>
    <row r="1084" ht="15.0" customHeight="1">
      <c r="A1084" s="32" t="s">
        <v>1110</v>
      </c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</row>
    <row r="1085" ht="15.0" customHeight="1">
      <c r="A1085" s="32" t="s">
        <v>1111</v>
      </c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</row>
    <row r="1086" ht="15.0" customHeight="1">
      <c r="A1086" s="32" t="s">
        <v>1112</v>
      </c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</row>
    <row r="1087" ht="15.0" customHeight="1">
      <c r="A1087" s="32" t="s">
        <v>1113</v>
      </c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</row>
    <row r="1088" ht="15.0" customHeight="1">
      <c r="A1088" s="32" t="s">
        <v>1114</v>
      </c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</row>
    <row r="1089" ht="15.0" customHeight="1">
      <c r="A1089" s="32" t="s">
        <v>1115</v>
      </c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</row>
    <row r="1090" ht="15.0" customHeight="1">
      <c r="A1090" s="32" t="s">
        <v>1116</v>
      </c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</row>
    <row r="1091" ht="15.0" customHeight="1">
      <c r="A1091" s="32" t="s">
        <v>1117</v>
      </c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</row>
    <row r="1092" ht="15.0" customHeight="1">
      <c r="A1092" s="32" t="s">
        <v>1118</v>
      </c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</row>
    <row r="1093" ht="15.0" customHeight="1">
      <c r="A1093" s="32" t="s">
        <v>1119</v>
      </c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</row>
    <row r="1094" ht="15.0" customHeight="1">
      <c r="A1094" s="32" t="s">
        <v>1120</v>
      </c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</row>
    <row r="1095" ht="15.0" customHeight="1">
      <c r="A1095" s="32" t="s">
        <v>1121</v>
      </c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</row>
    <row r="1096" ht="15.0" customHeight="1">
      <c r="A1096" s="32" t="s">
        <v>1122</v>
      </c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</row>
    <row r="1097" ht="15.0" customHeight="1">
      <c r="A1097" s="32" t="s">
        <v>1123</v>
      </c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</row>
    <row r="1098" ht="15.0" customHeight="1">
      <c r="A1098" s="32" t="s">
        <v>1124</v>
      </c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</row>
    <row r="1099" ht="15.0" customHeight="1">
      <c r="A1099" s="32" t="s">
        <v>1125</v>
      </c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</row>
    <row r="1100" ht="15.0" customHeight="1">
      <c r="A1100" s="32" t="s">
        <v>1126</v>
      </c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</row>
    <row r="1101" ht="15.0" customHeight="1">
      <c r="A1101" s="32" t="s">
        <v>1127</v>
      </c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</row>
    <row r="1102" ht="15.0" customHeight="1">
      <c r="A1102" s="32" t="s">
        <v>1128</v>
      </c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</row>
    <row r="1103" ht="15.0" customHeight="1">
      <c r="A1103" s="32" t="s">
        <v>1129</v>
      </c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</row>
    <row r="1104" ht="15.0" customHeight="1">
      <c r="A1104" s="32" t="s">
        <v>1130</v>
      </c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</row>
    <row r="1105" ht="15.0" customHeight="1">
      <c r="A1105" s="32" t="s">
        <v>1131</v>
      </c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</row>
    <row r="1106" ht="15.0" customHeight="1">
      <c r="A1106" s="32" t="s">
        <v>1132</v>
      </c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</row>
    <row r="1107" ht="15.0" customHeight="1">
      <c r="A1107" s="32" t="s">
        <v>1133</v>
      </c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</row>
    <row r="1108" ht="15.0" customHeight="1">
      <c r="A1108" s="32" t="s">
        <v>1134</v>
      </c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</row>
    <row r="1109" ht="15.0" customHeight="1">
      <c r="A1109" s="32" t="s">
        <v>1135</v>
      </c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</row>
    <row r="1110" ht="15.0" customHeight="1">
      <c r="A1110" s="32" t="s">
        <v>1136</v>
      </c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</row>
    <row r="1111" ht="15.0" customHeight="1">
      <c r="A1111" s="32" t="s">
        <v>1137</v>
      </c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</row>
    <row r="1112" ht="15.0" customHeight="1">
      <c r="A1112" s="32" t="s">
        <v>1138</v>
      </c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</row>
    <row r="1113" ht="15.0" customHeight="1">
      <c r="A1113" s="32" t="s">
        <v>1139</v>
      </c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</row>
    <row r="1114" ht="15.0" customHeight="1">
      <c r="A1114" s="32" t="s">
        <v>1140</v>
      </c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</row>
    <row r="1115" ht="15.0" customHeight="1">
      <c r="A1115" s="32" t="s">
        <v>1141</v>
      </c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</row>
    <row r="1116" ht="15.0" customHeight="1">
      <c r="A1116" s="32" t="s">
        <v>1142</v>
      </c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</row>
    <row r="1117" ht="15.0" customHeight="1">
      <c r="A1117" s="32" t="s">
        <v>1143</v>
      </c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</row>
    <row r="1118" ht="15.0" customHeight="1">
      <c r="A1118" s="32" t="s">
        <v>1144</v>
      </c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</row>
    <row r="1119" ht="15.0" customHeight="1">
      <c r="A1119" s="32" t="s">
        <v>1145</v>
      </c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</row>
    <row r="1120" ht="15.0" customHeight="1">
      <c r="A1120" s="32" t="s">
        <v>1146</v>
      </c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</row>
    <row r="1121" ht="15.0" customHeight="1">
      <c r="A1121" s="32" t="s">
        <v>1147</v>
      </c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</row>
    <row r="1122" ht="15.0" customHeight="1">
      <c r="A1122" s="32" t="s">
        <v>1148</v>
      </c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</row>
    <row r="1123" ht="15.0" customHeight="1">
      <c r="A1123" s="32" t="s">
        <v>1149</v>
      </c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</row>
    <row r="1124" ht="15.0" customHeight="1">
      <c r="A1124" s="32" t="s">
        <v>1150</v>
      </c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</row>
    <row r="1125" ht="15.0" customHeight="1">
      <c r="A1125" s="32" t="s">
        <v>1151</v>
      </c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</row>
    <row r="1126" ht="15.0" customHeight="1">
      <c r="A1126" s="32" t="s">
        <v>1152</v>
      </c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</row>
    <row r="1127" ht="15.0" customHeight="1">
      <c r="A1127" s="32" t="s">
        <v>1153</v>
      </c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</row>
    <row r="1128" ht="15.0" customHeight="1">
      <c r="A1128" s="32" t="s">
        <v>1154</v>
      </c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</row>
    <row r="1129" ht="15.0" customHeight="1">
      <c r="A1129" s="32" t="s">
        <v>1155</v>
      </c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</row>
    <row r="1130" ht="15.0" customHeight="1">
      <c r="A1130" s="32" t="s">
        <v>1156</v>
      </c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</row>
    <row r="1131" ht="15.0" customHeight="1">
      <c r="A1131" s="32" t="s">
        <v>1157</v>
      </c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</row>
    <row r="1132" ht="15.0" customHeight="1">
      <c r="A1132" s="32" t="s">
        <v>1158</v>
      </c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</row>
    <row r="1133" ht="15.0" customHeight="1">
      <c r="A1133" s="32" t="s">
        <v>1159</v>
      </c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</row>
    <row r="1134" ht="15.0" customHeight="1">
      <c r="A1134" s="32" t="s">
        <v>1160</v>
      </c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</row>
    <row r="1135" ht="15.0" customHeight="1">
      <c r="A1135" s="32" t="s">
        <v>1161</v>
      </c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</row>
    <row r="1136" ht="15.0" customHeight="1">
      <c r="A1136" s="32" t="s">
        <v>1162</v>
      </c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</row>
    <row r="1137" ht="15.0" customHeight="1">
      <c r="A1137" s="32" t="s">
        <v>1163</v>
      </c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</row>
    <row r="1138" ht="15.0" customHeight="1">
      <c r="A1138" s="32" t="s">
        <v>1164</v>
      </c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</row>
    <row r="1139" ht="15.0" customHeight="1">
      <c r="A1139" s="32" t="s">
        <v>1165</v>
      </c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</row>
    <row r="1140" ht="15.0" customHeight="1">
      <c r="A1140" s="32" t="s">
        <v>1166</v>
      </c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</row>
    <row r="1141" ht="15.0" customHeight="1">
      <c r="A1141" s="32" t="s">
        <v>1167</v>
      </c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</row>
    <row r="1142" ht="15.0" customHeight="1">
      <c r="A1142" s="32" t="s">
        <v>1168</v>
      </c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</row>
    <row r="1143" ht="15.0" customHeight="1">
      <c r="A1143" s="32" t="s">
        <v>1169</v>
      </c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</row>
    <row r="1144" ht="15.0" customHeight="1">
      <c r="A1144" s="32" t="s">
        <v>1170</v>
      </c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</row>
    <row r="1145" ht="15.0" customHeight="1">
      <c r="A1145" s="32" t="s">
        <v>1171</v>
      </c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</row>
    <row r="1146" ht="15.0" customHeight="1">
      <c r="A1146" s="32" t="s">
        <v>1172</v>
      </c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</row>
    <row r="1147" ht="15.0" customHeight="1">
      <c r="A1147" s="32" t="s">
        <v>1173</v>
      </c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</row>
    <row r="1148" ht="15.0" customHeight="1">
      <c r="A1148" s="32" t="s">
        <v>1174</v>
      </c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</row>
    <row r="1149" ht="15.0" customHeight="1">
      <c r="A1149" s="32" t="s">
        <v>1175</v>
      </c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</row>
    <row r="1150" ht="15.0" customHeight="1">
      <c r="A1150" s="32" t="s">
        <v>1176</v>
      </c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</row>
    <row r="1151" ht="15.0" customHeight="1">
      <c r="A1151" s="32" t="s">
        <v>1177</v>
      </c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</row>
    <row r="1152" ht="15.0" customHeight="1">
      <c r="A1152" s="32" t="s">
        <v>1178</v>
      </c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</row>
    <row r="1153" ht="15.0" customHeight="1">
      <c r="A1153" s="32" t="s">
        <v>1179</v>
      </c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</row>
    <row r="1154" ht="15.0" customHeight="1">
      <c r="A1154" s="32" t="s">
        <v>1180</v>
      </c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</row>
    <row r="1155" ht="15.0" customHeight="1">
      <c r="A1155" s="32" t="s">
        <v>1181</v>
      </c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</row>
    <row r="1156" ht="15.0" customHeight="1">
      <c r="A1156" s="32" t="s">
        <v>1182</v>
      </c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</row>
    <row r="1157" ht="15.0" customHeight="1">
      <c r="A1157" s="32" t="s">
        <v>1183</v>
      </c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</row>
    <row r="1158" ht="15.0" customHeight="1">
      <c r="A1158" s="32" t="s">
        <v>1184</v>
      </c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</row>
    <row r="1159" ht="15.0" customHeight="1">
      <c r="A1159" s="32" t="s">
        <v>1185</v>
      </c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</row>
    <row r="1160" ht="15.0" customHeight="1">
      <c r="A1160" s="32" t="s">
        <v>1186</v>
      </c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</row>
    <row r="1161" ht="15.0" customHeight="1">
      <c r="A1161" s="32" t="s">
        <v>1187</v>
      </c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</row>
    <row r="1162" ht="15.0" customHeight="1">
      <c r="A1162" s="32" t="s">
        <v>1188</v>
      </c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</row>
    <row r="1163" ht="15.0" customHeight="1">
      <c r="A1163" s="32" t="s">
        <v>1189</v>
      </c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</row>
    <row r="1164" ht="15.0" customHeight="1">
      <c r="A1164" s="32" t="s">
        <v>1190</v>
      </c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</row>
    <row r="1165" ht="15.0" customHeight="1">
      <c r="A1165" s="32" t="s">
        <v>1191</v>
      </c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</row>
    <row r="1166" ht="15.0" customHeight="1">
      <c r="A1166" s="32" t="s">
        <v>1192</v>
      </c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</row>
    <row r="1167" ht="15.0" customHeight="1">
      <c r="A1167" s="32" t="s">
        <v>1193</v>
      </c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</row>
    <row r="1168" ht="15.0" customHeight="1">
      <c r="A1168" s="32" t="s">
        <v>1194</v>
      </c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</row>
    <row r="1169" ht="15.0" customHeight="1">
      <c r="A1169" s="32" t="s">
        <v>1195</v>
      </c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</row>
    <row r="1170" ht="15.0" customHeight="1">
      <c r="A1170" s="32" t="s">
        <v>1196</v>
      </c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</row>
    <row r="1171" ht="15.0" customHeight="1">
      <c r="A1171" s="32" t="s">
        <v>1197</v>
      </c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</row>
    <row r="1172" ht="15.0" customHeight="1">
      <c r="A1172" s="32" t="s">
        <v>1198</v>
      </c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</row>
    <row r="1173" ht="15.0" customHeight="1">
      <c r="A1173" s="32" t="s">
        <v>1199</v>
      </c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</row>
    <row r="1174" ht="15.0" customHeight="1">
      <c r="A1174" s="32" t="s">
        <v>1200</v>
      </c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</row>
    <row r="1175" ht="15.0" customHeight="1">
      <c r="A1175" s="32" t="s">
        <v>1201</v>
      </c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</row>
    <row r="1176" ht="15.0" customHeight="1">
      <c r="A1176" s="32" t="s">
        <v>1202</v>
      </c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</row>
    <row r="1177" ht="15.0" customHeight="1">
      <c r="A1177" s="32" t="s">
        <v>1203</v>
      </c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</row>
    <row r="1178" ht="15.0" customHeight="1">
      <c r="A1178" s="32" t="s">
        <v>1204</v>
      </c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</row>
    <row r="1179" ht="15.0" customHeight="1">
      <c r="A1179" s="32" t="s">
        <v>1205</v>
      </c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</row>
    <row r="1180" ht="15.0" customHeight="1">
      <c r="A1180" s="32" t="s">
        <v>1206</v>
      </c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</row>
    <row r="1181" ht="15.0" customHeight="1">
      <c r="A1181" s="32" t="s">
        <v>1207</v>
      </c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</row>
    <row r="1182" ht="15.0" customHeight="1">
      <c r="A1182" s="32" t="s">
        <v>1208</v>
      </c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</row>
    <row r="1183" ht="15.0" customHeight="1">
      <c r="A1183" s="32" t="s">
        <v>1209</v>
      </c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</row>
    <row r="1184" ht="15.0" customHeight="1">
      <c r="A1184" s="32" t="s">
        <v>1210</v>
      </c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</row>
    <row r="1185" ht="15.0" customHeight="1">
      <c r="A1185" s="32" t="s">
        <v>1211</v>
      </c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</row>
    <row r="1186" ht="15.0" customHeight="1">
      <c r="A1186" s="32" t="s">
        <v>1212</v>
      </c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</row>
    <row r="1187" ht="15.0" customHeight="1">
      <c r="A1187" s="32" t="s">
        <v>1213</v>
      </c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</row>
    <row r="1188" ht="15.0" customHeight="1">
      <c r="A1188" s="32" t="s">
        <v>1214</v>
      </c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</row>
    <row r="1189" ht="15.0" customHeight="1">
      <c r="A1189" s="32" t="s">
        <v>1215</v>
      </c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</row>
    <row r="1190" ht="15.0" customHeight="1">
      <c r="A1190" s="32" t="s">
        <v>1216</v>
      </c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</row>
    <row r="1191" ht="15.0" customHeight="1">
      <c r="A1191" s="32" t="s">
        <v>1217</v>
      </c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</row>
    <row r="1192" ht="15.0" customHeight="1">
      <c r="A1192" s="32" t="s">
        <v>1218</v>
      </c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</row>
    <row r="1193" ht="15.0" customHeight="1">
      <c r="A1193" s="32" t="s">
        <v>1219</v>
      </c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</row>
    <row r="1194" ht="15.0" customHeight="1">
      <c r="A1194" s="32" t="s">
        <v>1220</v>
      </c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</row>
    <row r="1195" ht="15.0" customHeight="1">
      <c r="A1195" s="32" t="s">
        <v>1221</v>
      </c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</row>
    <row r="1196" ht="15.0" customHeight="1">
      <c r="A1196" s="32" t="s">
        <v>1222</v>
      </c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</row>
    <row r="1197" ht="15.0" customHeight="1">
      <c r="A1197" s="32" t="s">
        <v>1223</v>
      </c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</row>
    <row r="1198" ht="15.0" customHeight="1">
      <c r="A1198" s="32" t="s">
        <v>1224</v>
      </c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</row>
    <row r="1199" ht="15.0" customHeight="1">
      <c r="A1199" s="32" t="s">
        <v>1225</v>
      </c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</row>
    <row r="1200" ht="15.0" customHeight="1">
      <c r="A1200" s="32" t="s">
        <v>1226</v>
      </c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</row>
    <row r="1201" ht="15.0" customHeight="1">
      <c r="A1201" s="32" t="s">
        <v>1227</v>
      </c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</row>
    <row r="1202" ht="15.0" customHeight="1">
      <c r="A1202" s="32" t="s">
        <v>1228</v>
      </c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</row>
    <row r="1203" ht="15.0" customHeight="1">
      <c r="A1203" s="32" t="s">
        <v>1229</v>
      </c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</row>
    <row r="1204" ht="15.0" customHeight="1">
      <c r="A1204" s="32" t="s">
        <v>1230</v>
      </c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</row>
    <row r="1205" ht="15.0" customHeight="1">
      <c r="A1205" s="32" t="s">
        <v>1231</v>
      </c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</row>
    <row r="1206" ht="15.0" customHeight="1">
      <c r="A1206" s="32" t="s">
        <v>1232</v>
      </c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</row>
    <row r="1207" ht="15.0" customHeight="1">
      <c r="A1207" s="32" t="s">
        <v>1233</v>
      </c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</row>
    <row r="1208" ht="15.0" customHeight="1">
      <c r="A1208" s="32" t="s">
        <v>1234</v>
      </c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</row>
    <row r="1209" ht="15.0" customHeight="1">
      <c r="A1209" s="32" t="s">
        <v>1235</v>
      </c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</row>
    <row r="1210" ht="15.0" customHeight="1">
      <c r="A1210" s="32" t="s">
        <v>1236</v>
      </c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</row>
    <row r="1211" ht="15.0" customHeight="1">
      <c r="A1211" s="32" t="s">
        <v>1237</v>
      </c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</row>
    <row r="1212" ht="15.0" customHeight="1">
      <c r="A1212" s="32" t="s">
        <v>1238</v>
      </c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</row>
    <row r="1213" ht="15.0" customHeight="1">
      <c r="A1213" s="32" t="s">
        <v>1239</v>
      </c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</row>
    <row r="1214" ht="15.0" customHeight="1">
      <c r="A1214" s="32" t="s">
        <v>1240</v>
      </c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</row>
    <row r="1215" ht="15.0" customHeight="1">
      <c r="A1215" s="32" t="s">
        <v>1241</v>
      </c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</row>
    <row r="1216" ht="15.0" customHeight="1">
      <c r="A1216" s="32" t="s">
        <v>1242</v>
      </c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</row>
    <row r="1217" ht="15.0" customHeight="1">
      <c r="A1217" s="32" t="s">
        <v>1243</v>
      </c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</row>
    <row r="1218" ht="15.0" customHeight="1">
      <c r="A1218" s="32" t="s">
        <v>1244</v>
      </c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</row>
    <row r="1219" ht="15.0" customHeight="1">
      <c r="A1219" s="32" t="s">
        <v>1245</v>
      </c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</row>
    <row r="1220" ht="15.0" customHeight="1">
      <c r="A1220" s="32" t="s">
        <v>1246</v>
      </c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</row>
    <row r="1221" ht="15.0" customHeight="1">
      <c r="A1221" s="32" t="s">
        <v>1247</v>
      </c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</row>
    <row r="1222" ht="15.0" customHeight="1">
      <c r="A1222" s="32" t="s">
        <v>1248</v>
      </c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</row>
    <row r="1223" ht="15.0" customHeight="1">
      <c r="A1223" s="32" t="s">
        <v>1249</v>
      </c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</row>
    <row r="1224" ht="15.0" customHeight="1">
      <c r="A1224" s="32" t="s">
        <v>1250</v>
      </c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</row>
    <row r="1225" ht="15.0" customHeight="1">
      <c r="A1225" s="32" t="s">
        <v>1251</v>
      </c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</row>
    <row r="1226" ht="15.0" customHeight="1">
      <c r="A1226" s="32" t="s">
        <v>1252</v>
      </c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</row>
    <row r="1227" ht="15.0" customHeight="1">
      <c r="A1227" s="32" t="s">
        <v>1253</v>
      </c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</row>
    <row r="1228" ht="15.0" customHeight="1">
      <c r="A1228" s="32" t="s">
        <v>1254</v>
      </c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</row>
    <row r="1229" ht="15.0" customHeight="1">
      <c r="A1229" s="32" t="s">
        <v>1255</v>
      </c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</row>
    <row r="1230" ht="15.0" customHeight="1">
      <c r="A1230" s="32" t="s">
        <v>1256</v>
      </c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</row>
    <row r="1231" ht="15.0" customHeight="1">
      <c r="A1231" s="32" t="s">
        <v>1257</v>
      </c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</row>
    <row r="1232" ht="15.0" customHeight="1">
      <c r="A1232" s="32" t="s">
        <v>1258</v>
      </c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</row>
    <row r="1233" ht="15.0" customHeight="1">
      <c r="A1233" s="32" t="s">
        <v>1259</v>
      </c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</row>
    <row r="1234" ht="15.0" customHeight="1">
      <c r="A1234" s="32" t="s">
        <v>1260</v>
      </c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</row>
    <row r="1235" ht="15.0" customHeight="1">
      <c r="A1235" s="32" t="s">
        <v>1261</v>
      </c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</row>
    <row r="1236" ht="15.0" customHeight="1">
      <c r="A1236" s="32" t="s">
        <v>1262</v>
      </c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</row>
    <row r="1237" ht="15.0" customHeight="1">
      <c r="A1237" s="32" t="s">
        <v>1263</v>
      </c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</row>
    <row r="1238" ht="15.0" customHeight="1">
      <c r="A1238" s="32" t="s">
        <v>1264</v>
      </c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</row>
    <row r="1239" ht="15.0" customHeight="1">
      <c r="A1239" s="32" t="s">
        <v>1265</v>
      </c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</row>
    <row r="1240" ht="15.0" customHeight="1">
      <c r="A1240" s="32" t="s">
        <v>1266</v>
      </c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</row>
    <row r="1241" ht="15.0" customHeight="1">
      <c r="A1241" s="32" t="s">
        <v>1267</v>
      </c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</row>
    <row r="1242" ht="15.0" customHeight="1">
      <c r="A1242" s="32" t="s">
        <v>1268</v>
      </c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</row>
    <row r="1243" ht="15.0" customHeight="1">
      <c r="A1243" s="32" t="s">
        <v>1269</v>
      </c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</row>
    <row r="1244" ht="15.0" customHeight="1">
      <c r="A1244" s="32" t="s">
        <v>1270</v>
      </c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</row>
    <row r="1245" ht="15.0" customHeight="1">
      <c r="A1245" s="32" t="s">
        <v>1271</v>
      </c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</row>
    <row r="1246" ht="15.0" customHeight="1">
      <c r="A1246" s="32" t="s">
        <v>1272</v>
      </c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</row>
    <row r="1247" ht="15.0" customHeight="1">
      <c r="A1247" s="32" t="s">
        <v>1273</v>
      </c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</row>
    <row r="1248" ht="15.0" customHeight="1">
      <c r="A1248" s="32" t="s">
        <v>1274</v>
      </c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</row>
    <row r="1249" ht="15.0" customHeight="1">
      <c r="A1249" s="32" t="s">
        <v>1275</v>
      </c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</row>
    <row r="1250" ht="15.0" customHeight="1">
      <c r="A1250" s="32" t="s">
        <v>1276</v>
      </c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</row>
    <row r="1251" ht="15.0" customHeight="1">
      <c r="A1251" s="32" t="s">
        <v>1277</v>
      </c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</row>
    <row r="1252" ht="15.0" customHeight="1">
      <c r="A1252" s="32" t="s">
        <v>1278</v>
      </c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</row>
    <row r="1253" ht="15.0" customHeight="1">
      <c r="A1253" s="32" t="s">
        <v>1279</v>
      </c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</row>
    <row r="1254" ht="15.0" customHeight="1">
      <c r="A1254" s="32" t="s">
        <v>1280</v>
      </c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</row>
    <row r="1255" ht="15.0" customHeight="1">
      <c r="A1255" s="32" t="s">
        <v>1281</v>
      </c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</row>
    <row r="1256" ht="15.0" customHeight="1">
      <c r="A1256" s="32" t="s">
        <v>1282</v>
      </c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</row>
    <row r="1257" ht="15.0" customHeight="1">
      <c r="A1257" s="32" t="s">
        <v>1283</v>
      </c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</row>
    <row r="1258" ht="15.0" customHeight="1">
      <c r="A1258" s="32" t="s">
        <v>1284</v>
      </c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</row>
    <row r="1259" ht="15.0" customHeight="1">
      <c r="A1259" s="32" t="s">
        <v>1285</v>
      </c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</row>
    <row r="1260" ht="15.0" customHeight="1">
      <c r="A1260" s="32" t="s">
        <v>1286</v>
      </c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</row>
    <row r="1261" ht="15.0" customHeight="1">
      <c r="A1261" s="32" t="s">
        <v>1287</v>
      </c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</row>
    <row r="1262" ht="15.0" customHeight="1">
      <c r="A1262" s="32" t="s">
        <v>1288</v>
      </c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</row>
    <row r="1263" ht="15.0" customHeight="1">
      <c r="A1263" s="32" t="s">
        <v>1289</v>
      </c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</row>
    <row r="1264" ht="15.0" customHeight="1">
      <c r="A1264" s="32" t="s">
        <v>1290</v>
      </c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</row>
    <row r="1265" ht="15.0" customHeight="1">
      <c r="A1265" s="32" t="s">
        <v>1291</v>
      </c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</row>
    <row r="1266" ht="15.0" customHeight="1">
      <c r="A1266" s="32" t="s">
        <v>1292</v>
      </c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</row>
    <row r="1267" ht="15.0" customHeight="1">
      <c r="A1267" s="32" t="s">
        <v>1293</v>
      </c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</row>
    <row r="1268" ht="15.0" customHeight="1">
      <c r="A1268" s="32" t="s">
        <v>1294</v>
      </c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</row>
    <row r="1269" ht="15.0" customHeight="1">
      <c r="A1269" s="32" t="s">
        <v>1295</v>
      </c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</row>
    <row r="1270" ht="15.0" customHeight="1">
      <c r="A1270" s="32" t="s">
        <v>1296</v>
      </c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</row>
    <row r="1271" ht="15.0" customHeight="1">
      <c r="A1271" s="32" t="s">
        <v>1297</v>
      </c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</row>
    <row r="1272" ht="15.0" customHeight="1">
      <c r="A1272" s="32" t="s">
        <v>1298</v>
      </c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</row>
    <row r="1273" ht="15.0" customHeight="1">
      <c r="A1273" s="32" t="s">
        <v>1299</v>
      </c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</row>
    <row r="1274" ht="15.0" customHeight="1">
      <c r="A1274" s="32" t="s">
        <v>1300</v>
      </c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</row>
    <row r="1275" ht="15.0" customHeight="1">
      <c r="A1275" s="32" t="s">
        <v>1301</v>
      </c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</row>
    <row r="1276" ht="15.0" customHeight="1">
      <c r="A1276" s="32" t="s">
        <v>1302</v>
      </c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</row>
    <row r="1277" ht="15.0" customHeight="1">
      <c r="A1277" s="32" t="s">
        <v>1303</v>
      </c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</row>
    <row r="1278" ht="15.0" customHeight="1">
      <c r="A1278" s="32" t="s">
        <v>1304</v>
      </c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</row>
    <row r="1279" ht="15.0" customHeight="1">
      <c r="A1279" s="32" t="s">
        <v>1305</v>
      </c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</row>
    <row r="1280" ht="15.0" customHeight="1">
      <c r="A1280" s="32" t="s">
        <v>1306</v>
      </c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</row>
    <row r="1281" ht="15.0" customHeight="1">
      <c r="A1281" s="32" t="s">
        <v>1307</v>
      </c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</row>
    <row r="1282" ht="15.0" customHeight="1">
      <c r="A1282" s="32" t="s">
        <v>1308</v>
      </c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</row>
    <row r="1283" ht="15.0" customHeight="1">
      <c r="A1283" s="32" t="s">
        <v>1309</v>
      </c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</row>
    <row r="1284" ht="15.0" customHeight="1">
      <c r="A1284" s="32" t="s">
        <v>1310</v>
      </c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</row>
    <row r="1285" ht="15.0" customHeight="1">
      <c r="A1285" s="32" t="s">
        <v>1311</v>
      </c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</row>
    <row r="1286" ht="15.0" customHeight="1">
      <c r="A1286" s="32" t="s">
        <v>1312</v>
      </c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</row>
    <row r="1287" ht="15.0" customHeight="1">
      <c r="A1287" s="32" t="s">
        <v>1313</v>
      </c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</row>
    <row r="1288" ht="15.0" customHeight="1">
      <c r="A1288" s="32" t="s">
        <v>1314</v>
      </c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</row>
    <row r="1289" ht="15.0" customHeight="1">
      <c r="A1289" s="32" t="s">
        <v>1315</v>
      </c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</row>
    <row r="1290" ht="15.0" customHeight="1">
      <c r="A1290" s="32" t="s">
        <v>1316</v>
      </c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</row>
    <row r="1291" ht="15.0" customHeight="1">
      <c r="A1291" s="32" t="s">
        <v>1317</v>
      </c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</row>
    <row r="1292" ht="15.0" customHeight="1">
      <c r="A1292" s="32" t="s">
        <v>1318</v>
      </c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</row>
    <row r="1293" ht="15.0" customHeight="1">
      <c r="A1293" s="32" t="s">
        <v>1319</v>
      </c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</row>
    <row r="1294" ht="15.0" customHeight="1">
      <c r="A1294" s="32" t="s">
        <v>1320</v>
      </c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</row>
    <row r="1295" ht="15.0" customHeight="1">
      <c r="A1295" s="32" t="s">
        <v>1321</v>
      </c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</row>
    <row r="1296" ht="15.0" customHeight="1">
      <c r="A1296" s="32" t="s">
        <v>1322</v>
      </c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</row>
    <row r="1297" ht="15.0" customHeight="1">
      <c r="A1297" s="32" t="s">
        <v>1323</v>
      </c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</row>
    <row r="1298" ht="15.0" customHeight="1">
      <c r="A1298" s="32" t="s">
        <v>1324</v>
      </c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</row>
    <row r="1299" ht="15.0" customHeight="1">
      <c r="A1299" s="32" t="s">
        <v>1325</v>
      </c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</row>
    <row r="1300" ht="15.0" customHeight="1">
      <c r="A1300" s="32" t="s">
        <v>1326</v>
      </c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</row>
    <row r="1301" ht="15.0" customHeight="1">
      <c r="A1301" s="32" t="s">
        <v>1327</v>
      </c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</row>
    <row r="1302" ht="15.0" customHeight="1">
      <c r="A1302" s="32" t="s">
        <v>1328</v>
      </c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</row>
    <row r="1303" ht="15.0" customHeight="1">
      <c r="A1303" s="32" t="s">
        <v>1329</v>
      </c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</row>
    <row r="1304" ht="15.0" customHeight="1">
      <c r="A1304" s="25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</row>
  </sheetData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4" width="16.71"/>
  </cols>
  <sheetData>
    <row r="1" ht="15.0" customHeight="1">
      <c r="A1" s="27"/>
      <c r="B1" s="27" t="s">
        <v>1330</v>
      </c>
      <c r="C1" s="27" t="s">
        <v>1331</v>
      </c>
      <c r="D1" s="43" t="s">
        <v>1332</v>
      </c>
      <c r="E1" s="43" t="s">
        <v>1333</v>
      </c>
      <c r="F1" s="43" t="s">
        <v>1412</v>
      </c>
      <c r="G1" s="43" t="s">
        <v>1413</v>
      </c>
      <c r="H1" s="43" t="s">
        <v>1414</v>
      </c>
      <c r="I1" s="43" t="s">
        <v>1415</v>
      </c>
      <c r="J1" s="43" t="s">
        <v>1416</v>
      </c>
      <c r="K1" s="43" t="s">
        <v>1417</v>
      </c>
      <c r="L1" s="43" t="s">
        <v>1418</v>
      </c>
      <c r="M1" s="43" t="s">
        <v>1409</v>
      </c>
      <c r="N1" s="43" t="s">
        <v>1419</v>
      </c>
    </row>
    <row r="2" ht="15.0" customHeight="1">
      <c r="A2" s="25"/>
      <c r="B2" s="44" t="s">
        <v>1358</v>
      </c>
      <c r="C2" s="44" t="s">
        <v>1358</v>
      </c>
      <c r="D2" s="45" t="s">
        <v>1358</v>
      </c>
      <c r="E2" s="45" t="s">
        <v>1358</v>
      </c>
      <c r="F2" s="45" t="s">
        <v>1398</v>
      </c>
      <c r="G2" s="45" t="s">
        <v>1398</v>
      </c>
      <c r="H2" s="45" t="s">
        <v>112</v>
      </c>
      <c r="I2" s="45" t="s">
        <v>112</v>
      </c>
      <c r="J2" s="45" t="s">
        <v>115</v>
      </c>
      <c r="K2" s="45" t="s">
        <v>1420</v>
      </c>
      <c r="L2" s="44" t="s">
        <v>1360</v>
      </c>
      <c r="M2" s="44" t="s">
        <v>1421</v>
      </c>
      <c r="N2" s="44" t="s">
        <v>1422</v>
      </c>
    </row>
    <row r="3" ht="15.0" customHeight="1">
      <c r="A3" s="25"/>
      <c r="B3" s="44">
        <v>10.0</v>
      </c>
      <c r="C3" s="44">
        <v>10.0</v>
      </c>
      <c r="D3" s="44">
        <v>10.0</v>
      </c>
      <c r="E3" s="44">
        <v>10.0</v>
      </c>
      <c r="F3" s="44"/>
      <c r="G3" s="44"/>
      <c r="H3" s="44" t="s">
        <v>113</v>
      </c>
      <c r="I3" s="44" t="s">
        <v>113</v>
      </c>
      <c r="J3" s="44" t="s">
        <v>116</v>
      </c>
      <c r="K3" s="44">
        <v>4.0</v>
      </c>
      <c r="L3" s="44">
        <v>16.0</v>
      </c>
      <c r="M3" s="44"/>
      <c r="N3" s="44"/>
    </row>
    <row r="4" ht="15.0" customHeight="1">
      <c r="A4" s="23" t="s">
        <v>2</v>
      </c>
      <c r="B4" s="25"/>
      <c r="C4" s="25"/>
      <c r="D4" s="25"/>
      <c r="E4" s="25"/>
      <c r="F4" s="44"/>
      <c r="G4" s="44"/>
      <c r="H4" s="44"/>
      <c r="I4" s="44"/>
      <c r="J4" s="44"/>
      <c r="K4" s="44"/>
      <c r="L4" s="44"/>
      <c r="M4" s="44"/>
      <c r="N4" s="44"/>
    </row>
    <row r="5" ht="15.0" customHeight="1">
      <c r="A5" s="23" t="s">
        <v>3</v>
      </c>
      <c r="B5" s="25"/>
      <c r="C5" s="25"/>
      <c r="D5" s="25"/>
      <c r="E5" s="25"/>
      <c r="H5" s="44"/>
      <c r="I5" s="44"/>
      <c r="J5" s="44"/>
      <c r="K5" s="25"/>
      <c r="L5" s="44"/>
      <c r="M5" s="44"/>
      <c r="N5" s="44"/>
    </row>
    <row r="6" ht="15.0" customHeight="1">
      <c r="A6" s="23" t="s">
        <v>4</v>
      </c>
      <c r="B6" s="25"/>
      <c r="C6" s="25"/>
      <c r="D6" s="25"/>
      <c r="E6" s="25"/>
      <c r="F6" s="25"/>
      <c r="G6" s="25"/>
      <c r="H6" s="44"/>
      <c r="I6" s="44"/>
      <c r="J6" s="44"/>
      <c r="K6" s="25"/>
    </row>
    <row r="7" ht="15.0" customHeight="1">
      <c r="A7" s="23" t="s">
        <v>5</v>
      </c>
      <c r="B7" s="25"/>
      <c r="C7" s="25"/>
      <c r="D7" s="25"/>
      <c r="E7" s="25"/>
      <c r="F7" s="25"/>
      <c r="G7" s="25"/>
      <c r="H7" s="44"/>
      <c r="I7" s="25"/>
      <c r="J7" s="44"/>
      <c r="K7" s="25"/>
      <c r="L7" s="25"/>
      <c r="M7" s="25"/>
      <c r="N7" s="25"/>
    </row>
    <row r="8" ht="15.0" customHeight="1">
      <c r="A8" s="23" t="s">
        <v>6</v>
      </c>
      <c r="B8" s="25"/>
      <c r="C8" s="25"/>
      <c r="D8" s="25"/>
      <c r="E8" s="25"/>
      <c r="F8" s="25"/>
      <c r="G8" s="25"/>
      <c r="H8" s="44"/>
      <c r="I8" s="25"/>
      <c r="J8" s="25"/>
      <c r="K8" s="25"/>
      <c r="L8" s="25"/>
      <c r="M8" s="25"/>
      <c r="N8" s="25"/>
    </row>
    <row r="9" ht="15.0" customHeight="1">
      <c r="A9" s="23" t="s">
        <v>7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ht="15.0" customHeight="1">
      <c r="A10" s="23" t="s">
        <v>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ht="15.0" customHeight="1">
      <c r="A11" s="23" t="s">
        <v>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ht="15.0" customHeight="1">
      <c r="A12" s="23" t="s">
        <v>10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15.0" customHeight="1">
      <c r="A13" s="23" t="s">
        <v>11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15.0" customHeight="1">
      <c r="A14" s="23" t="s">
        <v>12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ht="15.0" customHeight="1">
      <c r="A15" s="23" t="s">
        <v>13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ht="15.0" customHeight="1">
      <c r="A16" s="23" t="s">
        <v>14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ht="15.0" customHeight="1">
      <c r="A17" s="23" t="s">
        <v>15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ht="15.0" customHeight="1">
      <c r="A18" s="23" t="s">
        <v>16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ht="15.0" customHeight="1">
      <c r="A19" s="23" t="s">
        <v>17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ht="15.0" customHeight="1">
      <c r="A20" s="23" t="s">
        <v>18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ht="15.0" customHeight="1">
      <c r="A21" s="23" t="s">
        <v>19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ht="15.0" customHeight="1">
      <c r="A22" s="23" t="s">
        <v>20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ht="15.0" customHeight="1">
      <c r="A23" s="23" t="s">
        <v>21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15.0" customHeight="1">
      <c r="A24" s="23" t="s">
        <v>22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15.0" customHeight="1">
      <c r="A25" s="23" t="s">
        <v>23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15.0" customHeight="1">
      <c r="A26" s="23" t="s">
        <v>24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15.0" customHeight="1">
      <c r="A27" s="23" t="s">
        <v>25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15.0" customHeight="1">
      <c r="A28" s="23" t="s">
        <v>26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ht="15.0" customHeight="1">
      <c r="A29" s="23" t="s">
        <v>27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ht="15.0" customHeight="1">
      <c r="A30" s="23" t="s">
        <v>28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ht="15.0" customHeight="1">
      <c r="A31" s="23" t="s">
        <v>29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15.0" customHeight="1">
      <c r="A32" s="23" t="s">
        <v>30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15.0" customHeight="1">
      <c r="A33" s="23" t="s">
        <v>31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ht="15.0" customHeight="1">
      <c r="A34" s="23" t="s">
        <v>32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ht="15.0" customHeight="1">
      <c r="A35" s="23" t="s">
        <v>33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15.0" customHeight="1">
      <c r="A36" s="23" t="s">
        <v>34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15.0" customHeight="1">
      <c r="A37" s="23" t="s">
        <v>35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15.0" customHeight="1">
      <c r="A38" s="23" t="s">
        <v>36</v>
      </c>
      <c r="B38" s="25"/>
      <c r="C38" s="25"/>
      <c r="D38" s="44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15.0" customHeight="1">
      <c r="A39" s="23" t="s">
        <v>37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15.0" customHeight="1">
      <c r="A40" s="23" t="s">
        <v>38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15.0" customHeight="1">
      <c r="A41" s="23" t="s">
        <v>39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15.0" customHeight="1">
      <c r="A42" s="23" t="s">
        <v>40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15.0" customHeight="1">
      <c r="A43" s="23" t="s">
        <v>41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15.0" customHeight="1">
      <c r="A44" s="23" t="s">
        <v>42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15.0" customHeight="1">
      <c r="A45" s="23" t="s">
        <v>43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15.0" customHeight="1">
      <c r="A46" s="23" t="s">
        <v>44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15.0" customHeight="1">
      <c r="A47" s="23" t="s">
        <v>45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15.0" customHeight="1">
      <c r="A48" s="23" t="s">
        <v>46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15.0" customHeight="1">
      <c r="A49" s="23" t="s">
        <v>47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15.0" customHeight="1">
      <c r="A50" s="23" t="s">
        <v>48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15.0" customHeight="1">
      <c r="A51" s="23" t="s">
        <v>49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15.0" customHeight="1">
      <c r="A52" s="23" t="s">
        <v>50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15.0" customHeight="1">
      <c r="A53" s="23" t="s">
        <v>51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15.0" customHeight="1">
      <c r="A54" s="23" t="s">
        <v>52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15.0" customHeight="1">
      <c r="A55" s="23" t="s">
        <v>53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15.0" customHeight="1">
      <c r="A56" s="23" t="s">
        <v>54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15.0" customHeight="1">
      <c r="A57" s="23" t="s">
        <v>55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15.0" customHeight="1">
      <c r="A58" s="23" t="s">
        <v>56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15.0" customHeight="1">
      <c r="A59" s="23" t="s">
        <v>57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15.0" customHeight="1">
      <c r="A60" s="23" t="s">
        <v>58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15.0" customHeight="1">
      <c r="A61" s="23" t="s">
        <v>59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15.0" customHeight="1">
      <c r="A62" s="23" t="s">
        <v>60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15.0" customHeight="1">
      <c r="A63" s="23" t="s">
        <v>61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15.0" customHeight="1">
      <c r="A64" s="23" t="s">
        <v>62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15.0" customHeight="1">
      <c r="A65" s="23" t="s">
        <v>63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15.0" customHeight="1">
      <c r="A66" s="23" t="s">
        <v>64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15.0" customHeight="1">
      <c r="A67" s="23" t="s">
        <v>65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15.0" customHeight="1">
      <c r="A68" s="23" t="s">
        <v>66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15.0" customHeight="1">
      <c r="A69" s="23" t="s">
        <v>67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15.0" customHeight="1">
      <c r="A70" s="23" t="s">
        <v>68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15.0" customHeight="1">
      <c r="A71" s="23" t="s">
        <v>69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15.0" customHeight="1">
      <c r="A72" s="23" t="s">
        <v>70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15.0" customHeight="1">
      <c r="A73" s="23" t="s">
        <v>71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15.0" customHeight="1">
      <c r="A74" s="23" t="s">
        <v>72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15.0" customHeight="1">
      <c r="A75" s="23" t="s">
        <v>73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15.0" customHeight="1">
      <c r="A76" s="23" t="s">
        <v>74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15.0" customHeight="1">
      <c r="A77" s="23" t="s">
        <v>75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15.0" customHeight="1">
      <c r="A78" s="23" t="s">
        <v>76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15.0" customHeight="1">
      <c r="A79" s="23" t="s">
        <v>77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15.0" customHeight="1">
      <c r="A80" s="23" t="s">
        <v>78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15.0" customHeight="1">
      <c r="A81" s="23" t="s">
        <v>79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15.0" customHeight="1">
      <c r="A82" s="23" t="s">
        <v>80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15.0" customHeight="1">
      <c r="A83" s="23" t="s">
        <v>81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15.0" customHeight="1">
      <c r="A84" s="23" t="s">
        <v>82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15.0" customHeight="1">
      <c r="A85" s="23" t="s">
        <v>83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15.0" customHeight="1">
      <c r="A86" s="23" t="s">
        <v>84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ht="15.0" customHeight="1">
      <c r="A87" s="23" t="s">
        <v>85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ht="15.0" customHeight="1">
      <c r="A88" s="23" t="s">
        <v>86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ht="15.0" customHeight="1">
      <c r="A89" s="23" t="s">
        <v>87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ht="15.0" customHeight="1">
      <c r="A90" s="23" t="s">
        <v>88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ht="15.0" customHeight="1">
      <c r="A91" s="23" t="s">
        <v>89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ht="15.0" customHeight="1">
      <c r="A92" s="23" t="s">
        <v>90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ht="15.0" customHeight="1">
      <c r="A93" s="23" t="s">
        <v>91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ht="15.0" customHeight="1">
      <c r="A94" s="23" t="s">
        <v>92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ht="15.0" customHeight="1">
      <c r="A95" s="23" t="s">
        <v>93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ht="15.0" customHeight="1">
      <c r="A96" s="23" t="s">
        <v>94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ht="15.0" customHeight="1">
      <c r="A97" s="23" t="s">
        <v>95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ht="15.0" customHeight="1">
      <c r="A98" s="23" t="s">
        <v>96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ht="15.0" customHeight="1">
      <c r="A99" s="23" t="s">
        <v>97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ht="15.0" customHeight="1">
      <c r="A100" s="23" t="s">
        <v>98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ht="15.0" customHeight="1">
      <c r="A101" s="23" t="s">
        <v>99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ht="15.0" customHeight="1">
      <c r="A102" s="23" t="s">
        <v>100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ht="15.0" customHeight="1">
      <c r="A103" s="23" t="s">
        <v>101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ht="15.0" customHeight="1">
      <c r="A104" s="23" t="s">
        <v>130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ht="15.0" customHeight="1">
      <c r="A105" s="23" t="s">
        <v>131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ht="15.0" customHeight="1">
      <c r="A106" s="23" t="s">
        <v>132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ht="15.0" customHeight="1">
      <c r="A107" s="23" t="s">
        <v>133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ht="15.0" customHeight="1">
      <c r="A108" s="23" t="s">
        <v>134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ht="15.0" customHeight="1">
      <c r="A109" s="23" t="s">
        <v>135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ht="15.0" customHeight="1">
      <c r="A110" s="23" t="s">
        <v>136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ht="15.0" customHeight="1">
      <c r="A111" s="23" t="s">
        <v>137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ht="15.0" customHeight="1">
      <c r="A112" s="23" t="s">
        <v>138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ht="15.0" customHeight="1">
      <c r="A113" s="23" t="s">
        <v>139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ht="15.0" customHeight="1">
      <c r="A114" s="23" t="s">
        <v>140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ht="15.0" customHeight="1">
      <c r="A115" s="23" t="s">
        <v>141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ht="15.0" customHeight="1">
      <c r="A116" s="23" t="s">
        <v>142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ht="15.0" customHeight="1">
      <c r="A117" s="23" t="s">
        <v>143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</row>
    <row r="118" ht="15.0" customHeight="1">
      <c r="A118" s="23" t="s">
        <v>144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ht="15.0" customHeight="1">
      <c r="A119" s="23" t="s">
        <v>145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</row>
    <row r="120" ht="15.0" customHeight="1">
      <c r="A120" s="23" t="s">
        <v>146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ht="15.0" customHeight="1">
      <c r="A121" s="23" t="s">
        <v>147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</row>
    <row r="122" ht="15.0" customHeight="1">
      <c r="A122" s="23" t="s">
        <v>148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</row>
    <row r="123" ht="15.0" customHeight="1">
      <c r="A123" s="23" t="s">
        <v>149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ht="15.0" customHeight="1">
      <c r="A124" s="23" t="s">
        <v>150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</row>
    <row r="125" ht="15.0" customHeight="1">
      <c r="A125" s="23" t="s">
        <v>151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</row>
    <row r="126" ht="15.0" customHeight="1">
      <c r="A126" s="23" t="s">
        <v>152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  <row r="127" ht="15.0" customHeight="1">
      <c r="A127" s="23" t="s">
        <v>153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ht="15.0" customHeight="1">
      <c r="A128" s="23" t="s">
        <v>154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</row>
    <row r="129" ht="15.0" customHeight="1">
      <c r="A129" s="23" t="s">
        <v>155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</row>
    <row r="130" ht="15.0" customHeight="1">
      <c r="A130" s="23" t="s">
        <v>156</v>
      </c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</row>
    <row r="131" ht="15.0" customHeight="1">
      <c r="A131" s="23" t="s">
        <v>157</v>
      </c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</row>
    <row r="132" ht="15.0" customHeight="1">
      <c r="A132" s="23" t="s">
        <v>158</v>
      </c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ht="15.0" customHeight="1">
      <c r="A133" s="23" t="s">
        <v>159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</row>
    <row r="134" ht="15.0" customHeight="1">
      <c r="A134" s="23" t="s">
        <v>160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</row>
    <row r="135" ht="15.0" customHeight="1">
      <c r="A135" s="23" t="s">
        <v>161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</row>
    <row r="136" ht="15.0" customHeight="1">
      <c r="A136" s="23" t="s">
        <v>162</v>
      </c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</row>
    <row r="137" ht="15.0" customHeight="1">
      <c r="A137" s="23" t="s">
        <v>163</v>
      </c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</row>
    <row r="138" ht="15.0" customHeight="1">
      <c r="A138" s="23" t="s">
        <v>164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</row>
    <row r="139" ht="15.0" customHeight="1">
      <c r="A139" s="23" t="s">
        <v>165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</row>
    <row r="140" ht="15.0" customHeight="1">
      <c r="A140" s="23" t="s">
        <v>166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</row>
    <row r="141" ht="15.0" customHeight="1">
      <c r="A141" s="23" t="s">
        <v>167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</row>
    <row r="142" ht="15.0" customHeight="1">
      <c r="A142" s="23" t="s">
        <v>168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</row>
    <row r="143" ht="15.0" customHeight="1">
      <c r="A143" s="23" t="s">
        <v>169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</row>
    <row r="144" ht="15.0" customHeight="1">
      <c r="A144" s="23" t="s">
        <v>170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ht="15.0" customHeight="1">
      <c r="A145" s="23" t="s">
        <v>171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</row>
    <row r="146" ht="15.0" customHeight="1">
      <c r="A146" s="23" t="s">
        <v>172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</row>
    <row r="147" ht="15.0" customHeight="1">
      <c r="A147" s="23" t="s">
        <v>173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</row>
    <row r="148" ht="15.0" customHeight="1">
      <c r="A148" s="23" t="s">
        <v>174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</row>
    <row r="149" ht="15.0" customHeight="1">
      <c r="A149" s="23" t="s">
        <v>175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</row>
    <row r="150" ht="15.0" customHeight="1">
      <c r="A150" s="23" t="s">
        <v>176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ht="15.0" customHeight="1">
      <c r="A151" s="23" t="s">
        <v>177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</row>
    <row r="152" ht="15.0" customHeight="1">
      <c r="A152" s="23" t="s">
        <v>178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</row>
    <row r="153" ht="15.0" customHeight="1">
      <c r="A153" s="23" t="s">
        <v>179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</row>
    <row r="154" ht="15.0" customHeight="1">
      <c r="A154" s="23" t="s">
        <v>180</v>
      </c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</row>
    <row r="155" ht="15.0" customHeight="1">
      <c r="A155" s="23" t="s">
        <v>181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</row>
    <row r="156" ht="15.0" customHeight="1">
      <c r="A156" s="23" t="s">
        <v>182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ht="15.0" customHeight="1">
      <c r="A157" s="23" t="s">
        <v>183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</row>
    <row r="158" ht="15.0" customHeight="1">
      <c r="A158" s="23" t="s">
        <v>184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</row>
    <row r="159" ht="15.0" customHeight="1">
      <c r="A159" s="23" t="s">
        <v>185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</row>
    <row r="160" ht="15.0" customHeight="1">
      <c r="A160" s="23" t="s">
        <v>186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</row>
    <row r="161" ht="15.0" customHeight="1">
      <c r="A161" s="23" t="s">
        <v>187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</row>
    <row r="162" ht="15.0" customHeight="1">
      <c r="A162" s="23" t="s">
        <v>188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ht="15.0" customHeight="1">
      <c r="A163" s="23" t="s">
        <v>189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</row>
    <row r="164" ht="15.0" customHeight="1">
      <c r="A164" s="23" t="s">
        <v>190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</row>
    <row r="165" ht="15.0" customHeight="1">
      <c r="A165" s="23" t="s">
        <v>191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</row>
    <row r="166" ht="15.0" customHeight="1">
      <c r="A166" s="23" t="s">
        <v>192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</row>
    <row r="167" ht="15.0" customHeight="1">
      <c r="A167" s="23" t="s">
        <v>193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</row>
    <row r="168" ht="15.0" customHeight="1">
      <c r="A168" s="23" t="s">
        <v>194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</row>
    <row r="169" ht="15.0" customHeight="1">
      <c r="A169" s="23" t="s">
        <v>195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</row>
    <row r="170" ht="15.0" customHeight="1">
      <c r="A170" s="23" t="s">
        <v>196</v>
      </c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</row>
    <row r="171" ht="15.0" customHeight="1">
      <c r="A171" s="23" t="s">
        <v>197</v>
      </c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</row>
    <row r="172" ht="15.0" customHeight="1">
      <c r="A172" s="23" t="s">
        <v>198</v>
      </c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ht="15.0" customHeight="1">
      <c r="A173" s="23" t="s">
        <v>199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</row>
    <row r="174" ht="15.0" customHeight="1">
      <c r="A174" s="23" t="s">
        <v>200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ht="15.0" customHeight="1">
      <c r="A175" s="23" t="s">
        <v>201</v>
      </c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</row>
    <row r="176" ht="15.0" customHeight="1">
      <c r="A176" s="23" t="s">
        <v>202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</row>
    <row r="177" ht="15.0" customHeight="1">
      <c r="A177" s="23" t="s">
        <v>203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</row>
    <row r="178" ht="15.0" customHeight="1">
      <c r="A178" s="23" t="s">
        <v>204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</row>
    <row r="179" ht="15.0" customHeight="1">
      <c r="A179" s="23" t="s">
        <v>205</v>
      </c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</row>
    <row r="180" ht="15.0" customHeight="1">
      <c r="A180" s="23" t="s">
        <v>206</v>
      </c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ht="15.0" customHeight="1">
      <c r="A181" s="23" t="s">
        <v>207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</row>
    <row r="182" ht="15.0" customHeight="1">
      <c r="A182" s="23" t="s">
        <v>208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</row>
    <row r="183" ht="15.0" customHeight="1">
      <c r="A183" s="23" t="s">
        <v>209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</row>
    <row r="184" ht="15.0" customHeight="1">
      <c r="A184" s="23" t="s">
        <v>210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</row>
    <row r="185" ht="15.0" customHeight="1">
      <c r="A185" s="23" t="s">
        <v>211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</row>
    <row r="186" ht="15.0" customHeight="1">
      <c r="A186" s="23" t="s">
        <v>212</v>
      </c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ht="15.0" customHeight="1">
      <c r="A187" s="23" t="s">
        <v>213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</row>
    <row r="188" ht="15.0" customHeight="1">
      <c r="A188" s="23" t="s">
        <v>214</v>
      </c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</row>
    <row r="189" ht="15.0" customHeight="1">
      <c r="A189" s="23" t="s">
        <v>215</v>
      </c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</row>
    <row r="190" ht="15.0" customHeight="1">
      <c r="A190" s="23" t="s">
        <v>216</v>
      </c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</row>
    <row r="191" ht="15.0" customHeight="1">
      <c r="A191" s="23" t="s">
        <v>217</v>
      </c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</row>
    <row r="192" ht="15.0" customHeight="1">
      <c r="A192" s="23" t="s">
        <v>218</v>
      </c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ht="15.0" customHeight="1">
      <c r="A193" s="23" t="s">
        <v>219</v>
      </c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</row>
    <row r="194" ht="15.0" customHeight="1">
      <c r="A194" s="23" t="s">
        <v>220</v>
      </c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</row>
    <row r="195" ht="15.0" customHeight="1">
      <c r="A195" s="23" t="s">
        <v>221</v>
      </c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</row>
    <row r="196" ht="15.0" customHeight="1">
      <c r="A196" s="23" t="s">
        <v>222</v>
      </c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</row>
    <row r="197" ht="15.0" customHeight="1">
      <c r="A197" s="23" t="s">
        <v>223</v>
      </c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ht="15.0" customHeight="1">
      <c r="A198" s="23" t="s">
        <v>224</v>
      </c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ht="15.0" customHeight="1">
      <c r="A199" s="23" t="s">
        <v>225</v>
      </c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</row>
    <row r="200" ht="15.0" customHeight="1">
      <c r="A200" s="23" t="s">
        <v>226</v>
      </c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</row>
    <row r="201" ht="15.0" customHeight="1">
      <c r="A201" s="23" t="s">
        <v>227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</row>
    <row r="202" ht="15.0" customHeight="1">
      <c r="A202" s="23" t="s">
        <v>228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</row>
    <row r="203" ht="15.0" customHeight="1">
      <c r="A203" s="23" t="s">
        <v>229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</row>
    <row r="204" ht="15.0" customHeight="1">
      <c r="A204" s="23" t="s">
        <v>230</v>
      </c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</row>
    <row r="205" ht="15.0" customHeight="1">
      <c r="A205" s="23" t="s">
        <v>231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</row>
    <row r="206" ht="15.0" customHeight="1">
      <c r="A206" s="23" t="s">
        <v>232</v>
      </c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</row>
    <row r="207" ht="15.0" customHeight="1">
      <c r="A207" s="23" t="s">
        <v>233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</row>
    <row r="208" ht="15.0" customHeight="1">
      <c r="A208" s="23" t="s">
        <v>234</v>
      </c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</row>
    <row r="209" ht="15.0" customHeight="1">
      <c r="A209" s="23" t="s">
        <v>235</v>
      </c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</row>
    <row r="210" ht="15.0" customHeight="1">
      <c r="A210" s="23" t="s">
        <v>236</v>
      </c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</row>
    <row r="211" ht="15.0" customHeight="1">
      <c r="A211" s="23" t="s">
        <v>237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</row>
    <row r="212" ht="15.0" customHeight="1">
      <c r="A212" s="23" t="s">
        <v>238</v>
      </c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</row>
    <row r="213" ht="15.0" customHeight="1">
      <c r="A213" s="23" t="s">
        <v>239</v>
      </c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</row>
    <row r="214" ht="15.0" customHeight="1">
      <c r="A214" s="23" t="s">
        <v>240</v>
      </c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</row>
    <row r="215" ht="15.0" customHeight="1">
      <c r="A215" s="23" t="s">
        <v>241</v>
      </c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</row>
    <row r="216" ht="15.0" customHeight="1">
      <c r="A216" s="23" t="s">
        <v>242</v>
      </c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</row>
    <row r="217" ht="15.0" customHeight="1">
      <c r="A217" s="23" t="s">
        <v>243</v>
      </c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</row>
    <row r="218" ht="15.0" customHeight="1">
      <c r="A218" s="23" t="s">
        <v>244</v>
      </c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</row>
    <row r="219" ht="15.0" customHeight="1">
      <c r="A219" s="23" t="s">
        <v>245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</row>
    <row r="220" ht="15.0" customHeight="1">
      <c r="A220" s="23" t="s">
        <v>246</v>
      </c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</row>
    <row r="221" ht="15.0" customHeight="1">
      <c r="A221" s="23" t="s">
        <v>247</v>
      </c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</row>
    <row r="222" ht="15.0" customHeight="1">
      <c r="A222" s="23" t="s">
        <v>248</v>
      </c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</row>
    <row r="223" ht="15.0" customHeight="1">
      <c r="A223" s="23" t="s">
        <v>249</v>
      </c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</row>
    <row r="224" ht="15.0" customHeight="1">
      <c r="A224" s="23" t="s">
        <v>250</v>
      </c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</row>
    <row r="225" ht="15.0" customHeight="1">
      <c r="A225" s="23" t="s">
        <v>251</v>
      </c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</row>
    <row r="226" ht="15.0" customHeight="1">
      <c r="A226" s="23" t="s">
        <v>252</v>
      </c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</row>
    <row r="227" ht="15.0" customHeight="1">
      <c r="A227" s="23" t="s">
        <v>253</v>
      </c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</row>
    <row r="228" ht="15.0" customHeight="1">
      <c r="A228" s="23" t="s">
        <v>254</v>
      </c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</row>
    <row r="229" ht="15.0" customHeight="1">
      <c r="A229" s="23" t="s">
        <v>255</v>
      </c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</row>
    <row r="230" ht="15.0" customHeight="1">
      <c r="A230" s="23" t="s">
        <v>256</v>
      </c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</row>
    <row r="231" ht="15.0" customHeight="1">
      <c r="A231" s="23" t="s">
        <v>257</v>
      </c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</row>
    <row r="232" ht="15.0" customHeight="1">
      <c r="A232" s="23" t="s">
        <v>258</v>
      </c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</row>
    <row r="233" ht="15.0" customHeight="1">
      <c r="A233" s="23" t="s">
        <v>259</v>
      </c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</row>
    <row r="234" ht="15.0" customHeight="1">
      <c r="A234" s="23" t="s">
        <v>260</v>
      </c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</row>
    <row r="235" ht="15.0" customHeight="1">
      <c r="A235" s="23" t="s">
        <v>261</v>
      </c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</row>
    <row r="236" ht="15.0" customHeight="1">
      <c r="A236" s="23" t="s">
        <v>262</v>
      </c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</row>
    <row r="237" ht="15.0" customHeight="1">
      <c r="A237" s="23" t="s">
        <v>263</v>
      </c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</row>
    <row r="238" ht="15.0" customHeight="1">
      <c r="A238" s="23" t="s">
        <v>264</v>
      </c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</row>
    <row r="239" ht="15.0" customHeight="1">
      <c r="A239" s="23" t="s">
        <v>265</v>
      </c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</row>
    <row r="240" ht="15.0" customHeight="1">
      <c r="A240" s="23" t="s">
        <v>266</v>
      </c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</row>
    <row r="241" ht="15.0" customHeight="1">
      <c r="A241" s="23" t="s">
        <v>267</v>
      </c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</row>
    <row r="242" ht="15.0" customHeight="1">
      <c r="A242" s="23" t="s">
        <v>268</v>
      </c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</row>
    <row r="243" ht="15.0" customHeight="1">
      <c r="A243" s="23" t="s">
        <v>269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</row>
    <row r="244" ht="15.0" customHeight="1">
      <c r="A244" s="23" t="s">
        <v>270</v>
      </c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</row>
    <row r="245" ht="15.0" customHeight="1">
      <c r="A245" s="23" t="s">
        <v>271</v>
      </c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</row>
    <row r="246" ht="15.0" customHeight="1">
      <c r="A246" s="23" t="s">
        <v>272</v>
      </c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</row>
    <row r="247" ht="15.0" customHeight="1">
      <c r="A247" s="23" t="s">
        <v>273</v>
      </c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</row>
    <row r="248" ht="15.0" customHeight="1">
      <c r="A248" s="23" t="s">
        <v>274</v>
      </c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</row>
    <row r="249" ht="15.0" customHeight="1">
      <c r="A249" s="23" t="s">
        <v>275</v>
      </c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</row>
    <row r="250" ht="15.0" customHeight="1">
      <c r="A250" s="23" t="s">
        <v>276</v>
      </c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</row>
    <row r="251" ht="15.0" customHeight="1">
      <c r="A251" s="23" t="s">
        <v>277</v>
      </c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</row>
    <row r="252" ht="15.0" customHeight="1">
      <c r="A252" s="23" t="s">
        <v>278</v>
      </c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</row>
    <row r="253" ht="15.0" customHeight="1">
      <c r="A253" s="23" t="s">
        <v>279</v>
      </c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</row>
    <row r="254" ht="15.0" customHeight="1">
      <c r="A254" s="23" t="s">
        <v>280</v>
      </c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</row>
    <row r="255" ht="15.0" customHeight="1">
      <c r="A255" s="23" t="s">
        <v>281</v>
      </c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</row>
    <row r="256" ht="15.0" customHeight="1">
      <c r="A256" s="23" t="s">
        <v>282</v>
      </c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</row>
    <row r="257" ht="15.0" customHeight="1">
      <c r="A257" s="23" t="s">
        <v>283</v>
      </c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</row>
    <row r="258" ht="15.0" customHeight="1">
      <c r="A258" s="23" t="s">
        <v>284</v>
      </c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</row>
    <row r="259" ht="15.0" customHeight="1">
      <c r="A259" s="23" t="s">
        <v>285</v>
      </c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</row>
    <row r="260" ht="15.0" customHeight="1">
      <c r="A260" s="23" t="s">
        <v>286</v>
      </c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</row>
    <row r="261" ht="15.0" customHeight="1">
      <c r="A261" s="23" t="s">
        <v>287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</row>
    <row r="262" ht="15.0" customHeight="1">
      <c r="A262" s="23" t="s">
        <v>288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</row>
    <row r="263" ht="15.0" customHeight="1">
      <c r="A263" s="23" t="s">
        <v>289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</row>
    <row r="264" ht="15.0" customHeight="1">
      <c r="A264" s="23" t="s">
        <v>290</v>
      </c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</row>
    <row r="265" ht="15.0" customHeight="1">
      <c r="A265" s="23" t="s">
        <v>291</v>
      </c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</row>
    <row r="266" ht="15.0" customHeight="1">
      <c r="A266" s="23" t="s">
        <v>292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</row>
    <row r="267" ht="15.0" customHeight="1">
      <c r="A267" s="23" t="s">
        <v>293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</row>
    <row r="268" ht="15.0" customHeight="1">
      <c r="A268" s="23" t="s">
        <v>294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</row>
    <row r="269" ht="15.0" customHeight="1">
      <c r="A269" s="23" t="s">
        <v>295</v>
      </c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</row>
    <row r="270" ht="15.0" customHeight="1">
      <c r="A270" s="23" t="s">
        <v>296</v>
      </c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</row>
    <row r="271" ht="15.0" customHeight="1">
      <c r="A271" s="23" t="s">
        <v>297</v>
      </c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</row>
    <row r="272" ht="15.0" customHeight="1">
      <c r="A272" s="23" t="s">
        <v>298</v>
      </c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</row>
    <row r="273" ht="15.0" customHeight="1">
      <c r="A273" s="23" t="s">
        <v>299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</row>
    <row r="274" ht="15.0" customHeight="1">
      <c r="A274" s="23" t="s">
        <v>300</v>
      </c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</row>
    <row r="275" ht="15.0" customHeight="1">
      <c r="A275" s="23" t="s">
        <v>301</v>
      </c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</row>
    <row r="276" ht="15.0" customHeight="1">
      <c r="A276" s="23" t="s">
        <v>302</v>
      </c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</row>
    <row r="277" ht="15.0" customHeight="1">
      <c r="A277" s="23" t="s">
        <v>303</v>
      </c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</row>
    <row r="278" ht="15.0" customHeight="1">
      <c r="A278" s="23" t="s">
        <v>304</v>
      </c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</row>
    <row r="279" ht="15.0" customHeight="1">
      <c r="A279" s="23" t="s">
        <v>305</v>
      </c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</row>
    <row r="280" ht="15.0" customHeight="1">
      <c r="A280" s="23" t="s">
        <v>306</v>
      </c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</row>
    <row r="281" ht="15.0" customHeight="1">
      <c r="A281" s="23" t="s">
        <v>307</v>
      </c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</row>
    <row r="282" ht="15.0" customHeight="1">
      <c r="A282" s="23" t="s">
        <v>308</v>
      </c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</row>
    <row r="283" ht="15.0" customHeight="1">
      <c r="A283" s="23" t="s">
        <v>309</v>
      </c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</row>
    <row r="284" ht="15.0" customHeight="1">
      <c r="A284" s="23" t="s">
        <v>310</v>
      </c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</row>
    <row r="285" ht="15.0" customHeight="1">
      <c r="A285" s="23" t="s">
        <v>311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</row>
    <row r="286" ht="15.0" customHeight="1">
      <c r="A286" s="23" t="s">
        <v>312</v>
      </c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</row>
    <row r="287" ht="15.0" customHeight="1">
      <c r="A287" s="23" t="s">
        <v>313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</row>
    <row r="288" ht="15.0" customHeight="1">
      <c r="A288" s="23" t="s">
        <v>314</v>
      </c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</row>
    <row r="289" ht="15.0" customHeight="1">
      <c r="A289" s="23" t="s">
        <v>315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</row>
    <row r="290" ht="15.0" customHeight="1">
      <c r="A290" s="23" t="s">
        <v>316</v>
      </c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</row>
    <row r="291" ht="15.0" customHeight="1">
      <c r="A291" s="23" t="s">
        <v>317</v>
      </c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</row>
    <row r="292" ht="15.0" customHeight="1">
      <c r="A292" s="23" t="s">
        <v>318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</row>
    <row r="293" ht="15.0" customHeight="1">
      <c r="A293" s="23" t="s">
        <v>319</v>
      </c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</row>
    <row r="294" ht="15.0" customHeight="1">
      <c r="A294" s="23" t="s">
        <v>320</v>
      </c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</row>
    <row r="295" ht="15.0" customHeight="1">
      <c r="A295" s="23" t="s">
        <v>321</v>
      </c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</row>
    <row r="296" ht="15.0" customHeight="1">
      <c r="A296" s="23" t="s">
        <v>322</v>
      </c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</row>
    <row r="297" ht="15.0" customHeight="1">
      <c r="A297" s="23" t="s">
        <v>323</v>
      </c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</row>
    <row r="298" ht="15.0" customHeight="1">
      <c r="A298" s="23" t="s">
        <v>324</v>
      </c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</row>
    <row r="299" ht="15.0" customHeight="1">
      <c r="A299" s="23" t="s">
        <v>325</v>
      </c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</row>
    <row r="300" ht="15.0" customHeight="1">
      <c r="A300" s="23" t="s">
        <v>326</v>
      </c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</row>
    <row r="301" ht="15.0" customHeight="1">
      <c r="A301" s="23" t="s">
        <v>327</v>
      </c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</row>
    <row r="302" ht="15.0" customHeight="1">
      <c r="A302" s="23" t="s">
        <v>328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</row>
    <row r="303" ht="15.0" customHeight="1">
      <c r="A303" s="23" t="s">
        <v>329</v>
      </c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</row>
    <row r="304" ht="15.0" customHeight="1">
      <c r="A304" s="32" t="s">
        <v>330</v>
      </c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</row>
    <row r="305" ht="15.0" customHeight="1">
      <c r="A305" s="32" t="s">
        <v>331</v>
      </c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</row>
    <row r="306" ht="15.0" customHeight="1">
      <c r="A306" s="32" t="s">
        <v>332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</row>
    <row r="307" ht="15.0" customHeight="1">
      <c r="A307" s="32" t="s">
        <v>333</v>
      </c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</row>
    <row r="308" ht="15.0" customHeight="1">
      <c r="A308" s="32" t="s">
        <v>334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</row>
    <row r="309" ht="15.0" customHeight="1">
      <c r="A309" s="32" t="s">
        <v>335</v>
      </c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</row>
    <row r="310" ht="15.0" customHeight="1">
      <c r="A310" s="32" t="s">
        <v>336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</row>
    <row r="311" ht="15.0" customHeight="1">
      <c r="A311" s="32" t="s">
        <v>337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</row>
    <row r="312" ht="15.0" customHeight="1">
      <c r="A312" s="32" t="s">
        <v>338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</row>
    <row r="313" ht="15.0" customHeight="1">
      <c r="A313" s="32" t="s">
        <v>339</v>
      </c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</row>
    <row r="314" ht="15.0" customHeight="1">
      <c r="A314" s="32" t="s">
        <v>340</v>
      </c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</row>
    <row r="315" ht="15.0" customHeight="1">
      <c r="A315" s="32" t="s">
        <v>341</v>
      </c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</row>
    <row r="316" ht="15.0" customHeight="1">
      <c r="A316" s="32" t="s">
        <v>342</v>
      </c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</row>
    <row r="317" ht="15.0" customHeight="1">
      <c r="A317" s="32" t="s">
        <v>343</v>
      </c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</row>
    <row r="318" ht="15.0" customHeight="1">
      <c r="A318" s="32" t="s">
        <v>344</v>
      </c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</row>
    <row r="319" ht="15.0" customHeight="1">
      <c r="A319" s="32" t="s">
        <v>345</v>
      </c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</row>
    <row r="320" ht="15.0" customHeight="1">
      <c r="A320" s="32" t="s">
        <v>346</v>
      </c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</row>
    <row r="321" ht="15.0" customHeight="1">
      <c r="A321" s="32" t="s">
        <v>347</v>
      </c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</row>
    <row r="322" ht="15.0" customHeight="1">
      <c r="A322" s="32" t="s">
        <v>348</v>
      </c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</row>
    <row r="323" ht="15.0" customHeight="1">
      <c r="A323" s="32" t="s">
        <v>349</v>
      </c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</row>
    <row r="324" ht="15.0" customHeight="1">
      <c r="A324" s="32" t="s">
        <v>350</v>
      </c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</row>
    <row r="325" ht="15.0" customHeight="1">
      <c r="A325" s="32" t="s">
        <v>351</v>
      </c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</row>
    <row r="326" ht="15.0" customHeight="1">
      <c r="A326" s="32" t="s">
        <v>352</v>
      </c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</row>
    <row r="327" ht="15.0" customHeight="1">
      <c r="A327" s="32" t="s">
        <v>353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</row>
    <row r="328" ht="15.0" customHeight="1">
      <c r="A328" s="32" t="s">
        <v>354</v>
      </c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</row>
    <row r="329" ht="15.0" customHeight="1">
      <c r="A329" s="32" t="s">
        <v>355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</row>
    <row r="330" ht="15.0" customHeight="1">
      <c r="A330" s="32" t="s">
        <v>356</v>
      </c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</row>
    <row r="331" ht="15.0" customHeight="1">
      <c r="A331" s="32" t="s">
        <v>357</v>
      </c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</row>
    <row r="332" ht="15.0" customHeight="1">
      <c r="A332" s="32" t="s">
        <v>358</v>
      </c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</row>
    <row r="333" ht="15.0" customHeight="1">
      <c r="A333" s="32" t="s">
        <v>359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</row>
    <row r="334" ht="15.0" customHeight="1">
      <c r="A334" s="32" t="s">
        <v>360</v>
      </c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</row>
    <row r="335" ht="15.0" customHeight="1">
      <c r="A335" s="32" t="s">
        <v>361</v>
      </c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</row>
    <row r="336" ht="15.0" customHeight="1">
      <c r="A336" s="32" t="s">
        <v>362</v>
      </c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</row>
    <row r="337" ht="15.0" customHeight="1">
      <c r="A337" s="32" t="s">
        <v>363</v>
      </c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</row>
    <row r="338" ht="15.0" customHeight="1">
      <c r="A338" s="32" t="s">
        <v>364</v>
      </c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</row>
    <row r="339" ht="15.0" customHeight="1">
      <c r="A339" s="32" t="s">
        <v>365</v>
      </c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</row>
    <row r="340" ht="15.0" customHeight="1">
      <c r="A340" s="32" t="s">
        <v>366</v>
      </c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</row>
    <row r="341" ht="15.0" customHeight="1">
      <c r="A341" s="32" t="s">
        <v>367</v>
      </c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</row>
    <row r="342" ht="15.0" customHeight="1">
      <c r="A342" s="32" t="s">
        <v>368</v>
      </c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</row>
    <row r="343" ht="15.0" customHeight="1">
      <c r="A343" s="32" t="s">
        <v>369</v>
      </c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</row>
    <row r="344" ht="15.0" customHeight="1">
      <c r="A344" s="32" t="s">
        <v>370</v>
      </c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</row>
    <row r="345" ht="15.0" customHeight="1">
      <c r="A345" s="32" t="s">
        <v>371</v>
      </c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</row>
    <row r="346" ht="15.0" customHeight="1">
      <c r="A346" s="32" t="s">
        <v>372</v>
      </c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</row>
    <row r="347" ht="15.0" customHeight="1">
      <c r="A347" s="32" t="s">
        <v>373</v>
      </c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</row>
    <row r="348" ht="15.0" customHeight="1">
      <c r="A348" s="32" t="s">
        <v>374</v>
      </c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ht="15.0" customHeight="1">
      <c r="A349" s="32" t="s">
        <v>375</v>
      </c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</row>
    <row r="350" ht="15.0" customHeight="1">
      <c r="A350" s="32" t="s">
        <v>376</v>
      </c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</row>
    <row r="351" ht="15.0" customHeight="1">
      <c r="A351" s="32" t="s">
        <v>377</v>
      </c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</row>
    <row r="352" ht="15.0" customHeight="1">
      <c r="A352" s="32" t="s">
        <v>378</v>
      </c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</row>
    <row r="353" ht="15.0" customHeight="1">
      <c r="A353" s="32" t="s">
        <v>379</v>
      </c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</row>
    <row r="354" ht="15.0" customHeight="1">
      <c r="A354" s="32" t="s">
        <v>380</v>
      </c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</row>
    <row r="355" ht="15.0" customHeight="1">
      <c r="A355" s="32" t="s">
        <v>381</v>
      </c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</row>
    <row r="356" ht="15.0" customHeight="1">
      <c r="A356" s="32" t="s">
        <v>382</v>
      </c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</row>
    <row r="357" ht="15.0" customHeight="1">
      <c r="A357" s="32" t="s">
        <v>383</v>
      </c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</row>
    <row r="358" ht="15.0" customHeight="1">
      <c r="A358" s="32" t="s">
        <v>384</v>
      </c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</row>
    <row r="359" ht="15.0" customHeight="1">
      <c r="A359" s="32" t="s">
        <v>385</v>
      </c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</row>
    <row r="360" ht="15.0" customHeight="1">
      <c r="A360" s="32" t="s">
        <v>386</v>
      </c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</row>
    <row r="361" ht="15.0" customHeight="1">
      <c r="A361" s="32" t="s">
        <v>387</v>
      </c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</row>
    <row r="362" ht="15.0" customHeight="1">
      <c r="A362" s="32" t="s">
        <v>388</v>
      </c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</row>
    <row r="363" ht="15.0" customHeight="1">
      <c r="A363" s="32" t="s">
        <v>389</v>
      </c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</row>
    <row r="364" ht="15.0" customHeight="1">
      <c r="A364" s="32" t="s">
        <v>390</v>
      </c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</row>
    <row r="365" ht="15.0" customHeight="1">
      <c r="A365" s="32" t="s">
        <v>391</v>
      </c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</row>
    <row r="366" ht="15.0" customHeight="1">
      <c r="A366" s="32" t="s">
        <v>392</v>
      </c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</row>
    <row r="367" ht="15.0" customHeight="1">
      <c r="A367" s="32" t="s">
        <v>393</v>
      </c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</row>
    <row r="368" ht="15.0" customHeight="1">
      <c r="A368" s="32" t="s">
        <v>394</v>
      </c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</row>
    <row r="369" ht="15.0" customHeight="1">
      <c r="A369" s="32" t="s">
        <v>395</v>
      </c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</row>
    <row r="370" ht="15.0" customHeight="1">
      <c r="A370" s="32" t="s">
        <v>396</v>
      </c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</row>
    <row r="371" ht="15.0" customHeight="1">
      <c r="A371" s="32" t="s">
        <v>397</v>
      </c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</row>
    <row r="372" ht="15.0" customHeight="1">
      <c r="A372" s="32" t="s">
        <v>398</v>
      </c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</row>
    <row r="373" ht="15.0" customHeight="1">
      <c r="A373" s="32" t="s">
        <v>399</v>
      </c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</row>
    <row r="374" ht="15.0" customHeight="1">
      <c r="A374" s="32" t="s">
        <v>400</v>
      </c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</row>
    <row r="375" ht="15.0" customHeight="1">
      <c r="A375" s="32" t="s">
        <v>401</v>
      </c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</row>
    <row r="376" ht="15.0" customHeight="1">
      <c r="A376" s="32" t="s">
        <v>402</v>
      </c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</row>
    <row r="377" ht="15.0" customHeight="1">
      <c r="A377" s="32" t="s">
        <v>403</v>
      </c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</row>
    <row r="378" ht="15.0" customHeight="1">
      <c r="A378" s="32" t="s">
        <v>404</v>
      </c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</row>
    <row r="379" ht="15.0" customHeight="1">
      <c r="A379" s="32" t="s">
        <v>405</v>
      </c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</row>
    <row r="380" ht="15.0" customHeight="1">
      <c r="A380" s="32" t="s">
        <v>406</v>
      </c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</row>
    <row r="381" ht="15.0" customHeight="1">
      <c r="A381" s="32" t="s">
        <v>407</v>
      </c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</row>
    <row r="382" ht="15.0" customHeight="1">
      <c r="A382" s="32" t="s">
        <v>408</v>
      </c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</row>
    <row r="383" ht="15.0" customHeight="1">
      <c r="A383" s="32" t="s">
        <v>409</v>
      </c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</row>
    <row r="384" ht="15.0" customHeight="1">
      <c r="A384" s="32" t="s">
        <v>410</v>
      </c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</row>
    <row r="385" ht="15.0" customHeight="1">
      <c r="A385" s="32" t="s">
        <v>411</v>
      </c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</row>
    <row r="386" ht="15.0" customHeight="1">
      <c r="A386" s="32" t="s">
        <v>412</v>
      </c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</row>
    <row r="387" ht="15.0" customHeight="1">
      <c r="A387" s="32" t="s">
        <v>413</v>
      </c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</row>
    <row r="388" ht="15.0" customHeight="1">
      <c r="A388" s="32" t="s">
        <v>414</v>
      </c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</row>
    <row r="389" ht="15.0" customHeight="1">
      <c r="A389" s="32" t="s">
        <v>415</v>
      </c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</row>
    <row r="390" ht="15.0" customHeight="1">
      <c r="A390" s="32" t="s">
        <v>416</v>
      </c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</row>
    <row r="391" ht="15.0" customHeight="1">
      <c r="A391" s="32" t="s">
        <v>417</v>
      </c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</row>
    <row r="392" ht="15.0" customHeight="1">
      <c r="A392" s="32" t="s">
        <v>418</v>
      </c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</row>
    <row r="393" ht="15.0" customHeight="1">
      <c r="A393" s="32" t="s">
        <v>419</v>
      </c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</row>
    <row r="394" ht="15.0" customHeight="1">
      <c r="A394" s="32" t="s">
        <v>420</v>
      </c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</row>
    <row r="395" ht="15.0" customHeight="1">
      <c r="A395" s="32" t="s">
        <v>421</v>
      </c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</row>
    <row r="396" ht="15.0" customHeight="1">
      <c r="A396" s="32" t="s">
        <v>422</v>
      </c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</row>
    <row r="397" ht="15.0" customHeight="1">
      <c r="A397" s="32" t="s">
        <v>423</v>
      </c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</row>
    <row r="398" ht="15.0" customHeight="1">
      <c r="A398" s="32" t="s">
        <v>424</v>
      </c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</row>
    <row r="399" ht="15.0" customHeight="1">
      <c r="A399" s="32" t="s">
        <v>425</v>
      </c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</row>
    <row r="400" ht="15.0" customHeight="1">
      <c r="A400" s="32" t="s">
        <v>426</v>
      </c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</row>
    <row r="401" ht="15.0" customHeight="1">
      <c r="A401" s="32" t="s">
        <v>427</v>
      </c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</row>
    <row r="402" ht="15.0" customHeight="1">
      <c r="A402" s="32" t="s">
        <v>428</v>
      </c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</row>
    <row r="403" ht="15.0" customHeight="1">
      <c r="A403" s="32" t="s">
        <v>429</v>
      </c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</row>
    <row r="404" ht="15.0" customHeight="1">
      <c r="A404" s="32" t="s">
        <v>430</v>
      </c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</row>
    <row r="405" ht="15.0" customHeight="1">
      <c r="A405" s="32" t="s">
        <v>431</v>
      </c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</row>
    <row r="406" ht="15.0" customHeight="1">
      <c r="A406" s="32" t="s">
        <v>432</v>
      </c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</row>
    <row r="407" ht="15.0" customHeight="1">
      <c r="A407" s="32" t="s">
        <v>433</v>
      </c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</row>
    <row r="408" ht="15.0" customHeight="1">
      <c r="A408" s="32" t="s">
        <v>434</v>
      </c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</row>
    <row r="409" ht="15.0" customHeight="1">
      <c r="A409" s="32" t="s">
        <v>435</v>
      </c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</row>
    <row r="410" ht="15.0" customHeight="1">
      <c r="A410" s="32" t="s">
        <v>436</v>
      </c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</row>
    <row r="411" ht="15.0" customHeight="1">
      <c r="A411" s="32" t="s">
        <v>437</v>
      </c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</row>
    <row r="412" ht="15.0" customHeight="1">
      <c r="A412" s="32" t="s">
        <v>438</v>
      </c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</row>
    <row r="413" ht="15.0" customHeight="1">
      <c r="A413" s="32" t="s">
        <v>439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</row>
    <row r="414" ht="15.0" customHeight="1">
      <c r="A414" s="32" t="s">
        <v>440</v>
      </c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</row>
    <row r="415" ht="15.0" customHeight="1">
      <c r="A415" s="32" t="s">
        <v>441</v>
      </c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</row>
    <row r="416" ht="15.0" customHeight="1">
      <c r="A416" s="32" t="s">
        <v>442</v>
      </c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</row>
    <row r="417" ht="15.0" customHeight="1">
      <c r="A417" s="32" t="s">
        <v>443</v>
      </c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</row>
    <row r="418" ht="15.0" customHeight="1">
      <c r="A418" s="32" t="s">
        <v>444</v>
      </c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</row>
    <row r="419" ht="15.0" customHeight="1">
      <c r="A419" s="32" t="s">
        <v>445</v>
      </c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</row>
    <row r="420" ht="15.0" customHeight="1">
      <c r="A420" s="32" t="s">
        <v>446</v>
      </c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</row>
    <row r="421" ht="15.0" customHeight="1">
      <c r="A421" s="32" t="s">
        <v>447</v>
      </c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</row>
    <row r="422" ht="15.0" customHeight="1">
      <c r="A422" s="32" t="s">
        <v>448</v>
      </c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</row>
    <row r="423" ht="15.0" customHeight="1">
      <c r="A423" s="32" t="s">
        <v>449</v>
      </c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</row>
    <row r="424" ht="15.0" customHeight="1">
      <c r="A424" s="32" t="s">
        <v>450</v>
      </c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</row>
    <row r="425" ht="15.0" customHeight="1">
      <c r="A425" s="32" t="s">
        <v>451</v>
      </c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</row>
    <row r="426" ht="15.0" customHeight="1">
      <c r="A426" s="32" t="s">
        <v>452</v>
      </c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</row>
    <row r="427" ht="15.0" customHeight="1">
      <c r="A427" s="32" t="s">
        <v>453</v>
      </c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</row>
    <row r="428" ht="15.0" customHeight="1">
      <c r="A428" s="32" t="s">
        <v>454</v>
      </c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</row>
    <row r="429" ht="15.0" customHeight="1">
      <c r="A429" s="32" t="s">
        <v>455</v>
      </c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</row>
    <row r="430" ht="15.0" customHeight="1">
      <c r="A430" s="32" t="s">
        <v>456</v>
      </c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</row>
    <row r="431" ht="15.0" customHeight="1">
      <c r="A431" s="32" t="s">
        <v>457</v>
      </c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</row>
    <row r="432" ht="15.0" customHeight="1">
      <c r="A432" s="32" t="s">
        <v>458</v>
      </c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</row>
    <row r="433" ht="15.0" customHeight="1">
      <c r="A433" s="32" t="s">
        <v>459</v>
      </c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</row>
    <row r="434" ht="15.0" customHeight="1">
      <c r="A434" s="32" t="s">
        <v>460</v>
      </c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</row>
    <row r="435" ht="15.0" customHeight="1">
      <c r="A435" s="32" t="s">
        <v>461</v>
      </c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</row>
    <row r="436" ht="15.0" customHeight="1">
      <c r="A436" s="32" t="s">
        <v>462</v>
      </c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</row>
    <row r="437" ht="15.0" customHeight="1">
      <c r="A437" s="32" t="s">
        <v>463</v>
      </c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</row>
    <row r="438" ht="15.0" customHeight="1">
      <c r="A438" s="32" t="s">
        <v>464</v>
      </c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</row>
    <row r="439" ht="15.0" customHeight="1">
      <c r="A439" s="32" t="s">
        <v>465</v>
      </c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</row>
    <row r="440" ht="15.0" customHeight="1">
      <c r="A440" s="32" t="s">
        <v>466</v>
      </c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</row>
    <row r="441" ht="15.0" customHeight="1">
      <c r="A441" s="32" t="s">
        <v>467</v>
      </c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</row>
    <row r="442" ht="15.0" customHeight="1">
      <c r="A442" s="32" t="s">
        <v>468</v>
      </c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</row>
    <row r="443" ht="15.0" customHeight="1">
      <c r="A443" s="32" t="s">
        <v>469</v>
      </c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</row>
    <row r="444" ht="15.0" customHeight="1">
      <c r="A444" s="32" t="s">
        <v>470</v>
      </c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</row>
    <row r="445" ht="15.0" customHeight="1">
      <c r="A445" s="32" t="s">
        <v>471</v>
      </c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</row>
    <row r="446" ht="15.0" customHeight="1">
      <c r="A446" s="32" t="s">
        <v>472</v>
      </c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</row>
    <row r="447" ht="15.0" customHeight="1">
      <c r="A447" s="32" t="s">
        <v>473</v>
      </c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</row>
    <row r="448" ht="15.0" customHeight="1">
      <c r="A448" s="32" t="s">
        <v>474</v>
      </c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</row>
    <row r="449" ht="15.0" customHeight="1">
      <c r="A449" s="32" t="s">
        <v>475</v>
      </c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</row>
    <row r="450" ht="15.0" customHeight="1">
      <c r="A450" s="32" t="s">
        <v>476</v>
      </c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</row>
    <row r="451" ht="15.0" customHeight="1">
      <c r="A451" s="32" t="s">
        <v>477</v>
      </c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</row>
    <row r="452" ht="15.0" customHeight="1">
      <c r="A452" s="32" t="s">
        <v>478</v>
      </c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</row>
    <row r="453" ht="15.0" customHeight="1">
      <c r="A453" s="32" t="s">
        <v>479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</row>
    <row r="454" ht="15.0" customHeight="1">
      <c r="A454" s="32" t="s">
        <v>480</v>
      </c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</row>
    <row r="455" ht="15.0" customHeight="1">
      <c r="A455" s="32" t="s">
        <v>481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</row>
    <row r="456" ht="15.0" customHeight="1">
      <c r="A456" s="32" t="s">
        <v>482</v>
      </c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</row>
    <row r="457" ht="15.0" customHeight="1">
      <c r="A457" s="32" t="s">
        <v>483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</row>
    <row r="458" ht="15.0" customHeight="1">
      <c r="A458" s="32" t="s">
        <v>484</v>
      </c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</row>
    <row r="459" ht="15.0" customHeight="1">
      <c r="A459" s="32" t="s">
        <v>485</v>
      </c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</row>
    <row r="460" ht="15.0" customHeight="1">
      <c r="A460" s="32" t="s">
        <v>486</v>
      </c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</row>
    <row r="461" ht="15.0" customHeight="1">
      <c r="A461" s="32" t="s">
        <v>487</v>
      </c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</row>
    <row r="462" ht="15.0" customHeight="1">
      <c r="A462" s="32" t="s">
        <v>488</v>
      </c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</row>
    <row r="463" ht="15.0" customHeight="1">
      <c r="A463" s="32" t="s">
        <v>489</v>
      </c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</row>
    <row r="464" ht="15.0" customHeight="1">
      <c r="A464" s="32" t="s">
        <v>490</v>
      </c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</row>
    <row r="465" ht="15.0" customHeight="1">
      <c r="A465" s="32" t="s">
        <v>491</v>
      </c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</row>
    <row r="466" ht="15.0" customHeight="1">
      <c r="A466" s="32" t="s">
        <v>492</v>
      </c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</row>
    <row r="467" ht="15.0" customHeight="1">
      <c r="A467" s="32" t="s">
        <v>493</v>
      </c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</row>
    <row r="468" ht="15.0" customHeight="1">
      <c r="A468" s="32" t="s">
        <v>494</v>
      </c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</row>
    <row r="469" ht="15.0" customHeight="1">
      <c r="A469" s="32" t="s">
        <v>495</v>
      </c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</row>
    <row r="470" ht="15.0" customHeight="1">
      <c r="A470" s="32" t="s">
        <v>496</v>
      </c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</row>
    <row r="471" ht="15.0" customHeight="1">
      <c r="A471" s="32" t="s">
        <v>497</v>
      </c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</row>
    <row r="472" ht="15.0" customHeight="1">
      <c r="A472" s="32" t="s">
        <v>498</v>
      </c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</row>
    <row r="473" ht="15.0" customHeight="1">
      <c r="A473" s="32" t="s">
        <v>499</v>
      </c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</row>
    <row r="474" ht="15.0" customHeight="1">
      <c r="A474" s="32" t="s">
        <v>500</v>
      </c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</row>
    <row r="475" ht="15.0" customHeight="1">
      <c r="A475" s="32" t="s">
        <v>501</v>
      </c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</row>
    <row r="476" ht="15.0" customHeight="1">
      <c r="A476" s="32" t="s">
        <v>502</v>
      </c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</row>
    <row r="477" ht="15.0" customHeight="1">
      <c r="A477" s="32" t="s">
        <v>503</v>
      </c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</row>
    <row r="478" ht="15.0" customHeight="1">
      <c r="A478" s="32" t="s">
        <v>504</v>
      </c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</row>
    <row r="479" ht="15.0" customHeight="1">
      <c r="A479" s="32" t="s">
        <v>505</v>
      </c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</row>
    <row r="480" ht="15.0" customHeight="1">
      <c r="A480" s="32" t="s">
        <v>506</v>
      </c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</row>
    <row r="481" ht="15.0" customHeight="1">
      <c r="A481" s="32" t="s">
        <v>507</v>
      </c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</row>
    <row r="482" ht="15.0" customHeight="1">
      <c r="A482" s="32" t="s">
        <v>508</v>
      </c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</row>
    <row r="483" ht="15.0" customHeight="1">
      <c r="A483" s="32" t="s">
        <v>509</v>
      </c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</row>
    <row r="484" ht="15.0" customHeight="1">
      <c r="A484" s="32" t="s">
        <v>510</v>
      </c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</row>
    <row r="485" ht="15.0" customHeight="1">
      <c r="A485" s="32" t="s">
        <v>511</v>
      </c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</row>
    <row r="486" ht="15.0" customHeight="1">
      <c r="A486" s="32" t="s">
        <v>512</v>
      </c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</row>
    <row r="487" ht="15.0" customHeight="1">
      <c r="A487" s="32" t="s">
        <v>513</v>
      </c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</row>
    <row r="488" ht="15.0" customHeight="1">
      <c r="A488" s="32" t="s">
        <v>514</v>
      </c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</row>
    <row r="489" ht="15.0" customHeight="1">
      <c r="A489" s="32" t="s">
        <v>515</v>
      </c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</row>
    <row r="490" ht="15.0" customHeight="1">
      <c r="A490" s="32" t="s">
        <v>516</v>
      </c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</row>
    <row r="491" ht="15.0" customHeight="1">
      <c r="A491" s="32" t="s">
        <v>517</v>
      </c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</row>
    <row r="492" ht="15.0" customHeight="1">
      <c r="A492" s="32" t="s">
        <v>518</v>
      </c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</row>
    <row r="493" ht="15.0" customHeight="1">
      <c r="A493" s="32" t="s">
        <v>519</v>
      </c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</row>
    <row r="494" ht="15.0" customHeight="1">
      <c r="A494" s="32" t="s">
        <v>520</v>
      </c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</row>
    <row r="495" ht="15.0" customHeight="1">
      <c r="A495" s="32" t="s">
        <v>521</v>
      </c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</row>
    <row r="496" ht="15.0" customHeight="1">
      <c r="A496" s="32" t="s">
        <v>522</v>
      </c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</row>
    <row r="497" ht="15.0" customHeight="1">
      <c r="A497" s="32" t="s">
        <v>523</v>
      </c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</row>
    <row r="498" ht="15.0" customHeight="1">
      <c r="A498" s="32" t="s">
        <v>524</v>
      </c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ht="15.0" customHeight="1">
      <c r="A499" s="32" t="s">
        <v>525</v>
      </c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</row>
    <row r="500" ht="15.0" customHeight="1">
      <c r="A500" s="32" t="s">
        <v>526</v>
      </c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</row>
    <row r="501" ht="15.0" customHeight="1">
      <c r="A501" s="32" t="s">
        <v>527</v>
      </c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</row>
    <row r="502" ht="15.0" customHeight="1">
      <c r="A502" s="32" t="s">
        <v>528</v>
      </c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</row>
    <row r="503" ht="15.0" customHeight="1">
      <c r="A503" s="32" t="s">
        <v>529</v>
      </c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</row>
    <row r="504" ht="15.0" customHeight="1">
      <c r="A504" s="32" t="s">
        <v>530</v>
      </c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</row>
    <row r="505" ht="15.0" customHeight="1">
      <c r="A505" s="32" t="s">
        <v>531</v>
      </c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</row>
    <row r="506" ht="15.0" customHeight="1">
      <c r="A506" s="32" t="s">
        <v>532</v>
      </c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</row>
    <row r="507" ht="15.0" customHeight="1">
      <c r="A507" s="32" t="s">
        <v>533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</row>
    <row r="508" ht="15.0" customHeight="1">
      <c r="A508" s="32" t="s">
        <v>534</v>
      </c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</row>
    <row r="509" ht="15.0" customHeight="1">
      <c r="A509" s="32" t="s">
        <v>535</v>
      </c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</row>
    <row r="510" ht="15.0" customHeight="1">
      <c r="A510" s="32" t="s">
        <v>536</v>
      </c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</row>
    <row r="511" ht="15.0" customHeight="1">
      <c r="A511" s="32" t="s">
        <v>537</v>
      </c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</row>
    <row r="512" ht="15.0" customHeight="1">
      <c r="A512" s="32" t="s">
        <v>538</v>
      </c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</row>
    <row r="513" ht="15.0" customHeight="1">
      <c r="A513" s="32" t="s">
        <v>539</v>
      </c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</row>
    <row r="514" ht="15.0" customHeight="1">
      <c r="A514" s="32" t="s">
        <v>540</v>
      </c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</row>
    <row r="515" ht="15.0" customHeight="1">
      <c r="A515" s="32" t="s">
        <v>541</v>
      </c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</row>
    <row r="516" ht="15.0" customHeight="1">
      <c r="A516" s="32" t="s">
        <v>542</v>
      </c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</row>
    <row r="517" ht="15.0" customHeight="1">
      <c r="A517" s="32" t="s">
        <v>543</v>
      </c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</row>
    <row r="518" ht="15.0" customHeight="1">
      <c r="A518" s="32" t="s">
        <v>544</v>
      </c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</row>
    <row r="519" ht="15.0" customHeight="1">
      <c r="A519" s="32" t="s">
        <v>545</v>
      </c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</row>
    <row r="520" ht="15.0" customHeight="1">
      <c r="A520" s="32" t="s">
        <v>546</v>
      </c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</row>
    <row r="521" ht="15.0" customHeight="1">
      <c r="A521" s="32" t="s">
        <v>547</v>
      </c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</row>
    <row r="522" ht="15.0" customHeight="1">
      <c r="A522" s="32" t="s">
        <v>548</v>
      </c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  <row r="523" ht="15.0" customHeight="1">
      <c r="A523" s="32" t="s">
        <v>549</v>
      </c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</row>
    <row r="524" ht="15.0" customHeight="1">
      <c r="A524" s="32" t="s">
        <v>550</v>
      </c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</row>
    <row r="525" ht="15.0" customHeight="1">
      <c r="A525" s="32" t="s">
        <v>551</v>
      </c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</row>
    <row r="526" ht="15.0" customHeight="1">
      <c r="A526" s="32" t="s">
        <v>552</v>
      </c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</row>
    <row r="527" ht="15.0" customHeight="1">
      <c r="A527" s="32" t="s">
        <v>553</v>
      </c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</row>
    <row r="528" ht="15.0" customHeight="1">
      <c r="A528" s="32" t="s">
        <v>554</v>
      </c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</row>
    <row r="529" ht="15.0" customHeight="1">
      <c r="A529" s="32" t="s">
        <v>555</v>
      </c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</row>
    <row r="530" ht="15.0" customHeight="1">
      <c r="A530" s="32" t="s">
        <v>556</v>
      </c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</row>
    <row r="531" ht="15.0" customHeight="1">
      <c r="A531" s="32" t="s">
        <v>557</v>
      </c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</row>
    <row r="532" ht="15.0" customHeight="1">
      <c r="A532" s="32" t="s">
        <v>558</v>
      </c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</row>
    <row r="533" ht="15.0" customHeight="1">
      <c r="A533" s="32" t="s">
        <v>559</v>
      </c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</row>
    <row r="534" ht="15.0" customHeight="1">
      <c r="A534" s="32" t="s">
        <v>560</v>
      </c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</row>
    <row r="535" ht="15.0" customHeight="1">
      <c r="A535" s="32" t="s">
        <v>561</v>
      </c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</row>
    <row r="536" ht="15.0" customHeight="1">
      <c r="A536" s="32" t="s">
        <v>562</v>
      </c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</row>
    <row r="537" ht="15.0" customHeight="1">
      <c r="A537" s="32" t="s">
        <v>563</v>
      </c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</row>
    <row r="538" ht="15.0" customHeight="1">
      <c r="A538" s="32" t="s">
        <v>564</v>
      </c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</row>
    <row r="539" ht="15.0" customHeight="1">
      <c r="A539" s="32" t="s">
        <v>565</v>
      </c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</row>
    <row r="540" ht="15.0" customHeight="1">
      <c r="A540" s="32" t="s">
        <v>566</v>
      </c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ht="15.0" customHeight="1">
      <c r="A541" s="32" t="s">
        <v>567</v>
      </c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</row>
    <row r="542" ht="15.0" customHeight="1">
      <c r="A542" s="32" t="s">
        <v>568</v>
      </c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</row>
    <row r="543" ht="15.0" customHeight="1">
      <c r="A543" s="32" t="s">
        <v>569</v>
      </c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</row>
    <row r="544" ht="15.0" customHeight="1">
      <c r="A544" s="32" t="s">
        <v>570</v>
      </c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</row>
    <row r="545" ht="15.0" customHeight="1">
      <c r="A545" s="32" t="s">
        <v>571</v>
      </c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</row>
    <row r="546" ht="15.0" customHeight="1">
      <c r="A546" s="32" t="s">
        <v>572</v>
      </c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</row>
    <row r="547" ht="15.0" customHeight="1">
      <c r="A547" s="32" t="s">
        <v>573</v>
      </c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</row>
    <row r="548" ht="15.0" customHeight="1">
      <c r="A548" s="32" t="s">
        <v>574</v>
      </c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</row>
    <row r="549" ht="15.0" customHeight="1">
      <c r="A549" s="32" t="s">
        <v>575</v>
      </c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</row>
    <row r="550" ht="15.0" customHeight="1">
      <c r="A550" s="32" t="s">
        <v>576</v>
      </c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</row>
    <row r="551" ht="15.0" customHeight="1">
      <c r="A551" s="32" t="s">
        <v>577</v>
      </c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</row>
    <row r="552" ht="15.0" customHeight="1">
      <c r="A552" s="32" t="s">
        <v>578</v>
      </c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</row>
    <row r="553" ht="15.0" customHeight="1">
      <c r="A553" s="32" t="s">
        <v>579</v>
      </c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</row>
    <row r="554" ht="15.0" customHeight="1">
      <c r="A554" s="32" t="s">
        <v>580</v>
      </c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</row>
    <row r="555" ht="15.0" customHeight="1">
      <c r="A555" s="32" t="s">
        <v>581</v>
      </c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</row>
    <row r="556" ht="15.0" customHeight="1">
      <c r="A556" s="32" t="s">
        <v>582</v>
      </c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</row>
    <row r="557" ht="15.0" customHeight="1">
      <c r="A557" s="32" t="s">
        <v>583</v>
      </c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</row>
    <row r="558" ht="15.0" customHeight="1">
      <c r="A558" s="32" t="s">
        <v>584</v>
      </c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</row>
    <row r="559" ht="15.0" customHeight="1">
      <c r="A559" s="32" t="s">
        <v>585</v>
      </c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</row>
    <row r="560" ht="15.0" customHeight="1">
      <c r="A560" s="32" t="s">
        <v>586</v>
      </c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</row>
    <row r="561" ht="15.0" customHeight="1">
      <c r="A561" s="32" t="s">
        <v>587</v>
      </c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</row>
    <row r="562" ht="15.0" customHeight="1">
      <c r="A562" s="32" t="s">
        <v>588</v>
      </c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</row>
    <row r="563" ht="15.0" customHeight="1">
      <c r="A563" s="32" t="s">
        <v>589</v>
      </c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</row>
    <row r="564" ht="15.0" customHeight="1">
      <c r="A564" s="32" t="s">
        <v>590</v>
      </c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</row>
    <row r="565" ht="15.0" customHeight="1">
      <c r="A565" s="32" t="s">
        <v>591</v>
      </c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</row>
    <row r="566" ht="15.0" customHeight="1">
      <c r="A566" s="32" t="s">
        <v>592</v>
      </c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</row>
    <row r="567" ht="15.0" customHeight="1">
      <c r="A567" s="32" t="s">
        <v>593</v>
      </c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</row>
    <row r="568" ht="15.0" customHeight="1">
      <c r="A568" s="32" t="s">
        <v>594</v>
      </c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</row>
    <row r="569" ht="15.0" customHeight="1">
      <c r="A569" s="32" t="s">
        <v>595</v>
      </c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</row>
    <row r="570" ht="15.0" customHeight="1">
      <c r="A570" s="32" t="s">
        <v>596</v>
      </c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</row>
    <row r="571" ht="15.0" customHeight="1">
      <c r="A571" s="32" t="s">
        <v>597</v>
      </c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</row>
    <row r="572" ht="15.0" customHeight="1">
      <c r="A572" s="32" t="s">
        <v>598</v>
      </c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</row>
    <row r="573" ht="15.0" customHeight="1">
      <c r="A573" s="32" t="s">
        <v>599</v>
      </c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</row>
    <row r="574" ht="15.0" customHeight="1">
      <c r="A574" s="32" t="s">
        <v>600</v>
      </c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</row>
    <row r="575" ht="15.0" customHeight="1">
      <c r="A575" s="32" t="s">
        <v>601</v>
      </c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</row>
    <row r="576" ht="15.0" customHeight="1">
      <c r="A576" s="32" t="s">
        <v>602</v>
      </c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</row>
    <row r="577" ht="15.0" customHeight="1">
      <c r="A577" s="32" t="s">
        <v>603</v>
      </c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</row>
    <row r="578" ht="15.0" customHeight="1">
      <c r="A578" s="32" t="s">
        <v>604</v>
      </c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</row>
    <row r="579" ht="15.0" customHeight="1">
      <c r="A579" s="32" t="s">
        <v>605</v>
      </c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</row>
    <row r="580" ht="15.0" customHeight="1">
      <c r="A580" s="32" t="s">
        <v>606</v>
      </c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</row>
    <row r="581" ht="15.0" customHeight="1">
      <c r="A581" s="32" t="s">
        <v>607</v>
      </c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</row>
    <row r="582" ht="15.0" customHeight="1">
      <c r="A582" s="32" t="s">
        <v>608</v>
      </c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</row>
    <row r="583" ht="15.0" customHeight="1">
      <c r="A583" s="32" t="s">
        <v>609</v>
      </c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</row>
    <row r="584" ht="15.0" customHeight="1">
      <c r="A584" s="32" t="s">
        <v>610</v>
      </c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</row>
    <row r="585" ht="15.0" customHeight="1">
      <c r="A585" s="32" t="s">
        <v>611</v>
      </c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</row>
    <row r="586" ht="15.0" customHeight="1">
      <c r="A586" s="32" t="s">
        <v>612</v>
      </c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</row>
    <row r="587" ht="15.0" customHeight="1">
      <c r="A587" s="32" t="s">
        <v>613</v>
      </c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</row>
    <row r="588" ht="15.0" customHeight="1">
      <c r="A588" s="32" t="s">
        <v>614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</row>
    <row r="589" ht="15.0" customHeight="1">
      <c r="A589" s="32" t="s">
        <v>615</v>
      </c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</row>
    <row r="590" ht="15.0" customHeight="1">
      <c r="A590" s="32" t="s">
        <v>616</v>
      </c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</row>
    <row r="591" ht="15.0" customHeight="1">
      <c r="A591" s="32" t="s">
        <v>617</v>
      </c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</row>
    <row r="592" ht="15.0" customHeight="1">
      <c r="A592" s="32" t="s">
        <v>618</v>
      </c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</row>
    <row r="593" ht="15.0" customHeight="1">
      <c r="A593" s="32" t="s">
        <v>619</v>
      </c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</row>
    <row r="594" ht="15.0" customHeight="1">
      <c r="A594" s="32" t="s">
        <v>620</v>
      </c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</row>
    <row r="595" ht="15.0" customHeight="1">
      <c r="A595" s="32" t="s">
        <v>621</v>
      </c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</row>
    <row r="596" ht="15.0" customHeight="1">
      <c r="A596" s="32" t="s">
        <v>622</v>
      </c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</row>
    <row r="597" ht="15.0" customHeight="1">
      <c r="A597" s="32" t="s">
        <v>623</v>
      </c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</row>
    <row r="598" ht="15.0" customHeight="1">
      <c r="A598" s="32" t="s">
        <v>624</v>
      </c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</row>
    <row r="599" ht="15.0" customHeight="1">
      <c r="A599" s="32" t="s">
        <v>625</v>
      </c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</row>
    <row r="600" ht="15.0" customHeight="1">
      <c r="A600" s="32" t="s">
        <v>626</v>
      </c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</row>
    <row r="601" ht="15.0" customHeight="1">
      <c r="A601" s="32" t="s">
        <v>627</v>
      </c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25"/>
      <c r="M601" s="25"/>
      <c r="N601" s="25"/>
    </row>
    <row r="602" ht="15.0" customHeight="1">
      <c r="A602" s="32" t="s">
        <v>628</v>
      </c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25"/>
      <c r="M602" s="25"/>
      <c r="N602" s="25"/>
    </row>
    <row r="603" ht="15.0" customHeight="1">
      <c r="A603" s="32" t="s">
        <v>629</v>
      </c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25"/>
      <c r="M603" s="25"/>
      <c r="N603" s="25"/>
    </row>
    <row r="604" ht="15.0" customHeight="1">
      <c r="A604" s="32" t="s">
        <v>630</v>
      </c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25"/>
      <c r="M604" s="25"/>
      <c r="N604" s="25"/>
    </row>
    <row r="605" ht="15.0" customHeight="1">
      <c r="A605" s="32" t="s">
        <v>631</v>
      </c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25"/>
      <c r="M605" s="25"/>
      <c r="N605" s="25"/>
    </row>
    <row r="606" ht="15.0" customHeight="1">
      <c r="A606" s="32" t="s">
        <v>632</v>
      </c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25"/>
      <c r="M606" s="25"/>
      <c r="N606" s="25"/>
    </row>
    <row r="607" ht="15.0" customHeight="1">
      <c r="A607" s="32" t="s">
        <v>633</v>
      </c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25"/>
      <c r="M607" s="25"/>
      <c r="N607" s="25"/>
    </row>
    <row r="608" ht="15.0" customHeight="1">
      <c r="A608" s="32" t="s">
        <v>634</v>
      </c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25"/>
      <c r="M608" s="25"/>
      <c r="N608" s="25"/>
    </row>
    <row r="609" ht="15.0" customHeight="1">
      <c r="A609" s="32" t="s">
        <v>635</v>
      </c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25"/>
      <c r="M609" s="25"/>
      <c r="N609" s="25"/>
    </row>
    <row r="610" ht="15.0" customHeight="1">
      <c r="A610" s="32" t="s">
        <v>636</v>
      </c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25"/>
      <c r="M610" s="25"/>
      <c r="N610" s="25"/>
    </row>
    <row r="611" ht="15.0" customHeight="1">
      <c r="A611" s="32" t="s">
        <v>637</v>
      </c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25"/>
      <c r="M611" s="25"/>
      <c r="N611" s="25"/>
    </row>
    <row r="612" ht="15.0" customHeight="1">
      <c r="A612" s="32" t="s">
        <v>638</v>
      </c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25"/>
      <c r="M612" s="25"/>
      <c r="N612" s="25"/>
    </row>
    <row r="613" ht="15.0" customHeight="1">
      <c r="A613" s="32" t="s">
        <v>639</v>
      </c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25"/>
      <c r="M613" s="25"/>
      <c r="N613" s="25"/>
    </row>
    <row r="614" ht="15.0" customHeight="1">
      <c r="A614" s="32" t="s">
        <v>640</v>
      </c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25"/>
      <c r="M614" s="25"/>
      <c r="N614" s="25"/>
    </row>
    <row r="615" ht="15.0" customHeight="1">
      <c r="A615" s="32" t="s">
        <v>641</v>
      </c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25"/>
      <c r="M615" s="25"/>
      <c r="N615" s="25"/>
    </row>
    <row r="616" ht="15.0" customHeight="1">
      <c r="A616" s="32" t="s">
        <v>642</v>
      </c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25"/>
      <c r="M616" s="25"/>
      <c r="N616" s="25"/>
    </row>
    <row r="617" ht="15.0" customHeight="1">
      <c r="A617" s="32" t="s">
        <v>643</v>
      </c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25"/>
      <c r="M617" s="25"/>
      <c r="N617" s="25"/>
    </row>
    <row r="618" ht="15.0" customHeight="1">
      <c r="A618" s="32" t="s">
        <v>644</v>
      </c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25"/>
      <c r="M618" s="25"/>
      <c r="N618" s="25"/>
    </row>
    <row r="619" ht="15.0" customHeight="1">
      <c r="A619" s="32" t="s">
        <v>645</v>
      </c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25"/>
      <c r="M619" s="25"/>
      <c r="N619" s="25"/>
    </row>
    <row r="620" ht="15.0" customHeight="1">
      <c r="A620" s="32" t="s">
        <v>646</v>
      </c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25"/>
      <c r="M620" s="25"/>
      <c r="N620" s="25"/>
    </row>
    <row r="621" ht="15.0" customHeight="1">
      <c r="A621" s="32" t="s">
        <v>647</v>
      </c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25"/>
      <c r="M621" s="25"/>
      <c r="N621" s="25"/>
    </row>
    <row r="622" ht="15.0" customHeight="1">
      <c r="A622" s="32" t="s">
        <v>648</v>
      </c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25"/>
      <c r="M622" s="25"/>
      <c r="N622" s="25"/>
    </row>
    <row r="623" ht="15.0" customHeight="1">
      <c r="A623" s="32" t="s">
        <v>649</v>
      </c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25"/>
      <c r="M623" s="25"/>
      <c r="N623" s="25"/>
    </row>
    <row r="624" ht="15.0" customHeight="1">
      <c r="A624" s="32" t="s">
        <v>650</v>
      </c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25"/>
      <c r="M624" s="25"/>
      <c r="N624" s="25"/>
    </row>
    <row r="625" ht="15.0" customHeight="1">
      <c r="A625" s="32" t="s">
        <v>651</v>
      </c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25"/>
      <c r="M625" s="25"/>
      <c r="N625" s="25"/>
    </row>
    <row r="626" ht="15.0" customHeight="1">
      <c r="A626" s="32" t="s">
        <v>652</v>
      </c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25"/>
      <c r="M626" s="25"/>
      <c r="N626" s="25"/>
    </row>
    <row r="627" ht="15.0" customHeight="1">
      <c r="A627" s="32" t="s">
        <v>653</v>
      </c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25"/>
      <c r="M627" s="25"/>
      <c r="N627" s="25"/>
    </row>
    <row r="628" ht="15.0" customHeight="1">
      <c r="A628" s="32" t="s">
        <v>654</v>
      </c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25"/>
      <c r="M628" s="25"/>
      <c r="N628" s="25"/>
    </row>
    <row r="629" ht="15.0" customHeight="1">
      <c r="A629" s="32" t="s">
        <v>655</v>
      </c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25"/>
      <c r="M629" s="25"/>
      <c r="N629" s="25"/>
    </row>
    <row r="630" ht="15.0" customHeight="1">
      <c r="A630" s="32" t="s">
        <v>656</v>
      </c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25"/>
      <c r="M630" s="25"/>
      <c r="N630" s="25"/>
    </row>
    <row r="631" ht="15.0" customHeight="1">
      <c r="A631" s="32" t="s">
        <v>657</v>
      </c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25"/>
      <c r="M631" s="25"/>
      <c r="N631" s="25"/>
    </row>
    <row r="632" ht="15.0" customHeight="1">
      <c r="A632" s="32" t="s">
        <v>658</v>
      </c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25"/>
      <c r="M632" s="25"/>
      <c r="N632" s="25"/>
    </row>
    <row r="633" ht="15.0" customHeight="1">
      <c r="A633" s="32" t="s">
        <v>659</v>
      </c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25"/>
      <c r="M633" s="25"/>
      <c r="N633" s="25"/>
    </row>
    <row r="634" ht="15.0" customHeight="1">
      <c r="A634" s="32" t="s">
        <v>660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25"/>
      <c r="M634" s="25"/>
      <c r="N634" s="25"/>
    </row>
    <row r="635" ht="15.0" customHeight="1">
      <c r="A635" s="32" t="s">
        <v>661</v>
      </c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25"/>
      <c r="M635" s="25"/>
      <c r="N635" s="25"/>
    </row>
    <row r="636" ht="15.0" customHeight="1">
      <c r="A636" s="32" t="s">
        <v>662</v>
      </c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25"/>
      <c r="M636" s="25"/>
      <c r="N636" s="25"/>
    </row>
    <row r="637" ht="15.0" customHeight="1">
      <c r="A637" s="32" t="s">
        <v>663</v>
      </c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25"/>
      <c r="M637" s="25"/>
      <c r="N637" s="25"/>
    </row>
    <row r="638" ht="15.0" customHeight="1">
      <c r="A638" s="32" t="s">
        <v>664</v>
      </c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25"/>
      <c r="M638" s="25"/>
      <c r="N638" s="25"/>
    </row>
    <row r="639" ht="15.0" customHeight="1">
      <c r="A639" s="32" t="s">
        <v>665</v>
      </c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25"/>
      <c r="M639" s="25"/>
      <c r="N639" s="25"/>
    </row>
    <row r="640" ht="15.0" customHeight="1">
      <c r="A640" s="32" t="s">
        <v>666</v>
      </c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25"/>
      <c r="M640" s="25"/>
      <c r="N640" s="25"/>
    </row>
    <row r="641" ht="15.0" customHeight="1">
      <c r="A641" s="32" t="s">
        <v>667</v>
      </c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25"/>
      <c r="M641" s="25"/>
      <c r="N641" s="25"/>
    </row>
    <row r="642" ht="15.0" customHeight="1">
      <c r="A642" s="32" t="s">
        <v>668</v>
      </c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25"/>
      <c r="M642" s="25"/>
      <c r="N642" s="25"/>
    </row>
    <row r="643" ht="15.0" customHeight="1">
      <c r="A643" s="32" t="s">
        <v>669</v>
      </c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25"/>
      <c r="M643" s="25"/>
      <c r="N643" s="25"/>
    </row>
    <row r="644" ht="15.0" customHeight="1">
      <c r="A644" s="32" t="s">
        <v>670</v>
      </c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25"/>
      <c r="M644" s="25"/>
      <c r="N644" s="25"/>
    </row>
    <row r="645" ht="15.0" customHeight="1">
      <c r="A645" s="32" t="s">
        <v>671</v>
      </c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25"/>
      <c r="M645" s="25"/>
      <c r="N645" s="25"/>
    </row>
    <row r="646" ht="15.0" customHeight="1">
      <c r="A646" s="32" t="s">
        <v>672</v>
      </c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25"/>
      <c r="M646" s="25"/>
      <c r="N646" s="25"/>
    </row>
    <row r="647" ht="15.0" customHeight="1">
      <c r="A647" s="32" t="s">
        <v>673</v>
      </c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25"/>
      <c r="M647" s="25"/>
      <c r="N647" s="25"/>
    </row>
    <row r="648" ht="15.0" customHeight="1">
      <c r="A648" s="32" t="s">
        <v>674</v>
      </c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25"/>
      <c r="M648" s="25"/>
      <c r="N648" s="25"/>
    </row>
    <row r="649" ht="15.0" customHeight="1">
      <c r="A649" s="32" t="s">
        <v>675</v>
      </c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25"/>
      <c r="M649" s="25"/>
      <c r="N649" s="25"/>
    </row>
    <row r="650" ht="15.0" customHeight="1">
      <c r="A650" s="32" t="s">
        <v>676</v>
      </c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25"/>
      <c r="M650" s="25"/>
      <c r="N650" s="25"/>
    </row>
    <row r="651" ht="15.0" customHeight="1">
      <c r="A651" s="32" t="s">
        <v>677</v>
      </c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25"/>
      <c r="M651" s="25"/>
      <c r="N651" s="25"/>
    </row>
    <row r="652" ht="15.0" customHeight="1">
      <c r="A652" s="32" t="s">
        <v>678</v>
      </c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25"/>
      <c r="M652" s="25"/>
      <c r="N652" s="25"/>
    </row>
    <row r="653" ht="15.0" customHeight="1">
      <c r="A653" s="32" t="s">
        <v>679</v>
      </c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25"/>
      <c r="M653" s="25"/>
      <c r="N653" s="25"/>
    </row>
    <row r="654" ht="15.0" customHeight="1">
      <c r="A654" s="32" t="s">
        <v>680</v>
      </c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25"/>
      <c r="M654" s="25"/>
      <c r="N654" s="25"/>
    </row>
    <row r="655" ht="15.0" customHeight="1">
      <c r="A655" s="32" t="s">
        <v>681</v>
      </c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25"/>
      <c r="M655" s="25"/>
      <c r="N655" s="25"/>
    </row>
    <row r="656" ht="15.0" customHeight="1">
      <c r="A656" s="32" t="s">
        <v>682</v>
      </c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25"/>
      <c r="M656" s="25"/>
      <c r="N656" s="25"/>
    </row>
    <row r="657" ht="15.0" customHeight="1">
      <c r="A657" s="32" t="s">
        <v>683</v>
      </c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25"/>
      <c r="M657" s="25"/>
      <c r="N657" s="25"/>
    </row>
    <row r="658" ht="15.0" customHeight="1">
      <c r="A658" s="32" t="s">
        <v>684</v>
      </c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25"/>
      <c r="M658" s="25"/>
      <c r="N658" s="25"/>
    </row>
    <row r="659" ht="15.0" customHeight="1">
      <c r="A659" s="32" t="s">
        <v>685</v>
      </c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25"/>
      <c r="M659" s="25"/>
      <c r="N659" s="25"/>
    </row>
    <row r="660" ht="15.0" customHeight="1">
      <c r="A660" s="32" t="s">
        <v>686</v>
      </c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25"/>
      <c r="M660" s="25"/>
      <c r="N660" s="25"/>
    </row>
    <row r="661" ht="15.0" customHeight="1">
      <c r="A661" s="32" t="s">
        <v>687</v>
      </c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25"/>
      <c r="M661" s="25"/>
      <c r="N661" s="25"/>
    </row>
    <row r="662" ht="15.0" customHeight="1">
      <c r="A662" s="32" t="s">
        <v>688</v>
      </c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25"/>
      <c r="M662" s="25"/>
      <c r="N662" s="25"/>
    </row>
    <row r="663" ht="15.0" customHeight="1">
      <c r="A663" s="32" t="s">
        <v>689</v>
      </c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25"/>
      <c r="M663" s="25"/>
      <c r="N663" s="25"/>
    </row>
    <row r="664" ht="15.0" customHeight="1">
      <c r="A664" s="32" t="s">
        <v>690</v>
      </c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25"/>
      <c r="M664" s="25"/>
      <c r="N664" s="25"/>
    </row>
    <row r="665" ht="15.0" customHeight="1">
      <c r="A665" s="32" t="s">
        <v>691</v>
      </c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25"/>
      <c r="M665" s="25"/>
      <c r="N665" s="25"/>
    </row>
    <row r="666" ht="15.0" customHeight="1">
      <c r="A666" s="32" t="s">
        <v>692</v>
      </c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25"/>
      <c r="M666" s="25"/>
      <c r="N666" s="25"/>
    </row>
    <row r="667" ht="15.0" customHeight="1">
      <c r="A667" s="32" t="s">
        <v>693</v>
      </c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25"/>
      <c r="M667" s="25"/>
      <c r="N667" s="25"/>
    </row>
    <row r="668" ht="15.0" customHeight="1">
      <c r="A668" s="32" t="s">
        <v>694</v>
      </c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25"/>
      <c r="M668" s="25"/>
      <c r="N668" s="25"/>
    </row>
    <row r="669" ht="15.0" customHeight="1">
      <c r="A669" s="32" t="s">
        <v>695</v>
      </c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25"/>
      <c r="M669" s="25"/>
      <c r="N669" s="25"/>
    </row>
    <row r="670" ht="15.0" customHeight="1">
      <c r="A670" s="32" t="s">
        <v>696</v>
      </c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25"/>
      <c r="M670" s="25"/>
      <c r="N670" s="25"/>
    </row>
    <row r="671" ht="15.0" customHeight="1">
      <c r="A671" s="32" t="s">
        <v>697</v>
      </c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25"/>
      <c r="M671" s="25"/>
      <c r="N671" s="25"/>
    </row>
    <row r="672" ht="15.0" customHeight="1">
      <c r="A672" s="32" t="s">
        <v>698</v>
      </c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25"/>
      <c r="M672" s="25"/>
      <c r="N672" s="25"/>
    </row>
    <row r="673" ht="15.0" customHeight="1">
      <c r="A673" s="32" t="s">
        <v>699</v>
      </c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25"/>
      <c r="M673" s="25"/>
      <c r="N673" s="25"/>
    </row>
    <row r="674" ht="15.0" customHeight="1">
      <c r="A674" s="32" t="s">
        <v>700</v>
      </c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25"/>
      <c r="M674" s="25"/>
      <c r="N674" s="25"/>
    </row>
    <row r="675" ht="15.0" customHeight="1">
      <c r="A675" s="32" t="s">
        <v>701</v>
      </c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25"/>
      <c r="M675" s="25"/>
      <c r="N675" s="25"/>
    </row>
    <row r="676" ht="15.0" customHeight="1">
      <c r="A676" s="32" t="s">
        <v>702</v>
      </c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25"/>
      <c r="M676" s="25"/>
      <c r="N676" s="25"/>
    </row>
    <row r="677" ht="15.0" customHeight="1">
      <c r="A677" s="32" t="s">
        <v>703</v>
      </c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25"/>
      <c r="M677" s="25"/>
      <c r="N677" s="25"/>
    </row>
    <row r="678" ht="15.0" customHeight="1">
      <c r="A678" s="32" t="s">
        <v>704</v>
      </c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25"/>
      <c r="M678" s="25"/>
      <c r="N678" s="25"/>
    </row>
    <row r="679" ht="15.0" customHeight="1">
      <c r="A679" s="32" t="s">
        <v>705</v>
      </c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25"/>
      <c r="M679" s="25"/>
      <c r="N679" s="25"/>
    </row>
    <row r="680" ht="15.0" customHeight="1">
      <c r="A680" s="32" t="s">
        <v>706</v>
      </c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25"/>
      <c r="M680" s="25"/>
      <c r="N680" s="25"/>
    </row>
    <row r="681" ht="15.0" customHeight="1">
      <c r="A681" s="32" t="s">
        <v>707</v>
      </c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25"/>
      <c r="M681" s="25"/>
      <c r="N681" s="25"/>
    </row>
    <row r="682" ht="15.0" customHeight="1">
      <c r="A682" s="32" t="s">
        <v>708</v>
      </c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25"/>
      <c r="M682" s="25"/>
      <c r="N682" s="25"/>
    </row>
    <row r="683" ht="15.0" customHeight="1">
      <c r="A683" s="32" t="s">
        <v>709</v>
      </c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25"/>
      <c r="M683" s="25"/>
      <c r="N683" s="25"/>
    </row>
    <row r="684" ht="15.0" customHeight="1">
      <c r="A684" s="32" t="s">
        <v>710</v>
      </c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25"/>
      <c r="M684" s="25"/>
      <c r="N684" s="25"/>
    </row>
    <row r="685" ht="15.0" customHeight="1">
      <c r="A685" s="32" t="s">
        <v>711</v>
      </c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25"/>
      <c r="M685" s="25"/>
      <c r="N685" s="25"/>
    </row>
    <row r="686" ht="15.0" customHeight="1">
      <c r="A686" s="32" t="s">
        <v>712</v>
      </c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25"/>
      <c r="M686" s="25"/>
      <c r="N686" s="25"/>
    </row>
    <row r="687" ht="15.0" customHeight="1">
      <c r="A687" s="32" t="s">
        <v>713</v>
      </c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25"/>
      <c r="M687" s="25"/>
      <c r="N687" s="25"/>
    </row>
    <row r="688" ht="15.0" customHeight="1">
      <c r="A688" s="32" t="s">
        <v>714</v>
      </c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25"/>
      <c r="M688" s="25"/>
      <c r="N688" s="25"/>
    </row>
    <row r="689" ht="15.0" customHeight="1">
      <c r="A689" s="32" t="s">
        <v>715</v>
      </c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25"/>
      <c r="M689" s="25"/>
      <c r="N689" s="25"/>
    </row>
    <row r="690" ht="15.0" customHeight="1">
      <c r="A690" s="32" t="s">
        <v>716</v>
      </c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25"/>
      <c r="M690" s="25"/>
      <c r="N690" s="25"/>
    </row>
    <row r="691" ht="15.0" customHeight="1">
      <c r="A691" s="32" t="s">
        <v>717</v>
      </c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25"/>
      <c r="M691" s="25"/>
      <c r="N691" s="25"/>
    </row>
    <row r="692" ht="15.0" customHeight="1">
      <c r="A692" s="32" t="s">
        <v>718</v>
      </c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25"/>
      <c r="M692" s="25"/>
      <c r="N692" s="25"/>
    </row>
    <row r="693" ht="15.0" customHeight="1">
      <c r="A693" s="32" t="s">
        <v>719</v>
      </c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25"/>
      <c r="M693" s="25"/>
      <c r="N693" s="25"/>
    </row>
    <row r="694" ht="15.0" customHeight="1">
      <c r="A694" s="32" t="s">
        <v>720</v>
      </c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25"/>
      <c r="M694" s="25"/>
      <c r="N694" s="25"/>
    </row>
    <row r="695" ht="15.0" customHeight="1">
      <c r="A695" s="32" t="s">
        <v>721</v>
      </c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25"/>
      <c r="M695" s="25"/>
      <c r="N695" s="25"/>
    </row>
    <row r="696" ht="15.0" customHeight="1">
      <c r="A696" s="32" t="s">
        <v>722</v>
      </c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25"/>
      <c r="M696" s="25"/>
      <c r="N696" s="25"/>
    </row>
    <row r="697" ht="15.0" customHeight="1">
      <c r="A697" s="32" t="s">
        <v>723</v>
      </c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25"/>
      <c r="M697" s="25"/>
      <c r="N697" s="25"/>
    </row>
    <row r="698" ht="15.0" customHeight="1">
      <c r="A698" s="32" t="s">
        <v>724</v>
      </c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25"/>
      <c r="M698" s="25"/>
      <c r="N698" s="25"/>
    </row>
    <row r="699" ht="15.0" customHeight="1">
      <c r="A699" s="32" t="s">
        <v>725</v>
      </c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25"/>
      <c r="M699" s="25"/>
      <c r="N699" s="25"/>
    </row>
    <row r="700" ht="15.0" customHeight="1">
      <c r="A700" s="32" t="s">
        <v>726</v>
      </c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25"/>
      <c r="M700" s="25"/>
      <c r="N700" s="25"/>
    </row>
    <row r="701" ht="15.0" customHeight="1">
      <c r="A701" s="32" t="s">
        <v>727</v>
      </c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25"/>
      <c r="M701" s="25"/>
      <c r="N701" s="25"/>
    </row>
    <row r="702" ht="15.0" customHeight="1">
      <c r="A702" s="32" t="s">
        <v>728</v>
      </c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25"/>
      <c r="M702" s="25"/>
      <c r="N702" s="25"/>
    </row>
    <row r="703" ht="15.0" customHeight="1">
      <c r="A703" s="32" t="s">
        <v>729</v>
      </c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25"/>
      <c r="M703" s="25"/>
      <c r="N703" s="25"/>
    </row>
    <row r="704" ht="15.0" customHeight="1">
      <c r="A704" s="32" t="s">
        <v>730</v>
      </c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25"/>
      <c r="M704" s="25"/>
      <c r="N704" s="25"/>
    </row>
    <row r="705" ht="15.0" customHeight="1">
      <c r="A705" s="32" t="s">
        <v>731</v>
      </c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25"/>
      <c r="M705" s="25"/>
      <c r="N705" s="25"/>
    </row>
    <row r="706" ht="15.0" customHeight="1">
      <c r="A706" s="32" t="s">
        <v>732</v>
      </c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25"/>
      <c r="M706" s="25"/>
      <c r="N706" s="25"/>
    </row>
    <row r="707" ht="15.0" customHeight="1">
      <c r="A707" s="32" t="s">
        <v>733</v>
      </c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25"/>
      <c r="M707" s="25"/>
      <c r="N707" s="25"/>
    </row>
    <row r="708" ht="15.0" customHeight="1">
      <c r="A708" s="32" t="s">
        <v>734</v>
      </c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25"/>
      <c r="M708" s="25"/>
      <c r="N708" s="25"/>
    </row>
    <row r="709" ht="15.0" customHeight="1">
      <c r="A709" s="32" t="s">
        <v>735</v>
      </c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25"/>
      <c r="M709" s="25"/>
      <c r="N709" s="25"/>
    </row>
    <row r="710" ht="15.0" customHeight="1">
      <c r="A710" s="32" t="s">
        <v>736</v>
      </c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25"/>
      <c r="M710" s="25"/>
      <c r="N710" s="25"/>
    </row>
    <row r="711" ht="15.0" customHeight="1">
      <c r="A711" s="32" t="s">
        <v>737</v>
      </c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25"/>
      <c r="M711" s="25"/>
      <c r="N711" s="25"/>
    </row>
    <row r="712" ht="15.0" customHeight="1">
      <c r="A712" s="32" t="s">
        <v>738</v>
      </c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25"/>
      <c r="M712" s="25"/>
      <c r="N712" s="25"/>
    </row>
    <row r="713" ht="15.0" customHeight="1">
      <c r="A713" s="32" t="s">
        <v>739</v>
      </c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25"/>
      <c r="M713" s="25"/>
      <c r="N713" s="25"/>
    </row>
    <row r="714" ht="15.0" customHeight="1">
      <c r="A714" s="32" t="s">
        <v>740</v>
      </c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25"/>
      <c r="M714" s="25"/>
      <c r="N714" s="25"/>
    </row>
    <row r="715" ht="15.0" customHeight="1">
      <c r="A715" s="32" t="s">
        <v>741</v>
      </c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25"/>
      <c r="M715" s="25"/>
      <c r="N715" s="25"/>
    </row>
    <row r="716" ht="15.0" customHeight="1">
      <c r="A716" s="32" t="s">
        <v>742</v>
      </c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25"/>
      <c r="M716" s="25"/>
      <c r="N716" s="25"/>
    </row>
    <row r="717" ht="15.0" customHeight="1">
      <c r="A717" s="32" t="s">
        <v>743</v>
      </c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25"/>
      <c r="M717" s="25"/>
      <c r="N717" s="25"/>
    </row>
    <row r="718" ht="15.0" customHeight="1">
      <c r="A718" s="32" t="s">
        <v>744</v>
      </c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25"/>
      <c r="M718" s="25"/>
      <c r="N718" s="25"/>
    </row>
    <row r="719" ht="15.0" customHeight="1">
      <c r="A719" s="32" t="s">
        <v>745</v>
      </c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25"/>
      <c r="M719" s="25"/>
      <c r="N719" s="25"/>
    </row>
    <row r="720" ht="15.0" customHeight="1">
      <c r="A720" s="32" t="s">
        <v>746</v>
      </c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25"/>
      <c r="M720" s="25"/>
      <c r="N720" s="25"/>
    </row>
    <row r="721" ht="15.0" customHeight="1">
      <c r="A721" s="32" t="s">
        <v>747</v>
      </c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25"/>
      <c r="M721" s="25"/>
      <c r="N721" s="25"/>
    </row>
    <row r="722" ht="15.0" customHeight="1">
      <c r="A722" s="32" t="s">
        <v>748</v>
      </c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25"/>
      <c r="M722" s="25"/>
      <c r="N722" s="25"/>
    </row>
    <row r="723" ht="15.0" customHeight="1">
      <c r="A723" s="32" t="s">
        <v>749</v>
      </c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25"/>
      <c r="M723" s="25"/>
      <c r="N723" s="25"/>
    </row>
    <row r="724" ht="15.0" customHeight="1">
      <c r="A724" s="32" t="s">
        <v>750</v>
      </c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25"/>
      <c r="M724" s="25"/>
      <c r="N724" s="25"/>
    </row>
    <row r="725" ht="15.0" customHeight="1">
      <c r="A725" s="32" t="s">
        <v>751</v>
      </c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25"/>
      <c r="M725" s="25"/>
      <c r="N725" s="25"/>
    </row>
    <row r="726" ht="15.0" customHeight="1">
      <c r="A726" s="32" t="s">
        <v>752</v>
      </c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25"/>
      <c r="M726" s="25"/>
      <c r="N726" s="25"/>
    </row>
    <row r="727" ht="15.0" customHeight="1">
      <c r="A727" s="32" t="s">
        <v>753</v>
      </c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25"/>
      <c r="M727" s="25"/>
      <c r="N727" s="25"/>
    </row>
    <row r="728" ht="15.0" customHeight="1">
      <c r="A728" s="32" t="s">
        <v>754</v>
      </c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25"/>
      <c r="M728" s="25"/>
      <c r="N728" s="25"/>
    </row>
    <row r="729" ht="15.0" customHeight="1">
      <c r="A729" s="32" t="s">
        <v>755</v>
      </c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25"/>
      <c r="M729" s="25"/>
      <c r="N729" s="25"/>
    </row>
    <row r="730" ht="15.0" customHeight="1">
      <c r="A730" s="32" t="s">
        <v>756</v>
      </c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25"/>
      <c r="M730" s="25"/>
      <c r="N730" s="25"/>
    </row>
    <row r="731" ht="15.0" customHeight="1">
      <c r="A731" s="32" t="s">
        <v>757</v>
      </c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25"/>
      <c r="M731" s="25"/>
      <c r="N731" s="25"/>
    </row>
    <row r="732" ht="15.0" customHeight="1">
      <c r="A732" s="32" t="s">
        <v>758</v>
      </c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25"/>
      <c r="M732" s="25"/>
      <c r="N732" s="25"/>
    </row>
    <row r="733" ht="15.0" customHeight="1">
      <c r="A733" s="32" t="s">
        <v>759</v>
      </c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25"/>
      <c r="M733" s="25"/>
      <c r="N733" s="25"/>
    </row>
    <row r="734" ht="15.0" customHeight="1">
      <c r="A734" s="32" t="s">
        <v>760</v>
      </c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25"/>
      <c r="M734" s="25"/>
      <c r="N734" s="25"/>
    </row>
    <row r="735" ht="15.0" customHeight="1">
      <c r="A735" s="32" t="s">
        <v>761</v>
      </c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25"/>
      <c r="M735" s="25"/>
      <c r="N735" s="25"/>
    </row>
    <row r="736" ht="15.0" customHeight="1">
      <c r="A736" s="32" t="s">
        <v>762</v>
      </c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25"/>
      <c r="M736" s="25"/>
      <c r="N736" s="25"/>
    </row>
    <row r="737" ht="15.0" customHeight="1">
      <c r="A737" s="32" t="s">
        <v>763</v>
      </c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25"/>
      <c r="M737" s="25"/>
      <c r="N737" s="25"/>
    </row>
    <row r="738" ht="15.0" customHeight="1">
      <c r="A738" s="32" t="s">
        <v>764</v>
      </c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25"/>
      <c r="M738" s="25"/>
      <c r="N738" s="25"/>
    </row>
    <row r="739" ht="15.0" customHeight="1">
      <c r="A739" s="32" t="s">
        <v>765</v>
      </c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25"/>
      <c r="M739" s="25"/>
      <c r="N739" s="25"/>
    </row>
    <row r="740" ht="15.0" customHeight="1">
      <c r="A740" s="32" t="s">
        <v>766</v>
      </c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25"/>
      <c r="M740" s="25"/>
      <c r="N740" s="25"/>
    </row>
    <row r="741" ht="15.0" customHeight="1">
      <c r="A741" s="32" t="s">
        <v>767</v>
      </c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25"/>
      <c r="M741" s="25"/>
      <c r="N741" s="25"/>
    </row>
    <row r="742" ht="15.0" customHeight="1">
      <c r="A742" s="32" t="s">
        <v>768</v>
      </c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25"/>
      <c r="M742" s="25"/>
      <c r="N742" s="25"/>
    </row>
    <row r="743" ht="15.0" customHeight="1">
      <c r="A743" s="32" t="s">
        <v>769</v>
      </c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25"/>
      <c r="M743" s="25"/>
      <c r="N743" s="25"/>
    </row>
    <row r="744" ht="15.0" customHeight="1">
      <c r="A744" s="32" t="s">
        <v>770</v>
      </c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25"/>
      <c r="M744" s="25"/>
      <c r="N744" s="25"/>
    </row>
    <row r="745" ht="15.0" customHeight="1">
      <c r="A745" s="32" t="s">
        <v>771</v>
      </c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25"/>
      <c r="M745" s="25"/>
      <c r="N745" s="25"/>
    </row>
    <row r="746" ht="15.0" customHeight="1">
      <c r="A746" s="32" t="s">
        <v>772</v>
      </c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25"/>
      <c r="M746" s="25"/>
      <c r="N746" s="25"/>
    </row>
    <row r="747" ht="15.0" customHeight="1">
      <c r="A747" s="32" t="s">
        <v>773</v>
      </c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25"/>
      <c r="M747" s="25"/>
      <c r="N747" s="25"/>
    </row>
    <row r="748" ht="15.0" customHeight="1">
      <c r="A748" s="32" t="s">
        <v>774</v>
      </c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25"/>
      <c r="M748" s="25"/>
      <c r="N748" s="25"/>
    </row>
    <row r="749" ht="15.0" customHeight="1">
      <c r="A749" s="32" t="s">
        <v>775</v>
      </c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25"/>
      <c r="M749" s="25"/>
      <c r="N749" s="25"/>
    </row>
    <row r="750" ht="15.0" customHeight="1">
      <c r="A750" s="32" t="s">
        <v>776</v>
      </c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25"/>
      <c r="M750" s="25"/>
      <c r="N750" s="25"/>
    </row>
    <row r="751" ht="15.0" customHeight="1">
      <c r="A751" s="32" t="s">
        <v>777</v>
      </c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25"/>
      <c r="M751" s="25"/>
      <c r="N751" s="25"/>
    </row>
    <row r="752" ht="15.0" customHeight="1">
      <c r="A752" s="32" t="s">
        <v>778</v>
      </c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25"/>
      <c r="M752" s="25"/>
      <c r="N752" s="25"/>
    </row>
    <row r="753" ht="15.0" customHeight="1">
      <c r="A753" s="32" t="s">
        <v>779</v>
      </c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25"/>
      <c r="M753" s="25"/>
      <c r="N753" s="25"/>
    </row>
    <row r="754" ht="15.0" customHeight="1">
      <c r="A754" s="32" t="s">
        <v>780</v>
      </c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25"/>
      <c r="M754" s="25"/>
      <c r="N754" s="25"/>
    </row>
    <row r="755" ht="15.0" customHeight="1">
      <c r="A755" s="32" t="s">
        <v>781</v>
      </c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25"/>
      <c r="M755" s="25"/>
      <c r="N755" s="25"/>
    </row>
    <row r="756" ht="15.0" customHeight="1">
      <c r="A756" s="32" t="s">
        <v>782</v>
      </c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25"/>
      <c r="M756" s="25"/>
      <c r="N756" s="25"/>
    </row>
    <row r="757" ht="15.0" customHeight="1">
      <c r="A757" s="32" t="s">
        <v>783</v>
      </c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25"/>
      <c r="M757" s="25"/>
      <c r="N757" s="25"/>
    </row>
    <row r="758" ht="15.0" customHeight="1">
      <c r="A758" s="32" t="s">
        <v>784</v>
      </c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25"/>
      <c r="M758" s="25"/>
      <c r="N758" s="25"/>
    </row>
    <row r="759" ht="15.0" customHeight="1">
      <c r="A759" s="32" t="s">
        <v>785</v>
      </c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25"/>
      <c r="M759" s="25"/>
      <c r="N759" s="25"/>
    </row>
    <row r="760" ht="15.0" customHeight="1">
      <c r="A760" s="32" t="s">
        <v>786</v>
      </c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25"/>
      <c r="M760" s="25"/>
      <c r="N760" s="25"/>
    </row>
    <row r="761" ht="15.0" customHeight="1">
      <c r="A761" s="32" t="s">
        <v>787</v>
      </c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25"/>
      <c r="M761" s="25"/>
      <c r="N761" s="25"/>
    </row>
    <row r="762" ht="15.0" customHeight="1">
      <c r="A762" s="32" t="s">
        <v>788</v>
      </c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25"/>
      <c r="M762" s="25"/>
      <c r="N762" s="25"/>
    </row>
    <row r="763" ht="15.0" customHeight="1">
      <c r="A763" s="32" t="s">
        <v>789</v>
      </c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25"/>
      <c r="M763" s="25"/>
      <c r="N763" s="25"/>
    </row>
    <row r="764" ht="15.0" customHeight="1">
      <c r="A764" s="32" t="s">
        <v>790</v>
      </c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25"/>
      <c r="M764" s="25"/>
      <c r="N764" s="25"/>
    </row>
    <row r="765" ht="15.0" customHeight="1">
      <c r="A765" s="32" t="s">
        <v>791</v>
      </c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25"/>
      <c r="M765" s="25"/>
      <c r="N765" s="25"/>
    </row>
    <row r="766" ht="15.0" customHeight="1">
      <c r="A766" s="32" t="s">
        <v>792</v>
      </c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25"/>
      <c r="M766" s="25"/>
      <c r="N766" s="25"/>
    </row>
    <row r="767" ht="15.0" customHeight="1">
      <c r="A767" s="32" t="s">
        <v>793</v>
      </c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25"/>
      <c r="M767" s="25"/>
      <c r="N767" s="25"/>
    </row>
    <row r="768" ht="15.0" customHeight="1">
      <c r="A768" s="32" t="s">
        <v>794</v>
      </c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25"/>
      <c r="M768" s="25"/>
      <c r="N768" s="25"/>
    </row>
    <row r="769" ht="15.0" customHeight="1">
      <c r="A769" s="32" t="s">
        <v>795</v>
      </c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25"/>
      <c r="M769" s="25"/>
      <c r="N769" s="25"/>
    </row>
    <row r="770" ht="15.0" customHeight="1">
      <c r="A770" s="32" t="s">
        <v>796</v>
      </c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25"/>
      <c r="M770" s="25"/>
      <c r="N770" s="25"/>
    </row>
    <row r="771" ht="15.0" customHeight="1">
      <c r="A771" s="32" t="s">
        <v>797</v>
      </c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25"/>
      <c r="M771" s="25"/>
      <c r="N771" s="25"/>
    </row>
    <row r="772" ht="15.0" customHeight="1">
      <c r="A772" s="32" t="s">
        <v>798</v>
      </c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25"/>
      <c r="M772" s="25"/>
      <c r="N772" s="25"/>
    </row>
    <row r="773" ht="15.0" customHeight="1">
      <c r="A773" s="32" t="s">
        <v>799</v>
      </c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25"/>
      <c r="M773" s="25"/>
      <c r="N773" s="25"/>
    </row>
    <row r="774" ht="15.0" customHeight="1">
      <c r="A774" s="32" t="s">
        <v>800</v>
      </c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25"/>
      <c r="M774" s="25"/>
      <c r="N774" s="25"/>
    </row>
    <row r="775" ht="15.0" customHeight="1">
      <c r="A775" s="32" t="s">
        <v>801</v>
      </c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25"/>
      <c r="M775" s="25"/>
      <c r="N775" s="25"/>
    </row>
    <row r="776" ht="15.0" customHeight="1">
      <c r="A776" s="32" t="s">
        <v>802</v>
      </c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25"/>
      <c r="M776" s="25"/>
      <c r="N776" s="25"/>
    </row>
    <row r="777" ht="15.0" customHeight="1">
      <c r="A777" s="32" t="s">
        <v>803</v>
      </c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25"/>
      <c r="M777" s="25"/>
      <c r="N777" s="25"/>
    </row>
    <row r="778" ht="15.0" customHeight="1">
      <c r="A778" s="32" t="s">
        <v>804</v>
      </c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25"/>
      <c r="M778" s="25"/>
      <c r="N778" s="25"/>
    </row>
    <row r="779" ht="15.0" customHeight="1">
      <c r="A779" s="32" t="s">
        <v>805</v>
      </c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25"/>
      <c r="M779" s="25"/>
      <c r="N779" s="25"/>
    </row>
    <row r="780" ht="15.0" customHeight="1">
      <c r="A780" s="32" t="s">
        <v>806</v>
      </c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25"/>
      <c r="M780" s="25"/>
      <c r="N780" s="25"/>
    </row>
    <row r="781" ht="15.0" customHeight="1">
      <c r="A781" s="32" t="s">
        <v>807</v>
      </c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25"/>
      <c r="M781" s="25"/>
      <c r="N781" s="25"/>
    </row>
    <row r="782" ht="15.0" customHeight="1">
      <c r="A782" s="32" t="s">
        <v>808</v>
      </c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25"/>
      <c r="M782" s="25"/>
      <c r="N782" s="25"/>
    </row>
    <row r="783" ht="15.0" customHeight="1">
      <c r="A783" s="32" t="s">
        <v>809</v>
      </c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25"/>
      <c r="M783" s="25"/>
      <c r="N783" s="25"/>
    </row>
    <row r="784" ht="15.0" customHeight="1">
      <c r="A784" s="32" t="s">
        <v>810</v>
      </c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25"/>
      <c r="M784" s="25"/>
      <c r="N784" s="25"/>
    </row>
    <row r="785" ht="15.0" customHeight="1">
      <c r="A785" s="32" t="s">
        <v>811</v>
      </c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25"/>
      <c r="M785" s="25"/>
      <c r="N785" s="25"/>
    </row>
    <row r="786" ht="15.0" customHeight="1">
      <c r="A786" s="32" t="s">
        <v>812</v>
      </c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25"/>
      <c r="M786" s="25"/>
      <c r="N786" s="25"/>
    </row>
    <row r="787" ht="15.0" customHeight="1">
      <c r="A787" s="32" t="s">
        <v>813</v>
      </c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25"/>
      <c r="M787" s="25"/>
      <c r="N787" s="25"/>
    </row>
    <row r="788" ht="15.0" customHeight="1">
      <c r="A788" s="32" t="s">
        <v>814</v>
      </c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25"/>
      <c r="M788" s="25"/>
      <c r="N788" s="25"/>
    </row>
    <row r="789" ht="15.0" customHeight="1">
      <c r="A789" s="32" t="s">
        <v>815</v>
      </c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25"/>
      <c r="M789" s="25"/>
      <c r="N789" s="25"/>
    </row>
    <row r="790" ht="15.0" customHeight="1">
      <c r="A790" s="32" t="s">
        <v>816</v>
      </c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25"/>
      <c r="M790" s="25"/>
      <c r="N790" s="25"/>
    </row>
    <row r="791" ht="15.0" customHeight="1">
      <c r="A791" s="32" t="s">
        <v>817</v>
      </c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25"/>
      <c r="M791" s="25"/>
      <c r="N791" s="25"/>
    </row>
    <row r="792" ht="15.0" customHeight="1">
      <c r="A792" s="32" t="s">
        <v>818</v>
      </c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25"/>
      <c r="M792" s="25"/>
      <c r="N792" s="25"/>
    </row>
    <row r="793" ht="15.0" customHeight="1">
      <c r="A793" s="32" t="s">
        <v>819</v>
      </c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25"/>
      <c r="M793" s="25"/>
      <c r="N793" s="25"/>
    </row>
    <row r="794" ht="15.0" customHeight="1">
      <c r="A794" s="32" t="s">
        <v>820</v>
      </c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25"/>
      <c r="M794" s="25"/>
      <c r="N794" s="25"/>
    </row>
    <row r="795" ht="15.0" customHeight="1">
      <c r="A795" s="32" t="s">
        <v>821</v>
      </c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25"/>
      <c r="M795" s="25"/>
      <c r="N795" s="25"/>
    </row>
    <row r="796" ht="15.0" customHeight="1">
      <c r="A796" s="32" t="s">
        <v>822</v>
      </c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25"/>
      <c r="M796" s="25"/>
      <c r="N796" s="25"/>
    </row>
    <row r="797" ht="15.0" customHeight="1">
      <c r="A797" s="32" t="s">
        <v>823</v>
      </c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25"/>
      <c r="M797" s="25"/>
      <c r="N797" s="25"/>
    </row>
    <row r="798" ht="15.0" customHeight="1">
      <c r="A798" s="32" t="s">
        <v>824</v>
      </c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25"/>
      <c r="M798" s="25"/>
      <c r="N798" s="25"/>
    </row>
    <row r="799" ht="15.0" customHeight="1">
      <c r="A799" s="32" t="s">
        <v>825</v>
      </c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25"/>
      <c r="M799" s="25"/>
      <c r="N799" s="25"/>
    </row>
    <row r="800" ht="15.0" customHeight="1">
      <c r="A800" s="32" t="s">
        <v>826</v>
      </c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25"/>
      <c r="M800" s="25"/>
      <c r="N800" s="25"/>
    </row>
    <row r="801" ht="15.0" customHeight="1">
      <c r="A801" s="32" t="s">
        <v>827</v>
      </c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25"/>
      <c r="M801" s="25"/>
      <c r="N801" s="25"/>
    </row>
    <row r="802" ht="15.0" customHeight="1">
      <c r="A802" s="32" t="s">
        <v>828</v>
      </c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25"/>
      <c r="M802" s="25"/>
      <c r="N802" s="25"/>
    </row>
    <row r="803" ht="15.0" customHeight="1">
      <c r="A803" s="32" t="s">
        <v>829</v>
      </c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25"/>
      <c r="M803" s="25"/>
      <c r="N803" s="25"/>
    </row>
    <row r="804" ht="15.0" customHeight="1">
      <c r="A804" s="32" t="s">
        <v>830</v>
      </c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25"/>
      <c r="M804" s="25"/>
      <c r="N804" s="25"/>
    </row>
    <row r="805" ht="15.0" customHeight="1">
      <c r="A805" s="32" t="s">
        <v>831</v>
      </c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25"/>
      <c r="M805" s="25"/>
      <c r="N805" s="25"/>
    </row>
    <row r="806" ht="15.0" customHeight="1">
      <c r="A806" s="32" t="s">
        <v>832</v>
      </c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25"/>
      <c r="M806" s="25"/>
      <c r="N806" s="25"/>
    </row>
    <row r="807" ht="15.0" customHeight="1">
      <c r="A807" s="32" t="s">
        <v>833</v>
      </c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25"/>
      <c r="M807" s="25"/>
      <c r="N807" s="25"/>
    </row>
    <row r="808" ht="15.0" customHeight="1">
      <c r="A808" s="32" t="s">
        <v>834</v>
      </c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25"/>
      <c r="M808" s="25"/>
      <c r="N808" s="25"/>
    </row>
    <row r="809" ht="15.0" customHeight="1">
      <c r="A809" s="32" t="s">
        <v>835</v>
      </c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25"/>
      <c r="M809" s="25"/>
      <c r="N809" s="25"/>
    </row>
    <row r="810" ht="15.0" customHeight="1">
      <c r="A810" s="32" t="s">
        <v>836</v>
      </c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25"/>
      <c r="M810" s="25"/>
      <c r="N810" s="25"/>
    </row>
    <row r="811" ht="15.0" customHeight="1">
      <c r="A811" s="32" t="s">
        <v>837</v>
      </c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25"/>
      <c r="M811" s="25"/>
      <c r="N811" s="25"/>
    </row>
    <row r="812" ht="15.0" customHeight="1">
      <c r="A812" s="32" t="s">
        <v>838</v>
      </c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25"/>
      <c r="M812" s="25"/>
      <c r="N812" s="25"/>
    </row>
    <row r="813" ht="15.0" customHeight="1">
      <c r="A813" s="32" t="s">
        <v>839</v>
      </c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25"/>
      <c r="M813" s="25"/>
      <c r="N813" s="25"/>
    </row>
    <row r="814" ht="15.0" customHeight="1">
      <c r="A814" s="32" t="s">
        <v>840</v>
      </c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25"/>
      <c r="M814" s="25"/>
      <c r="N814" s="25"/>
    </row>
    <row r="815" ht="15.0" customHeight="1">
      <c r="A815" s="32" t="s">
        <v>841</v>
      </c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25"/>
      <c r="M815" s="25"/>
      <c r="N815" s="25"/>
    </row>
    <row r="816" ht="15.0" customHeight="1">
      <c r="A816" s="32" t="s">
        <v>842</v>
      </c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25"/>
      <c r="M816" s="25"/>
      <c r="N816" s="25"/>
    </row>
    <row r="817" ht="15.0" customHeight="1">
      <c r="A817" s="32" t="s">
        <v>843</v>
      </c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25"/>
      <c r="M817" s="25"/>
      <c r="N817" s="25"/>
    </row>
    <row r="818" ht="15.0" customHeight="1">
      <c r="A818" s="32" t="s">
        <v>844</v>
      </c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25"/>
      <c r="M818" s="25"/>
      <c r="N818" s="25"/>
    </row>
    <row r="819" ht="15.0" customHeight="1">
      <c r="A819" s="32" t="s">
        <v>845</v>
      </c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25"/>
      <c r="M819" s="25"/>
      <c r="N819" s="25"/>
    </row>
    <row r="820" ht="15.0" customHeight="1">
      <c r="A820" s="32" t="s">
        <v>846</v>
      </c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25"/>
      <c r="M820" s="25"/>
      <c r="N820" s="25"/>
    </row>
    <row r="821" ht="15.0" customHeight="1">
      <c r="A821" s="32" t="s">
        <v>847</v>
      </c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25"/>
      <c r="M821" s="25"/>
      <c r="N821" s="25"/>
    </row>
    <row r="822" ht="15.0" customHeight="1">
      <c r="A822" s="32" t="s">
        <v>848</v>
      </c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25"/>
      <c r="M822" s="25"/>
      <c r="N822" s="25"/>
    </row>
    <row r="823" ht="15.0" customHeight="1">
      <c r="A823" s="32" t="s">
        <v>849</v>
      </c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25"/>
      <c r="M823" s="25"/>
      <c r="N823" s="25"/>
    </row>
    <row r="824" ht="15.0" customHeight="1">
      <c r="A824" s="32" t="s">
        <v>850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25"/>
      <c r="M824" s="25"/>
      <c r="N824" s="25"/>
    </row>
    <row r="825" ht="15.0" customHeight="1">
      <c r="A825" s="32" t="s">
        <v>851</v>
      </c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25"/>
      <c r="M825" s="25"/>
      <c r="N825" s="25"/>
    </row>
    <row r="826" ht="15.0" customHeight="1">
      <c r="A826" s="32" t="s">
        <v>852</v>
      </c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25"/>
      <c r="M826" s="25"/>
      <c r="N826" s="25"/>
    </row>
    <row r="827" ht="15.0" customHeight="1">
      <c r="A827" s="32" t="s">
        <v>853</v>
      </c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25"/>
      <c r="M827" s="25"/>
      <c r="N827" s="25"/>
    </row>
    <row r="828" ht="15.0" customHeight="1">
      <c r="A828" s="32" t="s">
        <v>854</v>
      </c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25"/>
      <c r="M828" s="25"/>
      <c r="N828" s="25"/>
    </row>
    <row r="829" ht="15.0" customHeight="1">
      <c r="A829" s="32" t="s">
        <v>855</v>
      </c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25"/>
      <c r="M829" s="25"/>
      <c r="N829" s="25"/>
    </row>
    <row r="830" ht="15.0" customHeight="1">
      <c r="A830" s="32" t="s">
        <v>856</v>
      </c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25"/>
      <c r="M830" s="25"/>
      <c r="N830" s="25"/>
    </row>
    <row r="831" ht="15.0" customHeight="1">
      <c r="A831" s="32" t="s">
        <v>857</v>
      </c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25"/>
      <c r="M831" s="25"/>
      <c r="N831" s="25"/>
    </row>
    <row r="832" ht="15.0" customHeight="1">
      <c r="A832" s="32" t="s">
        <v>858</v>
      </c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25"/>
      <c r="M832" s="25"/>
      <c r="N832" s="25"/>
    </row>
    <row r="833" ht="15.0" customHeight="1">
      <c r="A833" s="32" t="s">
        <v>859</v>
      </c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25"/>
      <c r="M833" s="25"/>
      <c r="N833" s="25"/>
    </row>
    <row r="834" ht="15.0" customHeight="1">
      <c r="A834" s="32" t="s">
        <v>860</v>
      </c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25"/>
      <c r="M834" s="25"/>
      <c r="N834" s="25"/>
    </row>
    <row r="835" ht="15.0" customHeight="1">
      <c r="A835" s="32" t="s">
        <v>861</v>
      </c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25"/>
      <c r="M835" s="25"/>
      <c r="N835" s="25"/>
    </row>
    <row r="836" ht="15.0" customHeight="1">
      <c r="A836" s="32" t="s">
        <v>862</v>
      </c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25"/>
      <c r="M836" s="25"/>
      <c r="N836" s="25"/>
    </row>
    <row r="837" ht="15.0" customHeight="1">
      <c r="A837" s="32" t="s">
        <v>863</v>
      </c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25"/>
      <c r="M837" s="25"/>
      <c r="N837" s="25"/>
    </row>
    <row r="838" ht="15.0" customHeight="1">
      <c r="A838" s="32" t="s">
        <v>864</v>
      </c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25"/>
      <c r="M838" s="25"/>
      <c r="N838" s="25"/>
    </row>
    <row r="839" ht="15.0" customHeight="1">
      <c r="A839" s="32" t="s">
        <v>865</v>
      </c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25"/>
      <c r="M839" s="25"/>
      <c r="N839" s="25"/>
    </row>
    <row r="840" ht="15.0" customHeight="1">
      <c r="A840" s="32" t="s">
        <v>866</v>
      </c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25"/>
      <c r="M840" s="25"/>
      <c r="N840" s="25"/>
    </row>
    <row r="841" ht="15.0" customHeight="1">
      <c r="A841" s="32" t="s">
        <v>867</v>
      </c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25"/>
      <c r="M841" s="25"/>
      <c r="N841" s="25"/>
    </row>
    <row r="842" ht="15.0" customHeight="1">
      <c r="A842" s="32" t="s">
        <v>868</v>
      </c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25"/>
      <c r="M842" s="25"/>
      <c r="N842" s="25"/>
    </row>
    <row r="843" ht="15.0" customHeight="1">
      <c r="A843" s="32" t="s">
        <v>869</v>
      </c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25"/>
      <c r="M843" s="25"/>
      <c r="N843" s="25"/>
    </row>
    <row r="844" ht="15.0" customHeight="1">
      <c r="A844" s="32" t="s">
        <v>870</v>
      </c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25"/>
      <c r="M844" s="25"/>
      <c r="N844" s="25"/>
    </row>
    <row r="845" ht="15.0" customHeight="1">
      <c r="A845" s="32" t="s">
        <v>871</v>
      </c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25"/>
      <c r="M845" s="25"/>
      <c r="N845" s="25"/>
    </row>
    <row r="846" ht="15.0" customHeight="1">
      <c r="A846" s="32" t="s">
        <v>872</v>
      </c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25"/>
      <c r="M846" s="25"/>
      <c r="N846" s="25"/>
    </row>
    <row r="847" ht="15.0" customHeight="1">
      <c r="A847" s="32" t="s">
        <v>873</v>
      </c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25"/>
      <c r="M847" s="25"/>
      <c r="N847" s="25"/>
    </row>
    <row r="848" ht="15.0" customHeight="1">
      <c r="A848" s="32" t="s">
        <v>874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25"/>
      <c r="M848" s="25"/>
      <c r="N848" s="25"/>
    </row>
    <row r="849" ht="15.0" customHeight="1">
      <c r="A849" s="32" t="s">
        <v>875</v>
      </c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25"/>
      <c r="M849" s="25"/>
      <c r="N849" s="25"/>
    </row>
    <row r="850" ht="15.0" customHeight="1">
      <c r="A850" s="32" t="s">
        <v>876</v>
      </c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25"/>
      <c r="M850" s="25"/>
      <c r="N850" s="25"/>
    </row>
    <row r="851" ht="15.0" customHeight="1">
      <c r="A851" s="32" t="s">
        <v>877</v>
      </c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25"/>
      <c r="M851" s="25"/>
      <c r="N851" s="25"/>
    </row>
    <row r="852" ht="15.0" customHeight="1">
      <c r="A852" s="32" t="s">
        <v>878</v>
      </c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25"/>
      <c r="M852" s="25"/>
      <c r="N852" s="25"/>
    </row>
    <row r="853" ht="15.0" customHeight="1">
      <c r="A853" s="32" t="s">
        <v>879</v>
      </c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25"/>
      <c r="M853" s="25"/>
      <c r="N853" s="25"/>
    </row>
    <row r="854" ht="15.0" customHeight="1">
      <c r="A854" s="32" t="s">
        <v>880</v>
      </c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25"/>
      <c r="M854" s="25"/>
      <c r="N854" s="25"/>
    </row>
    <row r="855" ht="15.0" customHeight="1">
      <c r="A855" s="32" t="s">
        <v>881</v>
      </c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25"/>
      <c r="M855" s="25"/>
      <c r="N855" s="25"/>
    </row>
    <row r="856" ht="15.0" customHeight="1">
      <c r="A856" s="32" t="s">
        <v>882</v>
      </c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25"/>
      <c r="M856" s="25"/>
      <c r="N856" s="25"/>
    </row>
    <row r="857" ht="15.0" customHeight="1">
      <c r="A857" s="32" t="s">
        <v>883</v>
      </c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25"/>
      <c r="M857" s="25"/>
      <c r="N857" s="25"/>
    </row>
    <row r="858" ht="15.0" customHeight="1">
      <c r="A858" s="32" t="s">
        <v>884</v>
      </c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25"/>
      <c r="M858" s="25"/>
      <c r="N858" s="25"/>
    </row>
    <row r="859" ht="15.0" customHeight="1">
      <c r="A859" s="32" t="s">
        <v>885</v>
      </c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25"/>
      <c r="M859" s="25"/>
      <c r="N859" s="25"/>
    </row>
    <row r="860" ht="15.0" customHeight="1">
      <c r="A860" s="32" t="s">
        <v>886</v>
      </c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25"/>
      <c r="M860" s="25"/>
      <c r="N860" s="25"/>
    </row>
    <row r="861" ht="15.0" customHeight="1">
      <c r="A861" s="32" t="s">
        <v>887</v>
      </c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25"/>
      <c r="M861" s="25"/>
      <c r="N861" s="25"/>
    </row>
    <row r="862" ht="15.0" customHeight="1">
      <c r="A862" s="32" t="s">
        <v>888</v>
      </c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25"/>
      <c r="M862" s="25"/>
      <c r="N862" s="25"/>
    </row>
    <row r="863" ht="15.0" customHeight="1">
      <c r="A863" s="32" t="s">
        <v>889</v>
      </c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25"/>
      <c r="M863" s="25"/>
      <c r="N863" s="25"/>
    </row>
    <row r="864" ht="15.0" customHeight="1">
      <c r="A864" s="32" t="s">
        <v>890</v>
      </c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25"/>
      <c r="M864" s="25"/>
      <c r="N864" s="25"/>
    </row>
    <row r="865" ht="15.0" customHeight="1">
      <c r="A865" s="32" t="s">
        <v>891</v>
      </c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25"/>
      <c r="M865" s="25"/>
      <c r="N865" s="25"/>
    </row>
    <row r="866" ht="15.0" customHeight="1">
      <c r="A866" s="32" t="s">
        <v>892</v>
      </c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25"/>
      <c r="M866" s="25"/>
      <c r="N866" s="25"/>
    </row>
    <row r="867" ht="15.0" customHeight="1">
      <c r="A867" s="32" t="s">
        <v>893</v>
      </c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25"/>
      <c r="M867" s="25"/>
      <c r="N867" s="25"/>
    </row>
    <row r="868" ht="15.0" customHeight="1">
      <c r="A868" s="32" t="s">
        <v>894</v>
      </c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25"/>
      <c r="M868" s="25"/>
      <c r="N868" s="25"/>
    </row>
    <row r="869" ht="15.0" customHeight="1">
      <c r="A869" s="32" t="s">
        <v>895</v>
      </c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25"/>
      <c r="M869" s="25"/>
      <c r="N869" s="25"/>
    </row>
    <row r="870" ht="15.0" customHeight="1">
      <c r="A870" s="32" t="s">
        <v>896</v>
      </c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25"/>
      <c r="M870" s="25"/>
      <c r="N870" s="25"/>
    </row>
    <row r="871" ht="15.0" customHeight="1">
      <c r="A871" s="32" t="s">
        <v>897</v>
      </c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25"/>
      <c r="M871" s="25"/>
      <c r="N871" s="25"/>
    </row>
    <row r="872" ht="15.0" customHeight="1">
      <c r="A872" s="32" t="s">
        <v>898</v>
      </c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25"/>
      <c r="M872" s="25"/>
      <c r="N872" s="25"/>
    </row>
    <row r="873" ht="15.0" customHeight="1">
      <c r="A873" s="32" t="s">
        <v>899</v>
      </c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25"/>
      <c r="M873" s="25"/>
      <c r="N873" s="25"/>
    </row>
    <row r="874" ht="15.0" customHeight="1">
      <c r="A874" s="32" t="s">
        <v>900</v>
      </c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25"/>
      <c r="M874" s="25"/>
      <c r="N874" s="25"/>
    </row>
    <row r="875" ht="15.0" customHeight="1">
      <c r="A875" s="32" t="s">
        <v>901</v>
      </c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25"/>
      <c r="M875" s="25"/>
      <c r="N875" s="25"/>
    </row>
    <row r="876" ht="15.0" customHeight="1">
      <c r="A876" s="32" t="s">
        <v>902</v>
      </c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25"/>
      <c r="M876" s="25"/>
      <c r="N876" s="25"/>
    </row>
    <row r="877" ht="15.0" customHeight="1">
      <c r="A877" s="32" t="s">
        <v>903</v>
      </c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25"/>
      <c r="M877" s="25"/>
      <c r="N877" s="25"/>
    </row>
    <row r="878" ht="15.0" customHeight="1">
      <c r="A878" s="32" t="s">
        <v>904</v>
      </c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25"/>
      <c r="M878" s="25"/>
      <c r="N878" s="25"/>
    </row>
    <row r="879" ht="15.0" customHeight="1">
      <c r="A879" s="32" t="s">
        <v>905</v>
      </c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25"/>
      <c r="M879" s="25"/>
      <c r="N879" s="25"/>
    </row>
    <row r="880" ht="15.0" customHeight="1">
      <c r="A880" s="32" t="s">
        <v>906</v>
      </c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25"/>
      <c r="M880" s="25"/>
      <c r="N880" s="25"/>
    </row>
    <row r="881" ht="15.0" customHeight="1">
      <c r="A881" s="32" t="s">
        <v>907</v>
      </c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25"/>
      <c r="M881" s="25"/>
      <c r="N881" s="25"/>
    </row>
    <row r="882" ht="15.0" customHeight="1">
      <c r="A882" s="32" t="s">
        <v>908</v>
      </c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25"/>
      <c r="M882" s="25"/>
      <c r="N882" s="25"/>
    </row>
    <row r="883" ht="15.0" customHeight="1">
      <c r="A883" s="32" t="s">
        <v>909</v>
      </c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25"/>
      <c r="M883" s="25"/>
      <c r="N883" s="25"/>
    </row>
    <row r="884" ht="15.0" customHeight="1">
      <c r="A884" s="32" t="s">
        <v>910</v>
      </c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25"/>
      <c r="M884" s="25"/>
      <c r="N884" s="25"/>
    </row>
    <row r="885" ht="15.0" customHeight="1">
      <c r="A885" s="32" t="s">
        <v>911</v>
      </c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25"/>
      <c r="M885" s="25"/>
      <c r="N885" s="25"/>
    </row>
    <row r="886" ht="15.0" customHeight="1">
      <c r="A886" s="32" t="s">
        <v>912</v>
      </c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25"/>
      <c r="M886" s="25"/>
      <c r="N886" s="25"/>
    </row>
    <row r="887" ht="15.0" customHeight="1">
      <c r="A887" s="32" t="s">
        <v>913</v>
      </c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25"/>
      <c r="M887" s="25"/>
      <c r="N887" s="25"/>
    </row>
    <row r="888" ht="15.0" customHeight="1">
      <c r="A888" s="32" t="s">
        <v>914</v>
      </c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25"/>
      <c r="M888" s="25"/>
      <c r="N888" s="25"/>
    </row>
    <row r="889" ht="15.0" customHeight="1">
      <c r="A889" s="32" t="s">
        <v>915</v>
      </c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25"/>
      <c r="M889" s="25"/>
      <c r="N889" s="25"/>
    </row>
    <row r="890" ht="15.0" customHeight="1">
      <c r="A890" s="32" t="s">
        <v>916</v>
      </c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25"/>
      <c r="M890" s="25"/>
      <c r="N890" s="25"/>
    </row>
    <row r="891" ht="15.0" customHeight="1">
      <c r="A891" s="32" t="s">
        <v>917</v>
      </c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25"/>
      <c r="M891" s="25"/>
      <c r="N891" s="25"/>
    </row>
    <row r="892" ht="15.0" customHeight="1">
      <c r="A892" s="32" t="s">
        <v>918</v>
      </c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25"/>
      <c r="M892" s="25"/>
      <c r="N892" s="25"/>
    </row>
    <row r="893" ht="15.0" customHeight="1">
      <c r="A893" s="32" t="s">
        <v>919</v>
      </c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25"/>
      <c r="M893" s="25"/>
      <c r="N893" s="25"/>
    </row>
    <row r="894" ht="15.0" customHeight="1">
      <c r="A894" s="32" t="s">
        <v>920</v>
      </c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25"/>
      <c r="M894" s="25"/>
      <c r="N894" s="25"/>
    </row>
    <row r="895" ht="15.0" customHeight="1">
      <c r="A895" s="32" t="s">
        <v>921</v>
      </c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25"/>
      <c r="M895" s="25"/>
      <c r="N895" s="25"/>
    </row>
    <row r="896" ht="15.0" customHeight="1">
      <c r="A896" s="32" t="s">
        <v>922</v>
      </c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25"/>
      <c r="M896" s="25"/>
      <c r="N896" s="25"/>
    </row>
    <row r="897" ht="15.0" customHeight="1">
      <c r="A897" s="32" t="s">
        <v>923</v>
      </c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25"/>
      <c r="M897" s="25"/>
      <c r="N897" s="25"/>
    </row>
    <row r="898" ht="15.0" customHeight="1">
      <c r="A898" s="32" t="s">
        <v>924</v>
      </c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25"/>
      <c r="M898" s="25"/>
      <c r="N898" s="25"/>
    </row>
    <row r="899" ht="15.0" customHeight="1">
      <c r="A899" s="32" t="s">
        <v>925</v>
      </c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25"/>
      <c r="M899" s="25"/>
      <c r="N899" s="25"/>
    </row>
    <row r="900" ht="15.0" customHeight="1">
      <c r="A900" s="32" t="s">
        <v>926</v>
      </c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25"/>
      <c r="M900" s="25"/>
      <c r="N900" s="25"/>
    </row>
    <row r="901" ht="15.0" customHeight="1">
      <c r="A901" s="32" t="s">
        <v>927</v>
      </c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25"/>
      <c r="M901" s="25"/>
      <c r="N901" s="25"/>
    </row>
    <row r="902" ht="15.0" customHeight="1">
      <c r="A902" s="32" t="s">
        <v>928</v>
      </c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25"/>
      <c r="M902" s="25"/>
      <c r="N902" s="25"/>
    </row>
    <row r="903" ht="15.0" customHeight="1">
      <c r="A903" s="32" t="s">
        <v>929</v>
      </c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25"/>
      <c r="M903" s="25"/>
      <c r="N903" s="25"/>
    </row>
    <row r="904" ht="15.0" customHeight="1">
      <c r="A904" s="32" t="s">
        <v>930</v>
      </c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25"/>
      <c r="M904" s="25"/>
      <c r="N904" s="25"/>
    </row>
    <row r="905" ht="15.0" customHeight="1">
      <c r="A905" s="32" t="s">
        <v>931</v>
      </c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25"/>
      <c r="M905" s="25"/>
      <c r="N905" s="25"/>
    </row>
    <row r="906" ht="15.0" customHeight="1">
      <c r="A906" s="32" t="s">
        <v>932</v>
      </c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25"/>
      <c r="M906" s="25"/>
      <c r="N906" s="25"/>
    </row>
    <row r="907" ht="15.0" customHeight="1">
      <c r="A907" s="32" t="s">
        <v>933</v>
      </c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25"/>
      <c r="M907" s="25"/>
      <c r="N907" s="25"/>
    </row>
    <row r="908" ht="15.0" customHeight="1">
      <c r="A908" s="32" t="s">
        <v>934</v>
      </c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25"/>
      <c r="M908" s="25"/>
      <c r="N908" s="25"/>
    </row>
    <row r="909" ht="15.0" customHeight="1">
      <c r="A909" s="32" t="s">
        <v>935</v>
      </c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25"/>
      <c r="M909" s="25"/>
      <c r="N909" s="25"/>
    </row>
    <row r="910" ht="15.0" customHeight="1">
      <c r="A910" s="32" t="s">
        <v>936</v>
      </c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25"/>
      <c r="M910" s="25"/>
      <c r="N910" s="25"/>
    </row>
    <row r="911" ht="15.0" customHeight="1">
      <c r="A911" s="32" t="s">
        <v>937</v>
      </c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25"/>
      <c r="M911" s="25"/>
      <c r="N911" s="25"/>
    </row>
    <row r="912" ht="15.0" customHeight="1">
      <c r="A912" s="32" t="s">
        <v>938</v>
      </c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25"/>
      <c r="M912" s="25"/>
      <c r="N912" s="25"/>
    </row>
    <row r="913" ht="15.0" customHeight="1">
      <c r="A913" s="32" t="s">
        <v>939</v>
      </c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25"/>
      <c r="M913" s="25"/>
      <c r="N913" s="25"/>
    </row>
    <row r="914" ht="15.0" customHeight="1">
      <c r="A914" s="32" t="s">
        <v>940</v>
      </c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25"/>
      <c r="M914" s="25"/>
      <c r="N914" s="25"/>
    </row>
    <row r="915" ht="15.0" customHeight="1">
      <c r="A915" s="32" t="s">
        <v>941</v>
      </c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25"/>
      <c r="M915" s="25"/>
      <c r="N915" s="25"/>
    </row>
    <row r="916" ht="15.0" customHeight="1">
      <c r="A916" s="32" t="s">
        <v>942</v>
      </c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25"/>
      <c r="M916" s="25"/>
      <c r="N916" s="25"/>
    </row>
    <row r="917" ht="15.0" customHeight="1">
      <c r="A917" s="32" t="s">
        <v>943</v>
      </c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25"/>
      <c r="M917" s="25"/>
      <c r="N917" s="25"/>
    </row>
    <row r="918" ht="15.0" customHeight="1">
      <c r="A918" s="32" t="s">
        <v>944</v>
      </c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25"/>
      <c r="M918" s="25"/>
      <c r="N918" s="25"/>
    </row>
    <row r="919" ht="15.0" customHeight="1">
      <c r="A919" s="32" t="s">
        <v>945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25"/>
      <c r="M919" s="25"/>
      <c r="N919" s="25"/>
    </row>
    <row r="920" ht="15.0" customHeight="1">
      <c r="A920" s="32" t="s">
        <v>946</v>
      </c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25"/>
      <c r="M920" s="25"/>
      <c r="N920" s="25"/>
    </row>
    <row r="921" ht="15.0" customHeight="1">
      <c r="A921" s="32" t="s">
        <v>947</v>
      </c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25"/>
      <c r="M921" s="25"/>
      <c r="N921" s="25"/>
    </row>
    <row r="922" ht="15.0" customHeight="1">
      <c r="A922" s="32" t="s">
        <v>948</v>
      </c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25"/>
      <c r="M922" s="25"/>
      <c r="N922" s="25"/>
    </row>
    <row r="923" ht="15.0" customHeight="1">
      <c r="A923" s="32" t="s">
        <v>949</v>
      </c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25"/>
      <c r="M923" s="25"/>
      <c r="N923" s="25"/>
    </row>
    <row r="924" ht="15.0" customHeight="1">
      <c r="A924" s="32" t="s">
        <v>950</v>
      </c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25"/>
      <c r="M924" s="25"/>
      <c r="N924" s="25"/>
    </row>
    <row r="925" ht="15.0" customHeight="1">
      <c r="A925" s="32" t="s">
        <v>951</v>
      </c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25"/>
      <c r="M925" s="25"/>
      <c r="N925" s="25"/>
    </row>
    <row r="926" ht="15.0" customHeight="1">
      <c r="A926" s="32" t="s">
        <v>952</v>
      </c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25"/>
      <c r="M926" s="25"/>
      <c r="N926" s="25"/>
    </row>
    <row r="927" ht="15.0" customHeight="1">
      <c r="A927" s="32" t="s">
        <v>953</v>
      </c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25"/>
      <c r="M927" s="25"/>
      <c r="N927" s="25"/>
    </row>
    <row r="928" ht="15.0" customHeight="1">
      <c r="A928" s="32" t="s">
        <v>954</v>
      </c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25"/>
      <c r="M928" s="25"/>
      <c r="N928" s="25"/>
    </row>
    <row r="929" ht="15.0" customHeight="1">
      <c r="A929" s="32" t="s">
        <v>955</v>
      </c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25"/>
      <c r="M929" s="25"/>
      <c r="N929" s="25"/>
    </row>
    <row r="930" ht="15.0" customHeight="1">
      <c r="A930" s="32" t="s">
        <v>956</v>
      </c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25"/>
      <c r="M930" s="25"/>
      <c r="N930" s="25"/>
    </row>
    <row r="931" ht="15.0" customHeight="1">
      <c r="A931" s="32" t="s">
        <v>957</v>
      </c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25"/>
      <c r="M931" s="25"/>
      <c r="N931" s="25"/>
    </row>
    <row r="932" ht="15.0" customHeight="1">
      <c r="A932" s="32" t="s">
        <v>958</v>
      </c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25"/>
      <c r="M932" s="25"/>
      <c r="N932" s="25"/>
    </row>
    <row r="933" ht="15.0" customHeight="1">
      <c r="A933" s="32" t="s">
        <v>959</v>
      </c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25"/>
      <c r="M933" s="25"/>
      <c r="N933" s="25"/>
    </row>
    <row r="934" ht="15.0" customHeight="1">
      <c r="A934" s="32" t="s">
        <v>960</v>
      </c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25"/>
      <c r="M934" s="25"/>
      <c r="N934" s="25"/>
    </row>
    <row r="935" ht="15.0" customHeight="1">
      <c r="A935" s="32" t="s">
        <v>961</v>
      </c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25"/>
      <c r="M935" s="25"/>
      <c r="N935" s="25"/>
    </row>
    <row r="936" ht="15.0" customHeight="1">
      <c r="A936" s="32" t="s">
        <v>962</v>
      </c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25"/>
      <c r="M936" s="25"/>
      <c r="N936" s="25"/>
    </row>
    <row r="937" ht="15.0" customHeight="1">
      <c r="A937" s="32" t="s">
        <v>963</v>
      </c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25"/>
      <c r="M937" s="25"/>
      <c r="N937" s="25"/>
    </row>
    <row r="938" ht="15.0" customHeight="1">
      <c r="A938" s="32" t="s">
        <v>964</v>
      </c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25"/>
      <c r="M938" s="25"/>
      <c r="N938" s="25"/>
    </row>
    <row r="939" ht="15.0" customHeight="1">
      <c r="A939" s="32" t="s">
        <v>965</v>
      </c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25"/>
      <c r="M939" s="25"/>
      <c r="N939" s="25"/>
    </row>
    <row r="940" ht="15.0" customHeight="1">
      <c r="A940" s="32" t="s">
        <v>966</v>
      </c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25"/>
      <c r="M940" s="25"/>
      <c r="N940" s="25"/>
    </row>
    <row r="941" ht="15.0" customHeight="1">
      <c r="A941" s="32" t="s">
        <v>967</v>
      </c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25"/>
      <c r="M941" s="25"/>
      <c r="N941" s="25"/>
    </row>
    <row r="942" ht="15.0" customHeight="1">
      <c r="A942" s="32" t="s">
        <v>968</v>
      </c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25"/>
      <c r="M942" s="25"/>
      <c r="N942" s="25"/>
    </row>
    <row r="943" ht="15.0" customHeight="1">
      <c r="A943" s="32" t="s">
        <v>969</v>
      </c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25"/>
      <c r="M943" s="25"/>
      <c r="N943" s="25"/>
    </row>
    <row r="944" ht="15.0" customHeight="1">
      <c r="A944" s="32" t="s">
        <v>970</v>
      </c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25"/>
      <c r="M944" s="25"/>
      <c r="N944" s="25"/>
    </row>
    <row r="945" ht="15.0" customHeight="1">
      <c r="A945" s="32" t="s">
        <v>971</v>
      </c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25"/>
      <c r="M945" s="25"/>
      <c r="N945" s="25"/>
    </row>
    <row r="946" ht="15.0" customHeight="1">
      <c r="A946" s="32" t="s">
        <v>972</v>
      </c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25"/>
      <c r="M946" s="25"/>
      <c r="N946" s="25"/>
    </row>
    <row r="947" ht="15.0" customHeight="1">
      <c r="A947" s="32" t="s">
        <v>973</v>
      </c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25"/>
      <c r="M947" s="25"/>
      <c r="N947" s="25"/>
    </row>
    <row r="948" ht="15.0" customHeight="1">
      <c r="A948" s="32" t="s">
        <v>974</v>
      </c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25"/>
      <c r="M948" s="25"/>
      <c r="N948" s="25"/>
    </row>
    <row r="949" ht="15.0" customHeight="1">
      <c r="A949" s="32" t="s">
        <v>975</v>
      </c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25"/>
      <c r="M949" s="25"/>
      <c r="N949" s="25"/>
    </row>
    <row r="950" ht="15.0" customHeight="1">
      <c r="A950" s="32" t="s">
        <v>976</v>
      </c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25"/>
      <c r="M950" s="25"/>
      <c r="N950" s="25"/>
    </row>
    <row r="951" ht="15.0" customHeight="1">
      <c r="A951" s="32" t="s">
        <v>977</v>
      </c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25"/>
      <c r="M951" s="25"/>
      <c r="N951" s="25"/>
    </row>
    <row r="952" ht="15.0" customHeight="1">
      <c r="A952" s="32" t="s">
        <v>978</v>
      </c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25"/>
      <c r="M952" s="25"/>
      <c r="N952" s="25"/>
    </row>
    <row r="953" ht="15.0" customHeight="1">
      <c r="A953" s="32" t="s">
        <v>979</v>
      </c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25"/>
      <c r="M953" s="25"/>
      <c r="N953" s="25"/>
    </row>
    <row r="954" ht="15.0" customHeight="1">
      <c r="A954" s="32" t="s">
        <v>980</v>
      </c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25"/>
      <c r="M954" s="25"/>
      <c r="N954" s="25"/>
    </row>
    <row r="955" ht="15.0" customHeight="1">
      <c r="A955" s="32" t="s">
        <v>981</v>
      </c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25"/>
      <c r="M955" s="25"/>
      <c r="N955" s="25"/>
    </row>
    <row r="956" ht="15.0" customHeight="1">
      <c r="A956" s="32" t="s">
        <v>982</v>
      </c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25"/>
      <c r="M956" s="25"/>
      <c r="N956" s="25"/>
    </row>
    <row r="957" ht="15.0" customHeight="1">
      <c r="A957" s="32" t="s">
        <v>983</v>
      </c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25"/>
      <c r="M957" s="25"/>
      <c r="N957" s="25"/>
    </row>
    <row r="958" ht="15.0" customHeight="1">
      <c r="A958" s="32" t="s">
        <v>984</v>
      </c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25"/>
      <c r="M958" s="25"/>
      <c r="N958" s="25"/>
    </row>
    <row r="959" ht="15.0" customHeight="1">
      <c r="A959" s="32" t="s">
        <v>985</v>
      </c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25"/>
      <c r="M959" s="25"/>
      <c r="N959" s="25"/>
    </row>
    <row r="960" ht="15.0" customHeight="1">
      <c r="A960" s="32" t="s">
        <v>986</v>
      </c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25"/>
      <c r="M960" s="25"/>
      <c r="N960" s="25"/>
    </row>
    <row r="961" ht="15.0" customHeight="1">
      <c r="A961" s="32" t="s">
        <v>987</v>
      </c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25"/>
      <c r="M961" s="25"/>
      <c r="N961" s="25"/>
    </row>
    <row r="962" ht="15.0" customHeight="1">
      <c r="A962" s="32" t="s">
        <v>988</v>
      </c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25"/>
      <c r="M962" s="25"/>
      <c r="N962" s="25"/>
    </row>
    <row r="963" ht="15.0" customHeight="1">
      <c r="A963" s="32" t="s">
        <v>989</v>
      </c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25"/>
      <c r="M963" s="25"/>
      <c r="N963" s="25"/>
    </row>
    <row r="964" ht="15.0" customHeight="1">
      <c r="A964" s="32" t="s">
        <v>990</v>
      </c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25"/>
      <c r="M964" s="25"/>
      <c r="N964" s="25"/>
    </row>
    <row r="965" ht="15.0" customHeight="1">
      <c r="A965" s="32" t="s">
        <v>991</v>
      </c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25"/>
      <c r="M965" s="25"/>
      <c r="N965" s="25"/>
    </row>
    <row r="966" ht="15.0" customHeight="1">
      <c r="A966" s="32" t="s">
        <v>992</v>
      </c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25"/>
      <c r="M966" s="25"/>
      <c r="N966" s="25"/>
    </row>
    <row r="967" ht="15.0" customHeight="1">
      <c r="A967" s="32" t="s">
        <v>993</v>
      </c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25"/>
      <c r="M967" s="25"/>
      <c r="N967" s="25"/>
    </row>
    <row r="968" ht="15.0" customHeight="1">
      <c r="A968" s="32" t="s">
        <v>994</v>
      </c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25"/>
      <c r="M968" s="25"/>
      <c r="N968" s="25"/>
    </row>
    <row r="969" ht="15.0" customHeight="1">
      <c r="A969" s="32" t="s">
        <v>995</v>
      </c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25"/>
      <c r="M969" s="25"/>
      <c r="N969" s="25"/>
    </row>
    <row r="970" ht="15.0" customHeight="1">
      <c r="A970" s="32" t="s">
        <v>996</v>
      </c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25"/>
      <c r="M970" s="25"/>
      <c r="N970" s="25"/>
    </row>
    <row r="971" ht="15.0" customHeight="1">
      <c r="A971" s="32" t="s">
        <v>997</v>
      </c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25"/>
      <c r="M971" s="25"/>
      <c r="N971" s="25"/>
    </row>
    <row r="972" ht="15.0" customHeight="1">
      <c r="A972" s="32" t="s">
        <v>998</v>
      </c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25"/>
      <c r="M972" s="25"/>
      <c r="N972" s="25"/>
    </row>
    <row r="973" ht="15.0" customHeight="1">
      <c r="A973" s="32" t="s">
        <v>999</v>
      </c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25"/>
      <c r="M973" s="25"/>
      <c r="N973" s="25"/>
    </row>
    <row r="974" ht="15.0" customHeight="1">
      <c r="A974" s="32" t="s">
        <v>1000</v>
      </c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25"/>
      <c r="M974" s="25"/>
      <c r="N974" s="25"/>
    </row>
    <row r="975" ht="15.0" customHeight="1">
      <c r="A975" s="32" t="s">
        <v>1001</v>
      </c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25"/>
      <c r="M975" s="25"/>
      <c r="N975" s="25"/>
    </row>
    <row r="976" ht="15.0" customHeight="1">
      <c r="A976" s="32" t="s">
        <v>1002</v>
      </c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25"/>
      <c r="M976" s="25"/>
      <c r="N976" s="25"/>
    </row>
    <row r="977" ht="15.0" customHeight="1">
      <c r="A977" s="32" t="s">
        <v>1003</v>
      </c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25"/>
      <c r="M977" s="25"/>
      <c r="N977" s="25"/>
    </row>
    <row r="978" ht="15.0" customHeight="1">
      <c r="A978" s="32" t="s">
        <v>1004</v>
      </c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25"/>
      <c r="M978" s="25"/>
      <c r="N978" s="25"/>
    </row>
    <row r="979" ht="15.0" customHeight="1">
      <c r="A979" s="32" t="s">
        <v>1005</v>
      </c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25"/>
      <c r="M979" s="25"/>
      <c r="N979" s="25"/>
    </row>
    <row r="980" ht="15.0" customHeight="1">
      <c r="A980" s="32" t="s">
        <v>1006</v>
      </c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25"/>
      <c r="M980" s="25"/>
      <c r="N980" s="25"/>
    </row>
    <row r="981" ht="15.0" customHeight="1">
      <c r="A981" s="32" t="s">
        <v>1007</v>
      </c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25"/>
      <c r="M981" s="25"/>
      <c r="N981" s="25"/>
    </row>
    <row r="982" ht="15.0" customHeight="1">
      <c r="A982" s="32" t="s">
        <v>1008</v>
      </c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25"/>
      <c r="M982" s="25"/>
      <c r="N982" s="25"/>
    </row>
    <row r="983" ht="15.0" customHeight="1">
      <c r="A983" s="32" t="s">
        <v>1009</v>
      </c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25"/>
      <c r="M983" s="25"/>
      <c r="N983" s="25"/>
    </row>
    <row r="984" ht="15.0" customHeight="1">
      <c r="A984" s="32" t="s">
        <v>1010</v>
      </c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25"/>
      <c r="M984" s="25"/>
      <c r="N984" s="25"/>
    </row>
    <row r="985" ht="15.0" customHeight="1">
      <c r="A985" s="32" t="s">
        <v>1011</v>
      </c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25"/>
      <c r="M985" s="25"/>
      <c r="N985" s="25"/>
    </row>
    <row r="986" ht="15.0" customHeight="1">
      <c r="A986" s="32" t="s">
        <v>1012</v>
      </c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25"/>
      <c r="M986" s="25"/>
      <c r="N986" s="25"/>
    </row>
    <row r="987" ht="15.0" customHeight="1">
      <c r="A987" s="32" t="s">
        <v>1013</v>
      </c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25"/>
      <c r="M987" s="25"/>
      <c r="N987" s="25"/>
    </row>
    <row r="988" ht="15.0" customHeight="1">
      <c r="A988" s="32" t="s">
        <v>1014</v>
      </c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25"/>
      <c r="M988" s="25"/>
      <c r="N988" s="25"/>
    </row>
    <row r="989" ht="15.0" customHeight="1">
      <c r="A989" s="32" t="s">
        <v>1015</v>
      </c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25"/>
      <c r="M989" s="25"/>
      <c r="N989" s="25"/>
    </row>
    <row r="990" ht="15.0" customHeight="1">
      <c r="A990" s="32" t="s">
        <v>1016</v>
      </c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25"/>
      <c r="M990" s="25"/>
      <c r="N990" s="25"/>
    </row>
    <row r="991" ht="15.0" customHeight="1">
      <c r="A991" s="32" t="s">
        <v>1017</v>
      </c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25"/>
      <c r="M991" s="25"/>
      <c r="N991" s="25"/>
    </row>
    <row r="992" ht="15.0" customHeight="1">
      <c r="A992" s="32" t="s">
        <v>1018</v>
      </c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25"/>
      <c r="M992" s="25"/>
      <c r="N992" s="25"/>
    </row>
    <row r="993" ht="15.0" customHeight="1">
      <c r="A993" s="32" t="s">
        <v>1019</v>
      </c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25"/>
      <c r="M993" s="25"/>
      <c r="N993" s="25"/>
    </row>
    <row r="994" ht="15.0" customHeight="1">
      <c r="A994" s="32" t="s">
        <v>1020</v>
      </c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25"/>
      <c r="M994" s="25"/>
      <c r="N994" s="25"/>
    </row>
    <row r="995" ht="15.0" customHeight="1">
      <c r="A995" s="32" t="s">
        <v>1021</v>
      </c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25"/>
      <c r="M995" s="25"/>
      <c r="N995" s="25"/>
    </row>
    <row r="996" ht="15.0" customHeight="1">
      <c r="A996" s="32" t="s">
        <v>1022</v>
      </c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25"/>
      <c r="M996" s="25"/>
      <c r="N996" s="25"/>
    </row>
    <row r="997" ht="15.0" customHeight="1">
      <c r="A997" s="32" t="s">
        <v>1023</v>
      </c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25"/>
      <c r="M997" s="25"/>
      <c r="N997" s="25"/>
    </row>
    <row r="998" ht="15.0" customHeight="1">
      <c r="A998" s="32" t="s">
        <v>1024</v>
      </c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25"/>
      <c r="M998" s="25"/>
      <c r="N998" s="25"/>
    </row>
    <row r="999" ht="15.0" customHeight="1">
      <c r="A999" s="32" t="s">
        <v>1025</v>
      </c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25"/>
      <c r="M999" s="25"/>
      <c r="N999" s="25"/>
    </row>
    <row r="1000" ht="15.0" customHeight="1">
      <c r="A1000" s="32" t="s">
        <v>1026</v>
      </c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25"/>
      <c r="M1000" s="25"/>
      <c r="N1000" s="25"/>
    </row>
    <row r="1001" ht="15.0" customHeight="1">
      <c r="A1001" s="32" t="s">
        <v>1027</v>
      </c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25"/>
      <c r="M1001" s="25"/>
      <c r="N1001" s="25"/>
    </row>
    <row r="1002" ht="15.0" customHeight="1">
      <c r="A1002" s="32" t="s">
        <v>1028</v>
      </c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25"/>
      <c r="M1002" s="25"/>
      <c r="N1002" s="25"/>
    </row>
    <row r="1003" ht="15.0" customHeight="1">
      <c r="A1003" s="32" t="s">
        <v>1029</v>
      </c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25"/>
      <c r="M1003" s="25"/>
      <c r="N1003" s="25"/>
    </row>
    <row r="1004" ht="15.0" customHeight="1">
      <c r="A1004" s="32" t="s">
        <v>1030</v>
      </c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25"/>
      <c r="M1004" s="25"/>
      <c r="N1004" s="25"/>
    </row>
    <row r="1005" ht="15.0" customHeight="1">
      <c r="A1005" s="32" t="s">
        <v>1031</v>
      </c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25"/>
      <c r="M1005" s="25"/>
      <c r="N1005" s="25"/>
    </row>
    <row r="1006" ht="15.0" customHeight="1">
      <c r="A1006" s="32" t="s">
        <v>1032</v>
      </c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25"/>
      <c r="M1006" s="25"/>
      <c r="N1006" s="25"/>
    </row>
    <row r="1007" ht="15.0" customHeight="1">
      <c r="A1007" s="32" t="s">
        <v>1033</v>
      </c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25"/>
      <c r="M1007" s="25"/>
      <c r="N1007" s="25"/>
    </row>
    <row r="1008" ht="15.0" customHeight="1">
      <c r="A1008" s="32" t="s">
        <v>1034</v>
      </c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25"/>
      <c r="M1008" s="25"/>
      <c r="N1008" s="25"/>
    </row>
    <row r="1009" ht="15.0" customHeight="1">
      <c r="A1009" s="32" t="s">
        <v>1035</v>
      </c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25"/>
      <c r="M1009" s="25"/>
      <c r="N1009" s="25"/>
    </row>
    <row r="1010" ht="15.0" customHeight="1">
      <c r="A1010" s="32" t="s">
        <v>1036</v>
      </c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25"/>
      <c r="M1010" s="25"/>
      <c r="N1010" s="25"/>
    </row>
    <row r="1011" ht="15.0" customHeight="1">
      <c r="A1011" s="32" t="s">
        <v>1037</v>
      </c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25"/>
      <c r="M1011" s="25"/>
      <c r="N1011" s="25"/>
    </row>
    <row r="1012" ht="15.0" customHeight="1">
      <c r="A1012" s="32" t="s">
        <v>1038</v>
      </c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25"/>
      <c r="M1012" s="25"/>
      <c r="N1012" s="25"/>
    </row>
    <row r="1013" ht="15.0" customHeight="1">
      <c r="A1013" s="32" t="s">
        <v>1039</v>
      </c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25"/>
      <c r="M1013" s="25"/>
      <c r="N1013" s="25"/>
    </row>
    <row r="1014" ht="15.0" customHeight="1">
      <c r="A1014" s="32" t="s">
        <v>1040</v>
      </c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25"/>
      <c r="M1014" s="25"/>
      <c r="N1014" s="25"/>
    </row>
    <row r="1015" ht="15.0" customHeight="1">
      <c r="A1015" s="32" t="s">
        <v>1041</v>
      </c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25"/>
      <c r="M1015" s="25"/>
      <c r="N1015" s="25"/>
    </row>
    <row r="1016" ht="15.0" customHeight="1">
      <c r="A1016" s="32" t="s">
        <v>1042</v>
      </c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25"/>
      <c r="M1016" s="25"/>
      <c r="N1016" s="25"/>
    </row>
    <row r="1017" ht="15.0" customHeight="1">
      <c r="A1017" s="32" t="s">
        <v>1043</v>
      </c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25"/>
      <c r="M1017" s="25"/>
      <c r="N1017" s="25"/>
    </row>
    <row r="1018" ht="15.0" customHeight="1">
      <c r="A1018" s="32" t="s">
        <v>1044</v>
      </c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25"/>
      <c r="M1018" s="25"/>
      <c r="N1018" s="25"/>
    </row>
    <row r="1019" ht="15.0" customHeight="1">
      <c r="A1019" s="32" t="s">
        <v>1045</v>
      </c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25"/>
      <c r="M1019" s="25"/>
      <c r="N1019" s="25"/>
    </row>
    <row r="1020" ht="15.0" customHeight="1">
      <c r="A1020" s="32" t="s">
        <v>1046</v>
      </c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25"/>
      <c r="M1020" s="25"/>
      <c r="N1020" s="25"/>
    </row>
    <row r="1021" ht="15.0" customHeight="1">
      <c r="A1021" s="32" t="s">
        <v>1047</v>
      </c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25"/>
      <c r="M1021" s="25"/>
      <c r="N1021" s="25"/>
    </row>
    <row r="1022" ht="15.0" customHeight="1">
      <c r="A1022" s="32" t="s">
        <v>1048</v>
      </c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25"/>
      <c r="M1022" s="25"/>
      <c r="N1022" s="25"/>
    </row>
    <row r="1023" ht="15.0" customHeight="1">
      <c r="A1023" s="32" t="s">
        <v>1049</v>
      </c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25"/>
      <c r="M1023" s="25"/>
      <c r="N1023" s="25"/>
    </row>
    <row r="1024" ht="15.0" customHeight="1">
      <c r="A1024" s="32" t="s">
        <v>1050</v>
      </c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25"/>
      <c r="M1024" s="25"/>
      <c r="N1024" s="25"/>
    </row>
    <row r="1025" ht="15.0" customHeight="1">
      <c r="A1025" s="32" t="s">
        <v>1051</v>
      </c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25"/>
      <c r="M1025" s="25"/>
      <c r="N1025" s="25"/>
    </row>
    <row r="1026" ht="15.0" customHeight="1">
      <c r="A1026" s="32" t="s">
        <v>1052</v>
      </c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25"/>
      <c r="M1026" s="25"/>
      <c r="N1026" s="25"/>
    </row>
    <row r="1027" ht="15.0" customHeight="1">
      <c r="A1027" s="32" t="s">
        <v>1053</v>
      </c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25"/>
      <c r="M1027" s="25"/>
      <c r="N1027" s="25"/>
    </row>
    <row r="1028" ht="15.0" customHeight="1">
      <c r="A1028" s="32" t="s">
        <v>1054</v>
      </c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25"/>
      <c r="M1028" s="25"/>
      <c r="N1028" s="25"/>
    </row>
    <row r="1029" ht="15.0" customHeight="1">
      <c r="A1029" s="32" t="s">
        <v>1055</v>
      </c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25"/>
      <c r="M1029" s="25"/>
      <c r="N1029" s="25"/>
    </row>
    <row r="1030" ht="15.0" customHeight="1">
      <c r="A1030" s="32" t="s">
        <v>1056</v>
      </c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25"/>
      <c r="M1030" s="25"/>
      <c r="N1030" s="25"/>
    </row>
    <row r="1031" ht="15.0" customHeight="1">
      <c r="A1031" s="32" t="s">
        <v>1057</v>
      </c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25"/>
      <c r="M1031" s="25"/>
      <c r="N1031" s="25"/>
    </row>
    <row r="1032" ht="15.0" customHeight="1">
      <c r="A1032" s="32" t="s">
        <v>1058</v>
      </c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25"/>
      <c r="M1032" s="25"/>
      <c r="N1032" s="25"/>
    </row>
    <row r="1033" ht="15.0" customHeight="1">
      <c r="A1033" s="32" t="s">
        <v>1059</v>
      </c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25"/>
      <c r="M1033" s="25"/>
      <c r="N1033" s="25"/>
    </row>
    <row r="1034" ht="15.0" customHeight="1">
      <c r="A1034" s="32" t="s">
        <v>1060</v>
      </c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25"/>
      <c r="M1034" s="25"/>
      <c r="N1034" s="25"/>
    </row>
    <row r="1035" ht="15.0" customHeight="1">
      <c r="A1035" s="32" t="s">
        <v>1061</v>
      </c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25"/>
      <c r="M1035" s="25"/>
      <c r="N1035" s="25"/>
    </row>
    <row r="1036" ht="15.0" customHeight="1">
      <c r="A1036" s="32" t="s">
        <v>1062</v>
      </c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25"/>
      <c r="M1036" s="25"/>
      <c r="N1036" s="25"/>
    </row>
    <row r="1037" ht="15.0" customHeight="1">
      <c r="A1037" s="32" t="s">
        <v>1063</v>
      </c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25"/>
      <c r="M1037" s="25"/>
      <c r="N1037" s="25"/>
    </row>
    <row r="1038" ht="15.0" customHeight="1">
      <c r="A1038" s="32" t="s">
        <v>1064</v>
      </c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25"/>
      <c r="M1038" s="25"/>
      <c r="N1038" s="25"/>
    </row>
    <row r="1039" ht="15.0" customHeight="1">
      <c r="A1039" s="32" t="s">
        <v>1065</v>
      </c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25"/>
      <c r="M1039" s="25"/>
      <c r="N1039" s="25"/>
    </row>
    <row r="1040" ht="15.0" customHeight="1">
      <c r="A1040" s="32" t="s">
        <v>1066</v>
      </c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25"/>
      <c r="M1040" s="25"/>
      <c r="N1040" s="25"/>
    </row>
    <row r="1041" ht="15.0" customHeight="1">
      <c r="A1041" s="32" t="s">
        <v>1067</v>
      </c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25"/>
      <c r="M1041" s="25"/>
      <c r="N1041" s="25"/>
    </row>
    <row r="1042" ht="15.0" customHeight="1">
      <c r="A1042" s="32" t="s">
        <v>1068</v>
      </c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25"/>
      <c r="M1042" s="25"/>
      <c r="N1042" s="25"/>
    </row>
    <row r="1043" ht="15.0" customHeight="1">
      <c r="A1043" s="32" t="s">
        <v>1069</v>
      </c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25"/>
      <c r="M1043" s="25"/>
      <c r="N1043" s="25"/>
    </row>
    <row r="1044" ht="15.0" customHeight="1">
      <c r="A1044" s="32" t="s">
        <v>1070</v>
      </c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25"/>
      <c r="M1044" s="25"/>
      <c r="N1044" s="25"/>
    </row>
    <row r="1045" ht="15.0" customHeight="1">
      <c r="A1045" s="32" t="s">
        <v>1071</v>
      </c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25"/>
      <c r="M1045" s="25"/>
      <c r="N1045" s="25"/>
    </row>
    <row r="1046" ht="15.0" customHeight="1">
      <c r="A1046" s="32" t="s">
        <v>1072</v>
      </c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25"/>
      <c r="M1046" s="25"/>
      <c r="N1046" s="25"/>
    </row>
    <row r="1047" ht="15.0" customHeight="1">
      <c r="A1047" s="32" t="s">
        <v>1073</v>
      </c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25"/>
      <c r="M1047" s="25"/>
      <c r="N1047" s="25"/>
    </row>
    <row r="1048" ht="15.0" customHeight="1">
      <c r="A1048" s="32" t="s">
        <v>1074</v>
      </c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25"/>
      <c r="M1048" s="25"/>
      <c r="N1048" s="25"/>
    </row>
    <row r="1049" ht="15.0" customHeight="1">
      <c r="A1049" s="32" t="s">
        <v>1075</v>
      </c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25"/>
      <c r="M1049" s="25"/>
      <c r="N1049" s="25"/>
    </row>
    <row r="1050" ht="15.0" customHeight="1">
      <c r="A1050" s="32" t="s">
        <v>1076</v>
      </c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25"/>
      <c r="M1050" s="25"/>
      <c r="N1050" s="25"/>
    </row>
    <row r="1051" ht="15.0" customHeight="1">
      <c r="A1051" s="32" t="s">
        <v>1077</v>
      </c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25"/>
      <c r="M1051" s="25"/>
      <c r="N1051" s="25"/>
    </row>
    <row r="1052" ht="15.0" customHeight="1">
      <c r="A1052" s="32" t="s">
        <v>1078</v>
      </c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25"/>
      <c r="M1052" s="25"/>
      <c r="N1052" s="25"/>
    </row>
    <row r="1053" ht="15.0" customHeight="1">
      <c r="A1053" s="32" t="s">
        <v>1079</v>
      </c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25"/>
      <c r="M1053" s="25"/>
      <c r="N1053" s="25"/>
    </row>
    <row r="1054" ht="15.0" customHeight="1">
      <c r="A1054" s="32" t="s">
        <v>1080</v>
      </c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25"/>
      <c r="M1054" s="25"/>
      <c r="N1054" s="25"/>
    </row>
    <row r="1055" ht="15.0" customHeight="1">
      <c r="A1055" s="32" t="s">
        <v>1081</v>
      </c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25"/>
      <c r="M1055" s="25"/>
      <c r="N1055" s="25"/>
    </row>
    <row r="1056" ht="15.0" customHeight="1">
      <c r="A1056" s="32" t="s">
        <v>1082</v>
      </c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25"/>
      <c r="M1056" s="25"/>
      <c r="N1056" s="25"/>
    </row>
    <row r="1057" ht="15.0" customHeight="1">
      <c r="A1057" s="32" t="s">
        <v>1083</v>
      </c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25"/>
      <c r="M1057" s="25"/>
      <c r="N1057" s="25"/>
    </row>
    <row r="1058" ht="15.0" customHeight="1">
      <c r="A1058" s="32" t="s">
        <v>1084</v>
      </c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25"/>
      <c r="M1058" s="25"/>
      <c r="N1058" s="25"/>
    </row>
    <row r="1059" ht="15.0" customHeight="1">
      <c r="A1059" s="32" t="s">
        <v>1085</v>
      </c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25"/>
      <c r="M1059" s="25"/>
      <c r="N1059" s="25"/>
    </row>
    <row r="1060" ht="15.0" customHeight="1">
      <c r="A1060" s="32" t="s">
        <v>1086</v>
      </c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25"/>
      <c r="M1060" s="25"/>
      <c r="N1060" s="25"/>
    </row>
    <row r="1061" ht="15.0" customHeight="1">
      <c r="A1061" s="32" t="s">
        <v>1087</v>
      </c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25"/>
      <c r="M1061" s="25"/>
      <c r="N1061" s="25"/>
    </row>
    <row r="1062" ht="15.0" customHeight="1">
      <c r="A1062" s="32" t="s">
        <v>1088</v>
      </c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25"/>
      <c r="M1062" s="25"/>
      <c r="N1062" s="25"/>
    </row>
    <row r="1063" ht="15.0" customHeight="1">
      <c r="A1063" s="32" t="s">
        <v>1089</v>
      </c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25"/>
      <c r="M1063" s="25"/>
      <c r="N1063" s="25"/>
    </row>
    <row r="1064" ht="15.0" customHeight="1">
      <c r="A1064" s="32" t="s">
        <v>1090</v>
      </c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25"/>
      <c r="M1064" s="25"/>
      <c r="N1064" s="25"/>
    </row>
    <row r="1065" ht="15.0" customHeight="1">
      <c r="A1065" s="32" t="s">
        <v>1091</v>
      </c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25"/>
      <c r="M1065" s="25"/>
      <c r="N1065" s="25"/>
    </row>
    <row r="1066" ht="15.0" customHeight="1">
      <c r="A1066" s="32" t="s">
        <v>1092</v>
      </c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25"/>
      <c r="M1066" s="25"/>
      <c r="N1066" s="25"/>
    </row>
    <row r="1067" ht="15.0" customHeight="1">
      <c r="A1067" s="32" t="s">
        <v>1093</v>
      </c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25"/>
      <c r="M1067" s="25"/>
      <c r="N1067" s="25"/>
    </row>
    <row r="1068" ht="15.0" customHeight="1">
      <c r="A1068" s="32" t="s">
        <v>1094</v>
      </c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25"/>
      <c r="M1068" s="25"/>
      <c r="N1068" s="25"/>
    </row>
    <row r="1069" ht="15.0" customHeight="1">
      <c r="A1069" s="32" t="s">
        <v>1095</v>
      </c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25"/>
      <c r="M1069" s="25"/>
      <c r="N1069" s="25"/>
    </row>
    <row r="1070" ht="15.0" customHeight="1">
      <c r="A1070" s="32" t="s">
        <v>1096</v>
      </c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25"/>
      <c r="M1070" s="25"/>
      <c r="N1070" s="25"/>
    </row>
    <row r="1071" ht="15.0" customHeight="1">
      <c r="A1071" s="32" t="s">
        <v>1097</v>
      </c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25"/>
      <c r="M1071" s="25"/>
      <c r="N1071" s="25"/>
    </row>
    <row r="1072" ht="15.0" customHeight="1">
      <c r="A1072" s="32" t="s">
        <v>1098</v>
      </c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25"/>
      <c r="M1072" s="25"/>
      <c r="N1072" s="25"/>
    </row>
    <row r="1073" ht="15.0" customHeight="1">
      <c r="A1073" s="32" t="s">
        <v>1099</v>
      </c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25"/>
      <c r="M1073" s="25"/>
      <c r="N1073" s="25"/>
    </row>
    <row r="1074" ht="15.0" customHeight="1">
      <c r="A1074" s="32" t="s">
        <v>1100</v>
      </c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25"/>
      <c r="M1074" s="25"/>
      <c r="N1074" s="25"/>
    </row>
    <row r="1075" ht="15.0" customHeight="1">
      <c r="A1075" s="32" t="s">
        <v>1101</v>
      </c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25"/>
      <c r="M1075" s="25"/>
      <c r="N1075" s="25"/>
    </row>
    <row r="1076" ht="15.0" customHeight="1">
      <c r="A1076" s="32" t="s">
        <v>1102</v>
      </c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25"/>
      <c r="M1076" s="25"/>
      <c r="N1076" s="25"/>
    </row>
    <row r="1077" ht="15.0" customHeight="1">
      <c r="A1077" s="32" t="s">
        <v>1103</v>
      </c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25"/>
      <c r="M1077" s="25"/>
      <c r="N1077" s="25"/>
    </row>
    <row r="1078" ht="15.0" customHeight="1">
      <c r="A1078" s="32" t="s">
        <v>1104</v>
      </c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25"/>
      <c r="M1078" s="25"/>
      <c r="N1078" s="25"/>
    </row>
    <row r="1079" ht="15.0" customHeight="1">
      <c r="A1079" s="32" t="s">
        <v>1105</v>
      </c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25"/>
      <c r="M1079" s="25"/>
      <c r="N1079" s="25"/>
    </row>
    <row r="1080" ht="15.0" customHeight="1">
      <c r="A1080" s="32" t="s">
        <v>1106</v>
      </c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25"/>
      <c r="M1080" s="25"/>
      <c r="N1080" s="25"/>
    </row>
    <row r="1081" ht="15.0" customHeight="1">
      <c r="A1081" s="32" t="s">
        <v>1107</v>
      </c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25"/>
      <c r="M1081" s="25"/>
      <c r="N1081" s="25"/>
    </row>
    <row r="1082" ht="15.0" customHeight="1">
      <c r="A1082" s="32" t="s">
        <v>1108</v>
      </c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25"/>
      <c r="M1082" s="25"/>
      <c r="N1082" s="25"/>
    </row>
    <row r="1083" ht="15.0" customHeight="1">
      <c r="A1083" s="32" t="s">
        <v>1109</v>
      </c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25"/>
      <c r="M1083" s="25"/>
      <c r="N1083" s="25"/>
    </row>
    <row r="1084" ht="15.0" customHeight="1">
      <c r="A1084" s="32" t="s">
        <v>1110</v>
      </c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25"/>
      <c r="M1084" s="25"/>
      <c r="N1084" s="25"/>
    </row>
    <row r="1085" ht="15.0" customHeight="1">
      <c r="A1085" s="32" t="s">
        <v>1111</v>
      </c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25"/>
      <c r="M1085" s="25"/>
      <c r="N1085" s="25"/>
    </row>
    <row r="1086" ht="15.0" customHeight="1">
      <c r="A1086" s="32" t="s">
        <v>1112</v>
      </c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25"/>
      <c r="M1086" s="25"/>
      <c r="N1086" s="25"/>
    </row>
    <row r="1087" ht="15.0" customHeight="1">
      <c r="A1087" s="32" t="s">
        <v>1113</v>
      </c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25"/>
      <c r="M1087" s="25"/>
      <c r="N1087" s="25"/>
    </row>
    <row r="1088" ht="15.0" customHeight="1">
      <c r="A1088" s="32" t="s">
        <v>1114</v>
      </c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25"/>
      <c r="M1088" s="25"/>
      <c r="N1088" s="25"/>
    </row>
    <row r="1089" ht="15.0" customHeight="1">
      <c r="A1089" s="32" t="s">
        <v>1115</v>
      </c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25"/>
      <c r="M1089" s="25"/>
      <c r="N1089" s="25"/>
    </row>
    <row r="1090" ht="15.0" customHeight="1">
      <c r="A1090" s="32" t="s">
        <v>1116</v>
      </c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25"/>
      <c r="M1090" s="25"/>
      <c r="N1090" s="25"/>
    </row>
    <row r="1091" ht="15.0" customHeight="1">
      <c r="A1091" s="32" t="s">
        <v>1117</v>
      </c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25"/>
      <c r="M1091" s="25"/>
      <c r="N1091" s="25"/>
    </row>
    <row r="1092" ht="15.0" customHeight="1">
      <c r="A1092" s="32" t="s">
        <v>1118</v>
      </c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25"/>
      <c r="M1092" s="25"/>
      <c r="N1092" s="25"/>
    </row>
    <row r="1093" ht="15.0" customHeight="1">
      <c r="A1093" s="32" t="s">
        <v>1119</v>
      </c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25"/>
      <c r="M1093" s="25"/>
      <c r="N1093" s="25"/>
    </row>
    <row r="1094" ht="15.0" customHeight="1">
      <c r="A1094" s="32" t="s">
        <v>1120</v>
      </c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25"/>
      <c r="M1094" s="25"/>
      <c r="N1094" s="25"/>
    </row>
    <row r="1095" ht="15.0" customHeight="1">
      <c r="A1095" s="32" t="s">
        <v>1121</v>
      </c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25"/>
      <c r="M1095" s="25"/>
      <c r="N1095" s="25"/>
    </row>
    <row r="1096" ht="15.0" customHeight="1">
      <c r="A1096" s="32" t="s">
        <v>1122</v>
      </c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25"/>
      <c r="M1096" s="25"/>
      <c r="N1096" s="25"/>
    </row>
    <row r="1097" ht="15.0" customHeight="1">
      <c r="A1097" s="32" t="s">
        <v>1123</v>
      </c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25"/>
      <c r="M1097" s="25"/>
      <c r="N1097" s="25"/>
    </row>
    <row r="1098" ht="15.0" customHeight="1">
      <c r="A1098" s="32" t="s">
        <v>1124</v>
      </c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25"/>
      <c r="M1098" s="25"/>
      <c r="N1098" s="25"/>
    </row>
    <row r="1099" ht="15.0" customHeight="1">
      <c r="A1099" s="32" t="s">
        <v>1125</v>
      </c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25"/>
      <c r="M1099" s="25"/>
      <c r="N1099" s="25"/>
    </row>
    <row r="1100" ht="15.0" customHeight="1">
      <c r="A1100" s="32" t="s">
        <v>1126</v>
      </c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25"/>
      <c r="M1100" s="25"/>
      <c r="N1100" s="25"/>
    </row>
    <row r="1101" ht="15.0" customHeight="1">
      <c r="A1101" s="32" t="s">
        <v>1127</v>
      </c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25"/>
      <c r="M1101" s="25"/>
      <c r="N1101" s="25"/>
    </row>
    <row r="1102" ht="15.0" customHeight="1">
      <c r="A1102" s="32" t="s">
        <v>1128</v>
      </c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25"/>
      <c r="M1102" s="25"/>
      <c r="N1102" s="25"/>
    </row>
    <row r="1103" ht="15.0" customHeight="1">
      <c r="A1103" s="32" t="s">
        <v>1129</v>
      </c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25"/>
      <c r="M1103" s="25"/>
      <c r="N1103" s="25"/>
    </row>
    <row r="1104" ht="15.0" customHeight="1">
      <c r="A1104" s="32" t="s">
        <v>1130</v>
      </c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25"/>
      <c r="M1104" s="25"/>
      <c r="N1104" s="25"/>
    </row>
    <row r="1105" ht="15.0" customHeight="1">
      <c r="A1105" s="32" t="s">
        <v>1131</v>
      </c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25"/>
      <c r="M1105" s="25"/>
      <c r="N1105" s="25"/>
    </row>
    <row r="1106" ht="15.0" customHeight="1">
      <c r="A1106" s="32" t="s">
        <v>1132</v>
      </c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25"/>
      <c r="M1106" s="25"/>
      <c r="N1106" s="25"/>
    </row>
    <row r="1107" ht="15.0" customHeight="1">
      <c r="A1107" s="32" t="s">
        <v>1133</v>
      </c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25"/>
      <c r="M1107" s="25"/>
      <c r="N1107" s="25"/>
    </row>
    <row r="1108" ht="15.0" customHeight="1">
      <c r="A1108" s="32" t="s">
        <v>1134</v>
      </c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25"/>
      <c r="M1108" s="25"/>
      <c r="N1108" s="25"/>
    </row>
    <row r="1109" ht="15.0" customHeight="1">
      <c r="A1109" s="32" t="s">
        <v>1135</v>
      </c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25"/>
      <c r="M1109" s="25"/>
      <c r="N1109" s="25"/>
    </row>
    <row r="1110" ht="15.0" customHeight="1">
      <c r="A1110" s="32" t="s">
        <v>1136</v>
      </c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25"/>
      <c r="M1110" s="25"/>
      <c r="N1110" s="25"/>
    </row>
    <row r="1111" ht="15.0" customHeight="1">
      <c r="A1111" s="32" t="s">
        <v>1137</v>
      </c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25"/>
      <c r="M1111" s="25"/>
      <c r="N1111" s="25"/>
    </row>
    <row r="1112" ht="15.0" customHeight="1">
      <c r="A1112" s="32" t="s">
        <v>1138</v>
      </c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25"/>
      <c r="M1112" s="25"/>
      <c r="N1112" s="25"/>
    </row>
    <row r="1113" ht="15.0" customHeight="1">
      <c r="A1113" s="32" t="s">
        <v>1139</v>
      </c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25"/>
      <c r="M1113" s="25"/>
      <c r="N1113" s="25"/>
    </row>
    <row r="1114" ht="15.0" customHeight="1">
      <c r="A1114" s="32" t="s">
        <v>1140</v>
      </c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25"/>
      <c r="M1114" s="25"/>
      <c r="N1114" s="25"/>
    </row>
    <row r="1115" ht="15.0" customHeight="1">
      <c r="A1115" s="32" t="s">
        <v>1141</v>
      </c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25"/>
      <c r="M1115" s="25"/>
      <c r="N1115" s="25"/>
    </row>
    <row r="1116" ht="15.0" customHeight="1">
      <c r="A1116" s="32" t="s">
        <v>1142</v>
      </c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25"/>
      <c r="M1116" s="25"/>
      <c r="N1116" s="25"/>
    </row>
    <row r="1117" ht="15.0" customHeight="1">
      <c r="A1117" s="32" t="s">
        <v>1143</v>
      </c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25"/>
      <c r="M1117" s="25"/>
      <c r="N1117" s="25"/>
    </row>
    <row r="1118" ht="15.0" customHeight="1">
      <c r="A1118" s="32" t="s">
        <v>1144</v>
      </c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25"/>
      <c r="M1118" s="25"/>
      <c r="N1118" s="25"/>
    </row>
    <row r="1119" ht="15.0" customHeight="1">
      <c r="A1119" s="32" t="s">
        <v>1145</v>
      </c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25"/>
      <c r="M1119" s="25"/>
      <c r="N1119" s="25"/>
    </row>
    <row r="1120" ht="15.0" customHeight="1">
      <c r="A1120" s="32" t="s">
        <v>1146</v>
      </c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25"/>
      <c r="M1120" s="25"/>
      <c r="N1120" s="25"/>
    </row>
    <row r="1121" ht="15.0" customHeight="1">
      <c r="A1121" s="32" t="s">
        <v>1147</v>
      </c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25"/>
      <c r="M1121" s="25"/>
      <c r="N1121" s="25"/>
    </row>
    <row r="1122" ht="15.0" customHeight="1">
      <c r="A1122" s="32" t="s">
        <v>1148</v>
      </c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25"/>
      <c r="M1122" s="25"/>
      <c r="N1122" s="25"/>
    </row>
    <row r="1123" ht="15.0" customHeight="1">
      <c r="A1123" s="32" t="s">
        <v>1149</v>
      </c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25"/>
      <c r="M1123" s="25"/>
      <c r="N1123" s="25"/>
    </row>
    <row r="1124" ht="15.0" customHeight="1">
      <c r="A1124" s="32" t="s">
        <v>1150</v>
      </c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25"/>
      <c r="M1124" s="25"/>
      <c r="N1124" s="25"/>
    </row>
    <row r="1125" ht="15.0" customHeight="1">
      <c r="A1125" s="32" t="s">
        <v>1151</v>
      </c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25"/>
      <c r="M1125" s="25"/>
      <c r="N1125" s="25"/>
    </row>
    <row r="1126" ht="15.0" customHeight="1">
      <c r="A1126" s="32" t="s">
        <v>1152</v>
      </c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25"/>
      <c r="M1126" s="25"/>
      <c r="N1126" s="25"/>
    </row>
    <row r="1127" ht="15.0" customHeight="1">
      <c r="A1127" s="32" t="s">
        <v>1153</v>
      </c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25"/>
      <c r="M1127" s="25"/>
      <c r="N1127" s="25"/>
    </row>
    <row r="1128" ht="15.0" customHeight="1">
      <c r="A1128" s="32" t="s">
        <v>1154</v>
      </c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25"/>
      <c r="M1128" s="25"/>
      <c r="N1128" s="25"/>
    </row>
    <row r="1129" ht="15.0" customHeight="1">
      <c r="A1129" s="32" t="s">
        <v>1155</v>
      </c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25"/>
      <c r="M1129" s="25"/>
      <c r="N1129" s="25"/>
    </row>
    <row r="1130" ht="15.0" customHeight="1">
      <c r="A1130" s="32" t="s">
        <v>1156</v>
      </c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25"/>
      <c r="M1130" s="25"/>
      <c r="N1130" s="25"/>
    </row>
    <row r="1131" ht="15.0" customHeight="1">
      <c r="A1131" s="32" t="s">
        <v>1157</v>
      </c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25"/>
      <c r="M1131" s="25"/>
      <c r="N1131" s="25"/>
    </row>
    <row r="1132" ht="15.0" customHeight="1">
      <c r="A1132" s="32" t="s">
        <v>1158</v>
      </c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25"/>
      <c r="M1132" s="25"/>
      <c r="N1132" s="25"/>
    </row>
    <row r="1133" ht="15.0" customHeight="1">
      <c r="A1133" s="32" t="s">
        <v>1159</v>
      </c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25"/>
      <c r="M1133" s="25"/>
      <c r="N1133" s="25"/>
    </row>
    <row r="1134" ht="15.0" customHeight="1">
      <c r="A1134" s="32" t="s">
        <v>1160</v>
      </c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25"/>
      <c r="M1134" s="25"/>
      <c r="N1134" s="25"/>
    </row>
    <row r="1135" ht="15.0" customHeight="1">
      <c r="A1135" s="32" t="s">
        <v>1161</v>
      </c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25"/>
      <c r="M1135" s="25"/>
      <c r="N1135" s="25"/>
    </row>
    <row r="1136" ht="15.0" customHeight="1">
      <c r="A1136" s="32" t="s">
        <v>1162</v>
      </c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25"/>
      <c r="M1136" s="25"/>
      <c r="N1136" s="25"/>
    </row>
    <row r="1137" ht="15.0" customHeight="1">
      <c r="A1137" s="32" t="s">
        <v>1163</v>
      </c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25"/>
      <c r="M1137" s="25"/>
      <c r="N1137" s="25"/>
    </row>
    <row r="1138" ht="15.0" customHeight="1">
      <c r="A1138" s="32" t="s">
        <v>1164</v>
      </c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25"/>
      <c r="M1138" s="25"/>
      <c r="N1138" s="25"/>
    </row>
    <row r="1139" ht="15.0" customHeight="1">
      <c r="A1139" s="32" t="s">
        <v>1165</v>
      </c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25"/>
      <c r="M1139" s="25"/>
      <c r="N1139" s="25"/>
    </row>
    <row r="1140" ht="15.0" customHeight="1">
      <c r="A1140" s="32" t="s">
        <v>1166</v>
      </c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25"/>
      <c r="M1140" s="25"/>
      <c r="N1140" s="25"/>
    </row>
    <row r="1141" ht="15.0" customHeight="1">
      <c r="A1141" s="32" t="s">
        <v>1167</v>
      </c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25"/>
      <c r="M1141" s="25"/>
      <c r="N1141" s="25"/>
    </row>
    <row r="1142" ht="15.0" customHeight="1">
      <c r="A1142" s="32" t="s">
        <v>1168</v>
      </c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25"/>
      <c r="M1142" s="25"/>
      <c r="N1142" s="25"/>
    </row>
    <row r="1143" ht="15.0" customHeight="1">
      <c r="A1143" s="32" t="s">
        <v>1169</v>
      </c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25"/>
      <c r="M1143" s="25"/>
      <c r="N1143" s="25"/>
    </row>
    <row r="1144" ht="15.0" customHeight="1">
      <c r="A1144" s="32" t="s">
        <v>1170</v>
      </c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25"/>
      <c r="M1144" s="25"/>
      <c r="N1144" s="25"/>
    </row>
    <row r="1145" ht="15.0" customHeight="1">
      <c r="A1145" s="32" t="s">
        <v>1171</v>
      </c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25"/>
      <c r="M1145" s="25"/>
      <c r="N1145" s="25"/>
    </row>
    <row r="1146" ht="15.0" customHeight="1">
      <c r="A1146" s="32" t="s">
        <v>1172</v>
      </c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25"/>
      <c r="M1146" s="25"/>
      <c r="N1146" s="25"/>
    </row>
    <row r="1147" ht="15.0" customHeight="1">
      <c r="A1147" s="32" t="s">
        <v>1173</v>
      </c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25"/>
      <c r="M1147" s="25"/>
      <c r="N1147" s="25"/>
    </row>
    <row r="1148" ht="15.0" customHeight="1">
      <c r="A1148" s="32" t="s">
        <v>1174</v>
      </c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25"/>
      <c r="M1148" s="25"/>
      <c r="N1148" s="25"/>
    </row>
    <row r="1149" ht="15.0" customHeight="1">
      <c r="A1149" s="32" t="s">
        <v>1175</v>
      </c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25"/>
      <c r="M1149" s="25"/>
      <c r="N1149" s="25"/>
    </row>
    <row r="1150" ht="15.0" customHeight="1">
      <c r="A1150" s="32" t="s">
        <v>1176</v>
      </c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25"/>
      <c r="M1150" s="25"/>
      <c r="N1150" s="25"/>
    </row>
    <row r="1151" ht="15.0" customHeight="1">
      <c r="A1151" s="32" t="s">
        <v>1177</v>
      </c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25"/>
      <c r="M1151" s="25"/>
      <c r="N1151" s="25"/>
    </row>
    <row r="1152" ht="15.0" customHeight="1">
      <c r="A1152" s="32" t="s">
        <v>1178</v>
      </c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25"/>
      <c r="M1152" s="25"/>
      <c r="N1152" s="25"/>
    </row>
    <row r="1153" ht="15.0" customHeight="1">
      <c r="A1153" s="32" t="s">
        <v>1179</v>
      </c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25"/>
      <c r="M1153" s="25"/>
      <c r="N1153" s="25"/>
    </row>
    <row r="1154" ht="15.0" customHeight="1">
      <c r="A1154" s="32" t="s">
        <v>1180</v>
      </c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25"/>
      <c r="M1154" s="25"/>
      <c r="N1154" s="25"/>
    </row>
    <row r="1155" ht="15.0" customHeight="1">
      <c r="A1155" s="32" t="s">
        <v>1181</v>
      </c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25"/>
      <c r="M1155" s="25"/>
      <c r="N1155" s="25"/>
    </row>
    <row r="1156" ht="15.0" customHeight="1">
      <c r="A1156" s="32" t="s">
        <v>1182</v>
      </c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25"/>
      <c r="M1156" s="25"/>
      <c r="N1156" s="25"/>
    </row>
    <row r="1157" ht="15.0" customHeight="1">
      <c r="A1157" s="32" t="s">
        <v>1183</v>
      </c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25"/>
      <c r="M1157" s="25"/>
      <c r="N1157" s="25"/>
    </row>
    <row r="1158" ht="15.0" customHeight="1">
      <c r="A1158" s="32" t="s">
        <v>1184</v>
      </c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25"/>
      <c r="M1158" s="25"/>
      <c r="N1158" s="25"/>
    </row>
    <row r="1159" ht="15.0" customHeight="1">
      <c r="A1159" s="32" t="s">
        <v>1185</v>
      </c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25"/>
      <c r="M1159" s="25"/>
      <c r="N1159" s="25"/>
    </row>
    <row r="1160" ht="15.0" customHeight="1">
      <c r="A1160" s="32" t="s">
        <v>1186</v>
      </c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25"/>
      <c r="M1160" s="25"/>
      <c r="N1160" s="25"/>
    </row>
    <row r="1161" ht="15.0" customHeight="1">
      <c r="A1161" s="32" t="s">
        <v>1187</v>
      </c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25"/>
      <c r="M1161" s="25"/>
      <c r="N1161" s="25"/>
    </row>
    <row r="1162" ht="15.0" customHeight="1">
      <c r="A1162" s="32" t="s">
        <v>1188</v>
      </c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25"/>
      <c r="M1162" s="25"/>
      <c r="N1162" s="25"/>
    </row>
    <row r="1163" ht="15.0" customHeight="1">
      <c r="A1163" s="32" t="s">
        <v>1189</v>
      </c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25"/>
      <c r="M1163" s="25"/>
      <c r="N1163" s="25"/>
    </row>
    <row r="1164" ht="15.0" customHeight="1">
      <c r="A1164" s="32" t="s">
        <v>1190</v>
      </c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25"/>
      <c r="M1164" s="25"/>
      <c r="N1164" s="25"/>
    </row>
    <row r="1165" ht="15.0" customHeight="1">
      <c r="A1165" s="32" t="s">
        <v>1191</v>
      </c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25"/>
      <c r="M1165" s="25"/>
      <c r="N1165" s="25"/>
    </row>
    <row r="1166" ht="15.0" customHeight="1">
      <c r="A1166" s="32" t="s">
        <v>1192</v>
      </c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25"/>
      <c r="M1166" s="25"/>
      <c r="N1166" s="25"/>
    </row>
    <row r="1167" ht="15.0" customHeight="1">
      <c r="A1167" s="32" t="s">
        <v>1193</v>
      </c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25"/>
      <c r="M1167" s="25"/>
      <c r="N1167" s="25"/>
    </row>
    <row r="1168" ht="15.0" customHeight="1">
      <c r="A1168" s="32" t="s">
        <v>1194</v>
      </c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25"/>
      <c r="M1168" s="25"/>
      <c r="N1168" s="25"/>
    </row>
    <row r="1169" ht="15.0" customHeight="1">
      <c r="A1169" s="32" t="s">
        <v>1195</v>
      </c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25"/>
      <c r="M1169" s="25"/>
      <c r="N1169" s="25"/>
    </row>
    <row r="1170" ht="15.0" customHeight="1">
      <c r="A1170" s="32" t="s">
        <v>1196</v>
      </c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25"/>
      <c r="M1170" s="25"/>
      <c r="N1170" s="25"/>
    </row>
    <row r="1171" ht="15.0" customHeight="1">
      <c r="A1171" s="32" t="s">
        <v>1197</v>
      </c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25"/>
      <c r="M1171" s="25"/>
      <c r="N1171" s="25"/>
    </row>
    <row r="1172" ht="15.0" customHeight="1">
      <c r="A1172" s="32" t="s">
        <v>1198</v>
      </c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25"/>
      <c r="M1172" s="25"/>
      <c r="N1172" s="25"/>
    </row>
    <row r="1173" ht="15.0" customHeight="1">
      <c r="A1173" s="32" t="s">
        <v>1199</v>
      </c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25"/>
      <c r="M1173" s="25"/>
      <c r="N1173" s="25"/>
    </row>
    <row r="1174" ht="15.0" customHeight="1">
      <c r="A1174" s="32" t="s">
        <v>1200</v>
      </c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25"/>
      <c r="M1174" s="25"/>
      <c r="N1174" s="25"/>
    </row>
    <row r="1175" ht="15.0" customHeight="1">
      <c r="A1175" s="32" t="s">
        <v>1201</v>
      </c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25"/>
      <c r="M1175" s="25"/>
      <c r="N1175" s="25"/>
    </row>
    <row r="1176" ht="15.0" customHeight="1">
      <c r="A1176" s="32" t="s">
        <v>1202</v>
      </c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25"/>
      <c r="M1176" s="25"/>
      <c r="N1176" s="25"/>
    </row>
    <row r="1177" ht="15.0" customHeight="1">
      <c r="A1177" s="32" t="s">
        <v>1203</v>
      </c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25"/>
      <c r="M1177" s="25"/>
      <c r="N1177" s="25"/>
    </row>
    <row r="1178" ht="15.0" customHeight="1">
      <c r="A1178" s="32" t="s">
        <v>1204</v>
      </c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25"/>
      <c r="M1178" s="25"/>
      <c r="N1178" s="25"/>
    </row>
    <row r="1179" ht="15.0" customHeight="1">
      <c r="A1179" s="32" t="s">
        <v>1205</v>
      </c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25"/>
      <c r="M1179" s="25"/>
      <c r="N1179" s="25"/>
    </row>
    <row r="1180" ht="15.0" customHeight="1">
      <c r="A1180" s="32" t="s">
        <v>1206</v>
      </c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25"/>
      <c r="M1180" s="25"/>
      <c r="N1180" s="25"/>
    </row>
    <row r="1181" ht="15.0" customHeight="1">
      <c r="A1181" s="32" t="s">
        <v>1207</v>
      </c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25"/>
      <c r="M1181" s="25"/>
      <c r="N1181" s="25"/>
    </row>
    <row r="1182" ht="15.0" customHeight="1">
      <c r="A1182" s="32" t="s">
        <v>1208</v>
      </c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25"/>
      <c r="M1182" s="25"/>
      <c r="N1182" s="25"/>
    </row>
    <row r="1183" ht="15.0" customHeight="1">
      <c r="A1183" s="32" t="s">
        <v>1209</v>
      </c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25"/>
      <c r="M1183" s="25"/>
      <c r="N1183" s="25"/>
    </row>
    <row r="1184" ht="15.0" customHeight="1">
      <c r="A1184" s="32" t="s">
        <v>1210</v>
      </c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25"/>
      <c r="M1184" s="25"/>
      <c r="N1184" s="25"/>
    </row>
    <row r="1185" ht="15.0" customHeight="1">
      <c r="A1185" s="32" t="s">
        <v>1211</v>
      </c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25"/>
      <c r="M1185" s="25"/>
      <c r="N1185" s="25"/>
    </row>
    <row r="1186" ht="15.0" customHeight="1">
      <c r="A1186" s="32" t="s">
        <v>1212</v>
      </c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25"/>
      <c r="M1186" s="25"/>
      <c r="N1186" s="25"/>
    </row>
    <row r="1187" ht="15.0" customHeight="1">
      <c r="A1187" s="32" t="s">
        <v>1213</v>
      </c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25"/>
      <c r="M1187" s="25"/>
      <c r="N1187" s="25"/>
    </row>
    <row r="1188" ht="15.0" customHeight="1">
      <c r="A1188" s="32" t="s">
        <v>1214</v>
      </c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25"/>
      <c r="M1188" s="25"/>
      <c r="N1188" s="25"/>
    </row>
    <row r="1189" ht="15.0" customHeight="1">
      <c r="A1189" s="32" t="s">
        <v>1215</v>
      </c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25"/>
      <c r="M1189" s="25"/>
      <c r="N1189" s="25"/>
    </row>
    <row r="1190" ht="15.0" customHeight="1">
      <c r="A1190" s="32" t="s">
        <v>1216</v>
      </c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25"/>
      <c r="M1190" s="25"/>
      <c r="N1190" s="25"/>
    </row>
    <row r="1191" ht="15.0" customHeight="1">
      <c r="A1191" s="32" t="s">
        <v>1217</v>
      </c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25"/>
      <c r="M1191" s="25"/>
      <c r="N1191" s="25"/>
    </row>
    <row r="1192" ht="15.0" customHeight="1">
      <c r="A1192" s="32" t="s">
        <v>1218</v>
      </c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25"/>
      <c r="M1192" s="25"/>
      <c r="N1192" s="25"/>
    </row>
    <row r="1193" ht="15.0" customHeight="1">
      <c r="A1193" s="32" t="s">
        <v>1219</v>
      </c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25"/>
      <c r="M1193" s="25"/>
      <c r="N1193" s="25"/>
    </row>
    <row r="1194" ht="15.0" customHeight="1">
      <c r="A1194" s="32" t="s">
        <v>1220</v>
      </c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25"/>
      <c r="M1194" s="25"/>
      <c r="N1194" s="25"/>
    </row>
    <row r="1195" ht="15.0" customHeight="1">
      <c r="A1195" s="32" t="s">
        <v>1221</v>
      </c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25"/>
      <c r="M1195" s="25"/>
      <c r="N1195" s="25"/>
    </row>
    <row r="1196" ht="15.0" customHeight="1">
      <c r="A1196" s="32" t="s">
        <v>1222</v>
      </c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25"/>
      <c r="M1196" s="25"/>
      <c r="N1196" s="25"/>
    </row>
    <row r="1197" ht="15.0" customHeight="1">
      <c r="A1197" s="32" t="s">
        <v>1223</v>
      </c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25"/>
      <c r="M1197" s="25"/>
      <c r="N1197" s="25"/>
    </row>
    <row r="1198" ht="15.0" customHeight="1">
      <c r="A1198" s="32" t="s">
        <v>1224</v>
      </c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25"/>
      <c r="M1198" s="25"/>
      <c r="N1198" s="25"/>
    </row>
    <row r="1199" ht="15.0" customHeight="1">
      <c r="A1199" s="32" t="s">
        <v>1225</v>
      </c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25"/>
      <c r="M1199" s="25"/>
      <c r="N1199" s="25"/>
    </row>
    <row r="1200" ht="15.0" customHeight="1">
      <c r="A1200" s="32" t="s">
        <v>1226</v>
      </c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25"/>
      <c r="M1200" s="25"/>
      <c r="N1200" s="25"/>
    </row>
    <row r="1201" ht="15.0" customHeight="1">
      <c r="A1201" s="32" t="s">
        <v>1227</v>
      </c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25"/>
      <c r="M1201" s="25"/>
      <c r="N1201" s="25"/>
    </row>
    <row r="1202" ht="15.0" customHeight="1">
      <c r="A1202" s="32" t="s">
        <v>1228</v>
      </c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25"/>
      <c r="M1202" s="25"/>
      <c r="N1202" s="25"/>
    </row>
    <row r="1203" ht="15.0" customHeight="1">
      <c r="A1203" s="32" t="s">
        <v>1229</v>
      </c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25"/>
      <c r="M1203" s="25"/>
      <c r="N1203" s="25"/>
    </row>
    <row r="1204" ht="15.0" customHeight="1">
      <c r="A1204" s="32" t="s">
        <v>1230</v>
      </c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25"/>
      <c r="M1204" s="25"/>
      <c r="N1204" s="25"/>
    </row>
    <row r="1205" ht="15.0" customHeight="1">
      <c r="A1205" s="32" t="s">
        <v>1231</v>
      </c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25"/>
      <c r="M1205" s="25"/>
      <c r="N1205" s="25"/>
    </row>
    <row r="1206" ht="15.0" customHeight="1">
      <c r="A1206" s="32" t="s">
        <v>1232</v>
      </c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25"/>
      <c r="M1206" s="25"/>
      <c r="N1206" s="25"/>
    </row>
    <row r="1207" ht="15.0" customHeight="1">
      <c r="A1207" s="32" t="s">
        <v>1233</v>
      </c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25"/>
      <c r="M1207" s="25"/>
      <c r="N1207" s="25"/>
    </row>
    <row r="1208" ht="15.0" customHeight="1">
      <c r="A1208" s="32" t="s">
        <v>1234</v>
      </c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25"/>
      <c r="M1208" s="25"/>
      <c r="N1208" s="25"/>
    </row>
    <row r="1209" ht="15.0" customHeight="1">
      <c r="A1209" s="32" t="s">
        <v>1235</v>
      </c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25"/>
      <c r="M1209" s="25"/>
      <c r="N1209" s="25"/>
    </row>
    <row r="1210" ht="15.0" customHeight="1">
      <c r="A1210" s="32" t="s">
        <v>1236</v>
      </c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25"/>
      <c r="M1210" s="25"/>
      <c r="N1210" s="25"/>
    </row>
    <row r="1211" ht="15.0" customHeight="1">
      <c r="A1211" s="32" t="s">
        <v>1237</v>
      </c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25"/>
      <c r="M1211" s="25"/>
      <c r="N1211" s="25"/>
    </row>
    <row r="1212" ht="15.0" customHeight="1">
      <c r="A1212" s="32" t="s">
        <v>1238</v>
      </c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25"/>
      <c r="M1212" s="25"/>
      <c r="N1212" s="25"/>
    </row>
    <row r="1213" ht="15.0" customHeight="1">
      <c r="A1213" s="32" t="s">
        <v>1239</v>
      </c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25"/>
      <c r="M1213" s="25"/>
      <c r="N1213" s="25"/>
    </row>
    <row r="1214" ht="15.0" customHeight="1">
      <c r="A1214" s="32" t="s">
        <v>1240</v>
      </c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25"/>
      <c r="M1214" s="25"/>
      <c r="N1214" s="25"/>
    </row>
    <row r="1215" ht="15.0" customHeight="1">
      <c r="A1215" s="32" t="s">
        <v>1241</v>
      </c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25"/>
      <c r="M1215" s="25"/>
      <c r="N1215" s="25"/>
    </row>
    <row r="1216" ht="15.0" customHeight="1">
      <c r="A1216" s="32" t="s">
        <v>1242</v>
      </c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25"/>
      <c r="M1216" s="25"/>
      <c r="N1216" s="25"/>
    </row>
    <row r="1217" ht="15.0" customHeight="1">
      <c r="A1217" s="32" t="s">
        <v>1243</v>
      </c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25"/>
      <c r="M1217" s="25"/>
      <c r="N1217" s="25"/>
    </row>
    <row r="1218" ht="15.0" customHeight="1">
      <c r="A1218" s="32" t="s">
        <v>1244</v>
      </c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25"/>
      <c r="M1218" s="25"/>
      <c r="N1218" s="25"/>
    </row>
    <row r="1219" ht="15.0" customHeight="1">
      <c r="A1219" s="32" t="s">
        <v>1245</v>
      </c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25"/>
      <c r="M1219" s="25"/>
      <c r="N1219" s="25"/>
    </row>
    <row r="1220" ht="15.0" customHeight="1">
      <c r="A1220" s="32" t="s">
        <v>1246</v>
      </c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25"/>
      <c r="M1220" s="25"/>
      <c r="N1220" s="25"/>
    </row>
    <row r="1221" ht="15.0" customHeight="1">
      <c r="A1221" s="32" t="s">
        <v>1247</v>
      </c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25"/>
      <c r="M1221" s="25"/>
      <c r="N1221" s="25"/>
    </row>
    <row r="1222" ht="15.0" customHeight="1">
      <c r="A1222" s="32" t="s">
        <v>1248</v>
      </c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25"/>
      <c r="M1222" s="25"/>
      <c r="N1222" s="25"/>
    </row>
    <row r="1223" ht="15.0" customHeight="1">
      <c r="A1223" s="32" t="s">
        <v>1249</v>
      </c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25"/>
      <c r="M1223" s="25"/>
      <c r="N1223" s="25"/>
    </row>
    <row r="1224" ht="15.0" customHeight="1">
      <c r="A1224" s="32" t="s">
        <v>1250</v>
      </c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25"/>
      <c r="M1224" s="25"/>
      <c r="N1224" s="25"/>
    </row>
    <row r="1225" ht="15.0" customHeight="1">
      <c r="A1225" s="32" t="s">
        <v>1251</v>
      </c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25"/>
      <c r="M1225" s="25"/>
      <c r="N1225" s="25"/>
    </row>
    <row r="1226" ht="15.0" customHeight="1">
      <c r="A1226" s="32" t="s">
        <v>1252</v>
      </c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25"/>
      <c r="M1226" s="25"/>
      <c r="N1226" s="25"/>
    </row>
    <row r="1227" ht="15.0" customHeight="1">
      <c r="A1227" s="32" t="s">
        <v>1253</v>
      </c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25"/>
      <c r="M1227" s="25"/>
      <c r="N1227" s="25"/>
    </row>
    <row r="1228" ht="15.0" customHeight="1">
      <c r="A1228" s="32" t="s">
        <v>1254</v>
      </c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25"/>
      <c r="M1228" s="25"/>
      <c r="N1228" s="25"/>
    </row>
    <row r="1229" ht="15.0" customHeight="1">
      <c r="A1229" s="32" t="s">
        <v>1255</v>
      </c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25"/>
      <c r="M1229" s="25"/>
      <c r="N1229" s="25"/>
    </row>
    <row r="1230" ht="15.0" customHeight="1">
      <c r="A1230" s="32" t="s">
        <v>1256</v>
      </c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25"/>
      <c r="M1230" s="25"/>
      <c r="N1230" s="25"/>
    </row>
    <row r="1231" ht="15.0" customHeight="1">
      <c r="A1231" s="32" t="s">
        <v>1257</v>
      </c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25"/>
      <c r="M1231" s="25"/>
      <c r="N1231" s="25"/>
    </row>
    <row r="1232" ht="15.0" customHeight="1">
      <c r="A1232" s="32" t="s">
        <v>1258</v>
      </c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25"/>
      <c r="M1232" s="25"/>
      <c r="N1232" s="25"/>
    </row>
    <row r="1233" ht="15.0" customHeight="1">
      <c r="A1233" s="32" t="s">
        <v>1259</v>
      </c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25"/>
      <c r="M1233" s="25"/>
      <c r="N1233" s="25"/>
    </row>
    <row r="1234" ht="15.0" customHeight="1">
      <c r="A1234" s="32" t="s">
        <v>1260</v>
      </c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25"/>
      <c r="M1234" s="25"/>
      <c r="N1234" s="25"/>
    </row>
    <row r="1235" ht="15.0" customHeight="1">
      <c r="A1235" s="32" t="s">
        <v>1261</v>
      </c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25"/>
      <c r="M1235" s="25"/>
      <c r="N1235" s="25"/>
    </row>
    <row r="1236" ht="15.0" customHeight="1">
      <c r="A1236" s="32" t="s">
        <v>1262</v>
      </c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25"/>
      <c r="M1236" s="25"/>
      <c r="N1236" s="25"/>
    </row>
    <row r="1237" ht="15.0" customHeight="1">
      <c r="A1237" s="32" t="s">
        <v>1263</v>
      </c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25"/>
      <c r="M1237" s="25"/>
      <c r="N1237" s="25"/>
    </row>
    <row r="1238" ht="15.0" customHeight="1">
      <c r="A1238" s="32" t="s">
        <v>1264</v>
      </c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25"/>
      <c r="M1238" s="25"/>
      <c r="N1238" s="25"/>
    </row>
    <row r="1239" ht="15.0" customHeight="1">
      <c r="A1239" s="32" t="s">
        <v>1265</v>
      </c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25"/>
      <c r="M1239" s="25"/>
      <c r="N1239" s="25"/>
    </row>
    <row r="1240" ht="15.0" customHeight="1">
      <c r="A1240" s="32" t="s">
        <v>1266</v>
      </c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25"/>
      <c r="M1240" s="25"/>
      <c r="N1240" s="25"/>
    </row>
    <row r="1241" ht="15.0" customHeight="1">
      <c r="A1241" s="32" t="s">
        <v>1267</v>
      </c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25"/>
      <c r="M1241" s="25"/>
      <c r="N1241" s="25"/>
    </row>
    <row r="1242" ht="15.0" customHeight="1">
      <c r="A1242" s="32" t="s">
        <v>1268</v>
      </c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25"/>
      <c r="M1242" s="25"/>
      <c r="N1242" s="25"/>
    </row>
    <row r="1243" ht="15.0" customHeight="1">
      <c r="A1243" s="32" t="s">
        <v>1269</v>
      </c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25"/>
      <c r="M1243" s="25"/>
      <c r="N1243" s="25"/>
    </row>
    <row r="1244" ht="15.0" customHeight="1">
      <c r="A1244" s="32" t="s">
        <v>1270</v>
      </c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25"/>
      <c r="M1244" s="25"/>
      <c r="N1244" s="25"/>
    </row>
    <row r="1245" ht="15.0" customHeight="1">
      <c r="A1245" s="32" t="s">
        <v>1271</v>
      </c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25"/>
      <c r="M1245" s="25"/>
      <c r="N1245" s="25"/>
    </row>
    <row r="1246" ht="15.0" customHeight="1">
      <c r="A1246" s="32" t="s">
        <v>1272</v>
      </c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25"/>
      <c r="M1246" s="25"/>
      <c r="N1246" s="25"/>
    </row>
    <row r="1247" ht="15.0" customHeight="1">
      <c r="A1247" s="32" t="s">
        <v>1273</v>
      </c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25"/>
      <c r="M1247" s="25"/>
      <c r="N1247" s="25"/>
    </row>
    <row r="1248" ht="15.0" customHeight="1">
      <c r="A1248" s="32" t="s">
        <v>1274</v>
      </c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25"/>
      <c r="M1248" s="25"/>
      <c r="N1248" s="25"/>
    </row>
    <row r="1249" ht="15.0" customHeight="1">
      <c r="A1249" s="32" t="s">
        <v>1275</v>
      </c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25"/>
      <c r="M1249" s="25"/>
      <c r="N1249" s="25"/>
    </row>
    <row r="1250" ht="15.0" customHeight="1">
      <c r="A1250" s="32" t="s">
        <v>1276</v>
      </c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25"/>
      <c r="M1250" s="25"/>
      <c r="N1250" s="25"/>
    </row>
    <row r="1251" ht="15.0" customHeight="1">
      <c r="A1251" s="32" t="s">
        <v>1277</v>
      </c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25"/>
      <c r="M1251" s="25"/>
      <c r="N1251" s="25"/>
    </row>
    <row r="1252" ht="15.0" customHeight="1">
      <c r="A1252" s="32" t="s">
        <v>1278</v>
      </c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25"/>
      <c r="M1252" s="25"/>
      <c r="N1252" s="25"/>
    </row>
    <row r="1253" ht="15.0" customHeight="1">
      <c r="A1253" s="32" t="s">
        <v>1279</v>
      </c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25"/>
      <c r="M1253" s="25"/>
      <c r="N1253" s="25"/>
    </row>
    <row r="1254" ht="15.0" customHeight="1">
      <c r="A1254" s="32" t="s">
        <v>1280</v>
      </c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25"/>
      <c r="M1254" s="25"/>
      <c r="N1254" s="25"/>
    </row>
    <row r="1255" ht="15.0" customHeight="1">
      <c r="A1255" s="32" t="s">
        <v>1281</v>
      </c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25"/>
      <c r="M1255" s="25"/>
      <c r="N1255" s="25"/>
    </row>
    <row r="1256" ht="15.0" customHeight="1">
      <c r="A1256" s="32" t="s">
        <v>1282</v>
      </c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25"/>
      <c r="M1256" s="25"/>
      <c r="N1256" s="25"/>
    </row>
    <row r="1257" ht="15.0" customHeight="1">
      <c r="A1257" s="32" t="s">
        <v>1283</v>
      </c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25"/>
      <c r="M1257" s="25"/>
      <c r="N1257" s="25"/>
    </row>
    <row r="1258" ht="15.0" customHeight="1">
      <c r="A1258" s="32" t="s">
        <v>1284</v>
      </c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25"/>
      <c r="M1258" s="25"/>
      <c r="N1258" s="25"/>
    </row>
    <row r="1259" ht="15.0" customHeight="1">
      <c r="A1259" s="32" t="s">
        <v>1285</v>
      </c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25"/>
      <c r="M1259" s="25"/>
      <c r="N1259" s="25"/>
    </row>
    <row r="1260" ht="15.0" customHeight="1">
      <c r="A1260" s="32" t="s">
        <v>1286</v>
      </c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25"/>
      <c r="M1260" s="25"/>
      <c r="N1260" s="25"/>
    </row>
    <row r="1261" ht="15.0" customHeight="1">
      <c r="A1261" s="32" t="s">
        <v>1287</v>
      </c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25"/>
      <c r="M1261" s="25"/>
      <c r="N1261" s="25"/>
    </row>
    <row r="1262" ht="15.0" customHeight="1">
      <c r="A1262" s="32" t="s">
        <v>1288</v>
      </c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25"/>
      <c r="M1262" s="25"/>
      <c r="N1262" s="25"/>
    </row>
    <row r="1263" ht="15.0" customHeight="1">
      <c r="A1263" s="32" t="s">
        <v>1289</v>
      </c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25"/>
      <c r="M1263" s="25"/>
      <c r="N1263" s="25"/>
    </row>
    <row r="1264" ht="15.0" customHeight="1">
      <c r="A1264" s="32" t="s">
        <v>1290</v>
      </c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25"/>
      <c r="M1264" s="25"/>
      <c r="N1264" s="25"/>
    </row>
    <row r="1265" ht="15.0" customHeight="1">
      <c r="A1265" s="32" t="s">
        <v>1291</v>
      </c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25"/>
      <c r="M1265" s="25"/>
      <c r="N1265" s="25"/>
    </row>
    <row r="1266" ht="15.0" customHeight="1">
      <c r="A1266" s="32" t="s">
        <v>1292</v>
      </c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25"/>
      <c r="M1266" s="25"/>
      <c r="N1266" s="25"/>
    </row>
    <row r="1267" ht="15.0" customHeight="1">
      <c r="A1267" s="32" t="s">
        <v>1293</v>
      </c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25"/>
      <c r="M1267" s="25"/>
      <c r="N1267" s="25"/>
    </row>
    <row r="1268" ht="15.0" customHeight="1">
      <c r="A1268" s="32" t="s">
        <v>1294</v>
      </c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25"/>
      <c r="M1268" s="25"/>
      <c r="N1268" s="25"/>
    </row>
    <row r="1269" ht="15.0" customHeight="1">
      <c r="A1269" s="32" t="s">
        <v>1295</v>
      </c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25"/>
      <c r="M1269" s="25"/>
      <c r="N1269" s="25"/>
    </row>
    <row r="1270" ht="15.0" customHeight="1">
      <c r="A1270" s="32" t="s">
        <v>1296</v>
      </c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25"/>
      <c r="M1270" s="25"/>
      <c r="N1270" s="25"/>
    </row>
    <row r="1271" ht="15.0" customHeight="1">
      <c r="A1271" s="32" t="s">
        <v>1297</v>
      </c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25"/>
      <c r="M1271" s="25"/>
      <c r="N1271" s="25"/>
    </row>
    <row r="1272" ht="15.0" customHeight="1">
      <c r="A1272" s="32" t="s">
        <v>1298</v>
      </c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25"/>
      <c r="M1272" s="25"/>
      <c r="N1272" s="25"/>
    </row>
    <row r="1273" ht="15.0" customHeight="1">
      <c r="A1273" s="32" t="s">
        <v>1299</v>
      </c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25"/>
      <c r="M1273" s="25"/>
      <c r="N1273" s="25"/>
    </row>
    <row r="1274" ht="15.0" customHeight="1">
      <c r="A1274" s="32" t="s">
        <v>1300</v>
      </c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25"/>
      <c r="M1274" s="25"/>
      <c r="N1274" s="25"/>
    </row>
    <row r="1275" ht="15.0" customHeight="1">
      <c r="A1275" s="32" t="s">
        <v>1301</v>
      </c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25"/>
      <c r="M1275" s="25"/>
      <c r="N1275" s="25"/>
    </row>
    <row r="1276" ht="15.0" customHeight="1">
      <c r="A1276" s="32" t="s">
        <v>1302</v>
      </c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25"/>
      <c r="M1276" s="25"/>
      <c r="N1276" s="25"/>
    </row>
    <row r="1277" ht="15.0" customHeight="1">
      <c r="A1277" s="32" t="s">
        <v>1303</v>
      </c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25"/>
      <c r="M1277" s="25"/>
      <c r="N1277" s="25"/>
    </row>
    <row r="1278" ht="15.0" customHeight="1">
      <c r="A1278" s="32" t="s">
        <v>1304</v>
      </c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25"/>
      <c r="M1278" s="25"/>
      <c r="N1278" s="25"/>
    </row>
    <row r="1279" ht="15.0" customHeight="1">
      <c r="A1279" s="32" t="s">
        <v>1305</v>
      </c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25"/>
      <c r="M1279" s="25"/>
      <c r="N1279" s="25"/>
    </row>
    <row r="1280" ht="15.0" customHeight="1">
      <c r="A1280" s="32" t="s">
        <v>1306</v>
      </c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25"/>
      <c r="M1280" s="25"/>
      <c r="N1280" s="25"/>
    </row>
    <row r="1281" ht="15.0" customHeight="1">
      <c r="A1281" s="32" t="s">
        <v>1307</v>
      </c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25"/>
      <c r="M1281" s="25"/>
      <c r="N1281" s="25"/>
    </row>
    <row r="1282" ht="15.0" customHeight="1">
      <c r="A1282" s="32" t="s">
        <v>1308</v>
      </c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25"/>
      <c r="M1282" s="25"/>
      <c r="N1282" s="25"/>
    </row>
    <row r="1283" ht="15.0" customHeight="1">
      <c r="A1283" s="32" t="s">
        <v>1309</v>
      </c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25"/>
      <c r="M1283" s="25"/>
      <c r="N1283" s="25"/>
    </row>
    <row r="1284" ht="15.0" customHeight="1">
      <c r="A1284" s="32" t="s">
        <v>1310</v>
      </c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25"/>
      <c r="M1284" s="25"/>
      <c r="N1284" s="25"/>
    </row>
    <row r="1285" ht="15.0" customHeight="1">
      <c r="A1285" s="32" t="s">
        <v>1311</v>
      </c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25"/>
      <c r="M1285" s="25"/>
      <c r="N1285" s="25"/>
    </row>
    <row r="1286" ht="15.0" customHeight="1">
      <c r="A1286" s="32" t="s">
        <v>1312</v>
      </c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25"/>
      <c r="M1286" s="25"/>
      <c r="N1286" s="25"/>
    </row>
    <row r="1287" ht="15.0" customHeight="1">
      <c r="A1287" s="32" t="s">
        <v>1313</v>
      </c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25"/>
      <c r="M1287" s="25"/>
      <c r="N1287" s="25"/>
    </row>
    <row r="1288" ht="15.0" customHeight="1">
      <c r="A1288" s="32" t="s">
        <v>1314</v>
      </c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25"/>
      <c r="M1288" s="25"/>
      <c r="N1288" s="25"/>
    </row>
    <row r="1289" ht="15.0" customHeight="1">
      <c r="A1289" s="32" t="s">
        <v>1315</v>
      </c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25"/>
      <c r="M1289" s="25"/>
      <c r="N1289" s="25"/>
    </row>
    <row r="1290" ht="15.0" customHeight="1">
      <c r="A1290" s="32" t="s">
        <v>1316</v>
      </c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25"/>
      <c r="M1290" s="25"/>
      <c r="N1290" s="25"/>
    </row>
    <row r="1291" ht="15.0" customHeight="1">
      <c r="A1291" s="32" t="s">
        <v>1317</v>
      </c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25"/>
      <c r="M1291" s="25"/>
      <c r="N1291" s="25"/>
    </row>
    <row r="1292" ht="15.0" customHeight="1">
      <c r="A1292" s="32" t="s">
        <v>1318</v>
      </c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25"/>
      <c r="M1292" s="25"/>
      <c r="N1292" s="25"/>
    </row>
    <row r="1293" ht="15.0" customHeight="1">
      <c r="A1293" s="32" t="s">
        <v>1319</v>
      </c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25"/>
      <c r="M1293" s="25"/>
      <c r="N1293" s="25"/>
    </row>
    <row r="1294" ht="15.0" customHeight="1">
      <c r="A1294" s="32" t="s">
        <v>1320</v>
      </c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25"/>
      <c r="M1294" s="25"/>
      <c r="N1294" s="25"/>
    </row>
    <row r="1295" ht="15.0" customHeight="1">
      <c r="A1295" s="32" t="s">
        <v>1321</v>
      </c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25"/>
      <c r="M1295" s="25"/>
      <c r="N1295" s="25"/>
    </row>
    <row r="1296" ht="15.0" customHeight="1">
      <c r="A1296" s="32" t="s">
        <v>1322</v>
      </c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25"/>
      <c r="M1296" s="25"/>
      <c r="N1296" s="25"/>
    </row>
    <row r="1297" ht="15.0" customHeight="1">
      <c r="A1297" s="32" t="s">
        <v>1323</v>
      </c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25"/>
      <c r="M1297" s="25"/>
      <c r="N1297" s="25"/>
    </row>
    <row r="1298" ht="15.0" customHeight="1">
      <c r="A1298" s="32" t="s">
        <v>1324</v>
      </c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25"/>
      <c r="M1298" s="25"/>
      <c r="N1298" s="25"/>
    </row>
    <row r="1299" ht="15.0" customHeight="1">
      <c r="A1299" s="32" t="s">
        <v>1325</v>
      </c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25"/>
      <c r="M1299" s="25"/>
      <c r="N1299" s="25"/>
    </row>
    <row r="1300" ht="15.0" customHeight="1">
      <c r="A1300" s="32" t="s">
        <v>1326</v>
      </c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25"/>
      <c r="M1300" s="25"/>
      <c r="N1300" s="25"/>
    </row>
    <row r="1301" ht="15.0" customHeight="1">
      <c r="A1301" s="32" t="s">
        <v>1327</v>
      </c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25"/>
      <c r="M1301" s="25"/>
      <c r="N1301" s="25"/>
    </row>
    <row r="1302" ht="15.0" customHeight="1">
      <c r="A1302" s="32" t="s">
        <v>1328</v>
      </c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25"/>
      <c r="M1302" s="25"/>
      <c r="N1302" s="25"/>
    </row>
    <row r="1303" ht="15.0" customHeight="1">
      <c r="A1303" s="32" t="s">
        <v>1329</v>
      </c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25"/>
      <c r="M1303" s="25"/>
      <c r="N1303" s="25"/>
    </row>
    <row r="1304" ht="15.0" customHeight="1">
      <c r="A1304" s="25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</row>
  </sheetData>
  <printOptions/>
  <pageMargins bottom="0.75" footer="0.0" header="0.0" left="0.25" right="0.25" top="0.75"/>
  <pageSetup paperSize="9" orientation="landscape"/>
  <drawing r:id="rId1"/>
</worksheet>
</file>